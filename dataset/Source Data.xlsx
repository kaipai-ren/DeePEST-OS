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E:\RKP_Data\Dr-paper\DORTS\NC\major_revision\DeePEST-OS-main\dataset\"/>
    </mc:Choice>
  </mc:AlternateContent>
  <xr:revisionPtr revIDLastSave="0" documentId="13_ncr:1_{D182F6D5-4F7D-416B-B73D-74152AB11E91}" xr6:coauthVersionLast="47" xr6:coauthVersionMax="47" xr10:uidLastSave="{00000000-0000-0000-0000-000000000000}"/>
  <bookViews>
    <workbookView xWindow="-108" yWindow="-108" windowWidth="30936" windowHeight="16776" firstSheet="9" activeTab="13" xr2:uid="{00000000-000D-0000-FFFF-FFFF00000000}"/>
  </bookViews>
  <sheets>
    <sheet name="MACE_deltaL_opt" sheetId="2" r:id="rId1"/>
    <sheet name="MACE_deltaL RMSD and |ΔETS| " sheetId="1" r:id="rId2"/>
    <sheet name="MACE_opt" sheetId="3" r:id="rId3"/>
    <sheet name="MACE RMSD and |ΔETS| " sheetId="4" r:id="rId4"/>
    <sheet name="GFN2-xTB_opt" sheetId="5" r:id="rId5"/>
    <sheet name="GFN2-xTB RMSD" sheetId="6" r:id="rId6"/>
    <sheet name="MACE_deltaL_T1x_opt" sheetId="13" r:id="rId7"/>
    <sheet name="MACE_deltaL_T1x_error" sheetId="14" r:id="rId8"/>
    <sheet name="DeePEST-OS-T1x_opt" sheetId="7" r:id="rId9"/>
    <sheet name="DeePEST-OS-T1x RMSD and |ΔETS| " sheetId="9" r:id="rId10"/>
    <sheet name="React-OT RMSD and |ΔETS| " sheetId="8" r:id="rId11"/>
    <sheet name="conformational_isomer" sheetId="10" r:id="rId12"/>
    <sheet name="multi-step_organic_reactions" sheetId="11" r:id="rId13"/>
    <sheet name="DA_exp" sheetId="1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12" l="1"/>
  <c r="D2" i="12"/>
  <c r="E2" i="12" s="1"/>
  <c r="D4" i="12"/>
  <c r="D43" i="12"/>
  <c r="D42" i="12"/>
  <c r="E42" i="12" s="1"/>
  <c r="D40" i="12"/>
  <c r="D39" i="12"/>
  <c r="E39" i="12" s="1"/>
  <c r="D37" i="12"/>
  <c r="D36" i="12"/>
  <c r="E36" i="12" s="1"/>
  <c r="D34" i="12"/>
  <c r="D33" i="12"/>
  <c r="E33" i="12" s="1"/>
  <c r="D31" i="12"/>
  <c r="D30" i="12"/>
  <c r="E30" i="12" s="1"/>
  <c r="D28" i="12"/>
  <c r="D27" i="12"/>
  <c r="E27" i="12" s="1"/>
  <c r="D25" i="12"/>
  <c r="D24" i="12"/>
  <c r="D23" i="12"/>
  <c r="D22" i="12"/>
  <c r="E22" i="12" s="1"/>
  <c r="D20" i="12"/>
  <c r="D19" i="12"/>
  <c r="D18" i="12"/>
  <c r="D17" i="12"/>
  <c r="E17" i="12" s="1"/>
  <c r="D15" i="12"/>
  <c r="D14" i="12"/>
  <c r="D13" i="12"/>
  <c r="D12" i="12"/>
  <c r="E12" i="12" s="1"/>
  <c r="D10" i="12"/>
  <c r="D9" i="12"/>
  <c r="D8" i="12"/>
  <c r="D7" i="12"/>
  <c r="E7" i="12" s="1"/>
  <c r="D5" i="12"/>
  <c r="J9" i="12"/>
  <c r="J7" i="12"/>
  <c r="J4" i="12"/>
  <c r="J2" i="12"/>
  <c r="J3" i="12"/>
  <c r="K4" i="12"/>
  <c r="K3" i="12"/>
  <c r="J43" i="12"/>
  <c r="J42" i="12"/>
  <c r="K42" i="12" s="1"/>
  <c r="J40" i="12"/>
  <c r="J39" i="12"/>
  <c r="K39" i="12" s="1"/>
  <c r="J37" i="12"/>
  <c r="J36" i="12"/>
  <c r="K36" i="12" s="1"/>
  <c r="J34" i="12"/>
  <c r="J33" i="12"/>
  <c r="K33" i="12" s="1"/>
  <c r="J31" i="12"/>
  <c r="J30" i="12"/>
  <c r="K30" i="12" s="1"/>
  <c r="J28" i="12"/>
  <c r="J27" i="12"/>
  <c r="K27" i="12" s="1"/>
  <c r="J25" i="12"/>
  <c r="J24" i="12"/>
  <c r="J23" i="12"/>
  <c r="J22" i="12"/>
  <c r="K22" i="12" s="1"/>
  <c r="J20" i="12"/>
  <c r="J19" i="12"/>
  <c r="J18" i="12"/>
  <c r="J17" i="12"/>
  <c r="K17" i="12" s="1"/>
  <c r="J15" i="12"/>
  <c r="J14" i="12"/>
  <c r="J13" i="12"/>
  <c r="J12" i="12"/>
  <c r="K12" i="12" s="1"/>
  <c r="J10" i="12"/>
  <c r="J8" i="12"/>
  <c r="J5" i="12"/>
  <c r="I40" i="11"/>
  <c r="H63" i="11"/>
  <c r="I39" i="11"/>
  <c r="I37" i="11"/>
  <c r="I35" i="11"/>
  <c r="I33" i="11"/>
  <c r="I31" i="11"/>
  <c r="I29" i="11"/>
  <c r="H62" i="11"/>
  <c r="H60" i="11"/>
  <c r="H58" i="11"/>
  <c r="H56" i="11"/>
  <c r="H54" i="11"/>
  <c r="H52" i="11"/>
  <c r="G62" i="11"/>
  <c r="G60" i="11"/>
  <c r="G58" i="11"/>
  <c r="G56" i="11"/>
  <c r="G54" i="11"/>
  <c r="G52" i="11"/>
  <c r="H39" i="11"/>
  <c r="H37" i="11"/>
  <c r="H35" i="11"/>
  <c r="H33" i="11"/>
  <c r="H31" i="11"/>
  <c r="H29" i="11"/>
  <c r="H15" i="11"/>
  <c r="H13" i="11"/>
  <c r="H11" i="11"/>
  <c r="H9" i="11"/>
  <c r="H7" i="11"/>
  <c r="H5" i="11"/>
  <c r="G33" i="11"/>
  <c r="F60" i="11"/>
  <c r="F61" i="11"/>
  <c r="F62" i="11"/>
  <c r="F63" i="11"/>
  <c r="E61" i="11"/>
  <c r="E62" i="11"/>
  <c r="E63" i="11"/>
  <c r="E60" i="11"/>
  <c r="E59" i="11"/>
  <c r="G37" i="11"/>
  <c r="G38" i="11"/>
  <c r="G39" i="11"/>
  <c r="G40" i="11"/>
  <c r="F38" i="11"/>
  <c r="F39" i="11"/>
  <c r="F40" i="11"/>
  <c r="F37" i="11"/>
  <c r="F13" i="11"/>
  <c r="G13" i="11"/>
  <c r="G14" i="11"/>
  <c r="G15" i="11"/>
  <c r="G16" i="11"/>
  <c r="F14" i="11"/>
  <c r="F15" i="11"/>
  <c r="F16" i="11"/>
  <c r="G29" i="11"/>
  <c r="G30" i="11"/>
  <c r="G31" i="11"/>
  <c r="G32" i="11"/>
  <c r="G34" i="11"/>
  <c r="G35" i="11"/>
  <c r="G36" i="11"/>
  <c r="G28" i="11"/>
  <c r="F54" i="11"/>
  <c r="F55" i="11"/>
  <c r="F56" i="11"/>
  <c r="F57" i="11"/>
  <c r="F58" i="11"/>
  <c r="F59" i="11"/>
  <c r="E55" i="11"/>
  <c r="E56" i="11"/>
  <c r="E57" i="11"/>
  <c r="E58" i="11"/>
  <c r="E54" i="11"/>
  <c r="F52" i="11"/>
  <c r="F53" i="11"/>
  <c r="F51" i="11"/>
  <c r="E52" i="11"/>
  <c r="E53" i="11"/>
  <c r="E51" i="11"/>
  <c r="F32" i="11"/>
  <c r="F33" i="11"/>
  <c r="F34" i="11"/>
  <c r="F35" i="11"/>
  <c r="F36" i="11"/>
  <c r="F31" i="11"/>
  <c r="D29" i="11"/>
  <c r="D30" i="11"/>
  <c r="D28" i="11"/>
  <c r="C38" i="11"/>
  <c r="D38" i="11" s="1"/>
  <c r="C39" i="11"/>
  <c r="D39" i="11" s="1"/>
  <c r="C40" i="11"/>
  <c r="D40" i="11" s="1"/>
  <c r="C37" i="11"/>
  <c r="D37" i="11" s="1"/>
  <c r="C32" i="11"/>
  <c r="D32" i="11" s="1"/>
  <c r="C33" i="11"/>
  <c r="D33" i="11" s="1"/>
  <c r="C34" i="11"/>
  <c r="D34" i="11" s="1"/>
  <c r="C35" i="11"/>
  <c r="D35" i="11" s="1"/>
  <c r="C36" i="11"/>
  <c r="D36" i="11" s="1"/>
  <c r="C31" i="11"/>
  <c r="D31" i="11" s="1"/>
  <c r="F8" i="11"/>
  <c r="G8" i="11" s="1"/>
  <c r="F7" i="11"/>
  <c r="G7" i="11" s="1"/>
  <c r="F9" i="11"/>
  <c r="G9" i="11" s="1"/>
  <c r="F10" i="11"/>
  <c r="F11" i="11"/>
  <c r="F12" i="11"/>
  <c r="G5" i="11"/>
  <c r="G6" i="11"/>
  <c r="G10" i="11"/>
  <c r="G11" i="11"/>
  <c r="G12" i="11"/>
  <c r="G4" i="11"/>
  <c r="D5" i="11"/>
  <c r="D6" i="11"/>
  <c r="D4" i="11"/>
  <c r="C14" i="11"/>
  <c r="D14" i="11" s="1"/>
  <c r="C15" i="11"/>
  <c r="D15" i="11" s="1"/>
  <c r="C16" i="11"/>
  <c r="D16" i="11" s="1"/>
  <c r="C13" i="11"/>
  <c r="D13" i="11" s="1"/>
  <c r="C12" i="11"/>
  <c r="D12" i="11" s="1"/>
  <c r="C11" i="11"/>
  <c r="D11" i="11" s="1"/>
  <c r="C10" i="11"/>
  <c r="D10" i="11" s="1"/>
  <c r="C9" i="11"/>
  <c r="D9" i="11" s="1"/>
  <c r="C8" i="11"/>
  <c r="D8" i="11" s="1"/>
  <c r="C7" i="11"/>
  <c r="D7" i="11" s="1"/>
  <c r="E8" i="12" l="1"/>
  <c r="K8" i="12"/>
  <c r="E23" i="12"/>
  <c r="E28" i="12"/>
  <c r="F27" i="12"/>
  <c r="E34" i="12"/>
  <c r="E40" i="12"/>
  <c r="E18" i="12"/>
  <c r="E24" i="12"/>
  <c r="E25" i="12"/>
  <c r="E20" i="12"/>
  <c r="E19" i="12"/>
  <c r="F17" i="12" s="1"/>
  <c r="E43" i="12"/>
  <c r="F42" i="12" s="1"/>
  <c r="F39" i="12"/>
  <c r="E31" i="12"/>
  <c r="F30" i="12" s="1"/>
  <c r="E5" i="12"/>
  <c r="E37" i="12"/>
  <c r="E4" i="12"/>
  <c r="F36" i="12"/>
  <c r="F33" i="12"/>
  <c r="F22" i="12"/>
  <c r="E9" i="12"/>
  <c r="E10" i="12"/>
  <c r="E15" i="12"/>
  <c r="E13" i="12"/>
  <c r="E14" i="12"/>
  <c r="F12" i="12" s="1"/>
  <c r="F7" i="12"/>
  <c r="E3" i="12"/>
  <c r="F2" i="12" s="1"/>
  <c r="K5" i="12"/>
  <c r="K2" i="12"/>
  <c r="L2" i="12" s="1"/>
  <c r="K20" i="12"/>
  <c r="K19" i="12"/>
  <c r="L17" i="12" s="1"/>
  <c r="K13" i="12"/>
  <c r="K18" i="12"/>
  <c r="K14" i="12"/>
  <c r="K7" i="12"/>
  <c r="K24" i="12"/>
  <c r="K31" i="12"/>
  <c r="K23" i="12"/>
  <c r="K25" i="12"/>
  <c r="K28" i="12"/>
  <c r="L30" i="12"/>
  <c r="K34" i="12"/>
  <c r="L27" i="12"/>
  <c r="K37" i="12"/>
  <c r="L36" i="12" s="1"/>
  <c r="K40" i="12"/>
  <c r="L39" i="12" s="1"/>
  <c r="K43" i="12"/>
  <c r="L22" i="12"/>
  <c r="L33" i="12"/>
  <c r="L42" i="12"/>
  <c r="K15" i="12"/>
  <c r="L12" i="12"/>
  <c r="K10" i="12"/>
  <c r="K9" i="12"/>
  <c r="L7" i="12" s="1"/>
</calcChain>
</file>

<file path=xl/sharedStrings.xml><?xml version="1.0" encoding="utf-8"?>
<sst xmlns="http://schemas.openxmlformats.org/spreadsheetml/2006/main" count="8291" uniqueCount="2098">
  <si>
    <t>ts_346_1_NO2-A-3-a_opt</t>
  </si>
  <si>
    <t>ts_91_2_R-B-10_opt</t>
  </si>
  <si>
    <t>ts_221_1_A-E-19_opt</t>
  </si>
  <si>
    <t>ts_155_2_R-B-7_opt</t>
  </si>
  <si>
    <t>ts_295_1_A-E-16_opt</t>
  </si>
  <si>
    <t>ts_431_1_R-A-1_opt</t>
  </si>
  <si>
    <t>ts_65_1_RR-A-13-c_opt</t>
  </si>
  <si>
    <t>ts_95_1_A-E-22_opt</t>
  </si>
  <si>
    <t>ts_71_1_NO2-A-5-a_opt</t>
  </si>
  <si>
    <t>ts_103_1_A-H-1_opt</t>
  </si>
  <si>
    <t>ts_87_1_S-F-3_opt</t>
  </si>
  <si>
    <t>ts_384_1_NO2-B-8-d_opt</t>
  </si>
  <si>
    <t>ts_123_1_S-C-10_opt</t>
  </si>
  <si>
    <t>ts_63_1_S-H-1_opt</t>
  </si>
  <si>
    <t>ts_180_2_R-A-10_opt</t>
  </si>
  <si>
    <t>ts_213_1_A-E-2_opt</t>
  </si>
  <si>
    <t>ts_28_1_A-E-10_opt</t>
  </si>
  <si>
    <t>ts_372_1_RR-B-6-b_opt</t>
  </si>
  <si>
    <t>ts_296_1_NO2-B-12-d_opt</t>
  </si>
  <si>
    <t>ts_318_1_NO2-B-3-d_opt</t>
  </si>
  <si>
    <t>ts_345_1_S-A-17_opt</t>
  </si>
  <si>
    <t>ts_297_2_R-B-2_opt</t>
  </si>
  <si>
    <t>ts_25_1_NO2-A-1-d_opt</t>
  </si>
  <si>
    <t>ts_146_1_R-A-2_opt</t>
  </si>
  <si>
    <t>ts_152_1_R-B-3_opt</t>
  </si>
  <si>
    <t>ts_229_1_S-D-14_opt</t>
  </si>
  <si>
    <t>ts_121_1_S-B-5-b_opt</t>
  </si>
  <si>
    <t>ts_234_1_S-B-5-b_opt</t>
  </si>
  <si>
    <t>ts_354_2_S-G-5_opt</t>
  </si>
  <si>
    <t>ts_40_1_NO2-A-4-a_opt</t>
  </si>
  <si>
    <t>ts_446_1_NO2-A-11-d_opt</t>
  </si>
  <si>
    <t>ts_129_2_A-I-4_opt</t>
  </si>
  <si>
    <t>ts_20_1_NO2-A-7-b_opt</t>
  </si>
  <si>
    <t>ts_334_1_S-A-5_opt</t>
  </si>
  <si>
    <t>ts_41_2_RR-B-7-a_opt</t>
  </si>
  <si>
    <t>ts_238_1_NO2-A-3-e_opt</t>
  </si>
  <si>
    <t>ts_193_1_A-E-1_opt</t>
  </si>
  <si>
    <t>ts_342_1_S-B-3-a_opt</t>
  </si>
  <si>
    <t>ts_115_1_R-B-13_opt</t>
  </si>
  <si>
    <t>ts_206_4_R-B-10_opt</t>
  </si>
  <si>
    <t>ts_3_1_NO2-C-3-e_opt</t>
  </si>
  <si>
    <t>ts_242_1_NO2-A-11-d_opt</t>
  </si>
  <si>
    <t>ts_200_2_A-F-3_opt</t>
  </si>
  <si>
    <t>ts_115_1_S-G-6_opt</t>
  </si>
  <si>
    <t>ts_71_1_S-A-6_opt</t>
  </si>
  <si>
    <t>ts_771_2_R-A-7_opt</t>
  </si>
  <si>
    <t>ts_62_1_NO2-A-11-c_opt</t>
  </si>
  <si>
    <t>ts_138_1_A-D-1_opt</t>
  </si>
  <si>
    <t>ts_2_3_A-I-2_opt</t>
  </si>
  <si>
    <t>ts_349_2_NO2-B-3-d_opt</t>
  </si>
  <si>
    <t>ts_195_1_NO2-A-4-a_opt</t>
  </si>
  <si>
    <t>ts_319_2_S-A-9_opt</t>
  </si>
  <si>
    <t>ts_21_1_S-C-2-aa_opt</t>
  </si>
  <si>
    <t>ts_119_1_S-G-1_opt</t>
  </si>
  <si>
    <t>ts_22_1_NO2-A-4-c_opt</t>
  </si>
  <si>
    <t>ts_318_1_A-E-6_opt</t>
  </si>
  <si>
    <t>ts_289_1_NO2-B-11-d_opt</t>
  </si>
  <si>
    <t>ts_371_1_RR-A-4_opt</t>
  </si>
  <si>
    <t>ts_184_2_R-B-3_opt</t>
  </si>
  <si>
    <t>ts_205_2_A-E-16_opt</t>
  </si>
  <si>
    <t>ts_305_1_NO2-A-11-d_opt</t>
  </si>
  <si>
    <t>ts_18_1_A-E-18_opt</t>
  </si>
  <si>
    <t>ts_5_1_NO2-A-9-b_opt</t>
  </si>
  <si>
    <t>ts_395_1_NO2-A-11-d_opt</t>
  </si>
  <si>
    <t>ts_167_1_NO2-A-7-c_opt</t>
  </si>
  <si>
    <t>ts_851_3_R-A-7_opt</t>
  </si>
  <si>
    <t>ts_155_1_NO2-A-9-e_opt</t>
  </si>
  <si>
    <t>ts_197_1_R-B-15-a_opt</t>
  </si>
  <si>
    <t>ts_55_1_NO2-A-11-a_opt</t>
  </si>
  <si>
    <t>ts_191_1_RR-A-10_opt</t>
  </si>
  <si>
    <t>ts_75_1_S-C-13_opt</t>
  </si>
  <si>
    <t>ts_73_1_NO2-A-3-d_opt</t>
  </si>
  <si>
    <t>ts_13_1_S-B-11_opt</t>
  </si>
  <si>
    <t>ts_186_1_RR-A-13-c_opt</t>
  </si>
  <si>
    <t>ts_250_1_S-A-11_opt</t>
  </si>
  <si>
    <t>ts_183_1_R-A-8_opt</t>
  </si>
  <si>
    <t>ts_332_2_S-A-6_opt</t>
  </si>
  <si>
    <t>ts_110_1_S-A-14_opt</t>
  </si>
  <si>
    <t>ts_111_1_S-B-12_opt</t>
  </si>
  <si>
    <t>ts_196_1_R-A-9_opt</t>
  </si>
  <si>
    <t>ts_240_1_S-C-2-ab_opt</t>
  </si>
  <si>
    <t>ts_218_1_RR-B-6-b_opt</t>
  </si>
  <si>
    <t>ts_1_1_S-C-2-ab_opt</t>
  </si>
  <si>
    <t>ts_218_1_RR-B-1-b_opt</t>
  </si>
  <si>
    <t>ts_41_2_A-D-1_opt</t>
  </si>
  <si>
    <t>ts_284_2_A-E-24_opt</t>
  </si>
  <si>
    <t>ts_68_1_RR-A-13-c_opt</t>
  </si>
  <si>
    <t>ts_269_1_RR-A-6_opt</t>
  </si>
  <si>
    <t>ts_286_1_NO2-A-11-a_opt</t>
  </si>
  <si>
    <t>ts_378_1_S-A-18_opt</t>
  </si>
  <si>
    <t>ts_99_1_S-A-15_opt</t>
  </si>
  <si>
    <t>ts_75_1_A-E-16_opt</t>
  </si>
  <si>
    <t>ts_366_1_RR-B-4-b_opt</t>
  </si>
  <si>
    <t>ts_159_1_S-D-2_opt</t>
  </si>
  <si>
    <t>ts_532_1_S-A-17_opt</t>
  </si>
  <si>
    <t>ts_132_1_S-A-15_opt</t>
  </si>
  <si>
    <t>ts_291_1_S-A-18_opt</t>
  </si>
  <si>
    <t>ts_203_1_S-G-4_opt</t>
  </si>
  <si>
    <t>ts_337_1_NO2-A-1-d_opt</t>
  </si>
  <si>
    <t>ts_297_1_S-C-2-aa_opt</t>
  </si>
  <si>
    <t>ts_4_1_A-E-24_opt</t>
  </si>
  <si>
    <t>ts_66_1_S-G-4_opt</t>
  </si>
  <si>
    <t>ts_109_1_NO2-A-11-e_opt</t>
  </si>
  <si>
    <t>ts_247_1_S-A-1_opt</t>
  </si>
  <si>
    <t>ts_391_2_R-A-5_opt</t>
  </si>
  <si>
    <t>ts_136_1_R-A-1_opt</t>
  </si>
  <si>
    <t>ts_320_1_RR-A-2-a_opt</t>
  </si>
  <si>
    <t>ts_200_1_NO2-C-8-e_opt</t>
  </si>
  <si>
    <t>ts_54_1_S-B-12_opt</t>
  </si>
  <si>
    <t>ts_106_1_RR-B-1-b_opt</t>
  </si>
  <si>
    <t>ts_79_1_S-G-1_opt</t>
  </si>
  <si>
    <t>ts_340_1_NO2-A-3-a_opt</t>
  </si>
  <si>
    <t>ts_270_1_NO2-B-8-d_opt</t>
  </si>
  <si>
    <t>ts_238_1_RR-B-6-b_opt</t>
  </si>
  <si>
    <t>ts_171_1_NO2-B-7-d_opt</t>
  </si>
  <si>
    <t>ts_344_1_R-A-6_opt</t>
  </si>
  <si>
    <t>ts_167_1_S-B-12_opt</t>
  </si>
  <si>
    <t>ts_99_1_NO2-A-10-c_opt</t>
  </si>
  <si>
    <t>ts_20_1_NO2-C-2-e_opt</t>
  </si>
  <si>
    <t>ts_19_1_E-2-b_opt</t>
  </si>
  <si>
    <t>ts_195_2_S-B-5-a_opt</t>
  </si>
  <si>
    <t>ts_38_1_NO2-A-2-c_opt</t>
  </si>
  <si>
    <t>ts_131_1_RR-B-1-b_opt</t>
  </si>
  <si>
    <t>ts_56_1_S-F-4_opt</t>
  </si>
  <si>
    <t>ts_139_1_S-G-6_opt</t>
  </si>
  <si>
    <t>ts_420_1_RR-A-8-c_opt</t>
  </si>
  <si>
    <t>ts_199_2_A-E-10_opt</t>
  </si>
  <si>
    <t>ts_100_1_A-I-2_opt</t>
  </si>
  <si>
    <t>ts_215_2_S-A-15_opt</t>
  </si>
  <si>
    <t>ts_204_1_S-D-11_opt</t>
  </si>
  <si>
    <t>ts_288_1_NO2-A-3-b_opt</t>
  </si>
  <si>
    <t>ts_210_1_NO2-B-2-e_opt</t>
  </si>
  <si>
    <t>ts_361_1_NO2-A-3-b_opt</t>
  </si>
  <si>
    <t>ts_154_1_S-A-8_opt</t>
  </si>
  <si>
    <t>ts_163_1_NO2-B-2-e_opt</t>
  </si>
  <si>
    <t>ts_176_1_S-F-2_opt</t>
  </si>
  <si>
    <t>ts_173_1_NO2-B-8-d_opt</t>
  </si>
  <si>
    <t>ts_18_1_S-C-16_opt</t>
  </si>
  <si>
    <t>ts_304_1_A-H-1_opt</t>
  </si>
  <si>
    <t>ts_89_1_S-A-1_opt</t>
  </si>
  <si>
    <t>ts_169_1_RR-A-1_opt</t>
  </si>
  <si>
    <t>ts_279_1_RR-B-6-b_opt</t>
  </si>
  <si>
    <t>ts_158_2_A-E-9_opt</t>
  </si>
  <si>
    <t>ts_432_1_RR-A-8-c_opt</t>
  </si>
  <si>
    <t>ts_37_1_S-C-7_opt</t>
  </si>
  <si>
    <t>ts_52_1_NO2-A-11-e_opt</t>
  </si>
  <si>
    <t>ts_135_1_NO2-B-11-b_opt</t>
  </si>
  <si>
    <t>ts_97_1_A-E-25_opt</t>
  </si>
  <si>
    <t>ts_290_1_R-B-14_opt</t>
  </si>
  <si>
    <t>ts_332_1_R-A-5_opt</t>
  </si>
  <si>
    <t>ts_96_2_A-E-11_opt</t>
  </si>
  <si>
    <t>ts_179_1_A-E-17_opt</t>
  </si>
  <si>
    <t>ts_75_1_A-E-23_opt</t>
  </si>
  <si>
    <t>ts_360_1_S-A-5_opt</t>
  </si>
  <si>
    <t>ts_87_1_A-E-5_opt</t>
  </si>
  <si>
    <t>ts_24_1_S-C-2-ab_opt</t>
  </si>
  <si>
    <t>ts_160_1_NO2-A-4-d_opt</t>
  </si>
  <si>
    <t>ts_284_2_A-E-2_opt</t>
  </si>
  <si>
    <t>ts_58_1_R-B-4_opt</t>
  </si>
  <si>
    <t>ts_156_1_A-E-19_opt</t>
  </si>
  <si>
    <t>ts_107_1_A-H-1_opt</t>
  </si>
  <si>
    <t>ts_148_2_R-B-2_opt</t>
  </si>
  <si>
    <t>ts_176_1_S-B-7_opt</t>
  </si>
  <si>
    <t>ts_217_1_S-D-9_opt</t>
  </si>
  <si>
    <t>ts_24_1_S-B-9_opt</t>
  </si>
  <si>
    <t>ts_142_1_NO2-C-3-e_opt</t>
  </si>
  <si>
    <t>ts_362_1_R-B-2_opt</t>
  </si>
  <si>
    <t>ts_12_1_S-B-7_opt</t>
  </si>
  <si>
    <t>ts_42_1_S-A-17_opt</t>
  </si>
  <si>
    <t>ts_232_1_NO2-B-7-e_opt</t>
  </si>
  <si>
    <t>ts_161_1_E-2-a_opt</t>
  </si>
  <si>
    <t>ts_7_1_S-D-14_opt</t>
  </si>
  <si>
    <t>ts_221_1_NO2-A-11-d_opt</t>
  </si>
  <si>
    <t>ts_67_1_NO2-A-1-c_opt</t>
  </si>
  <si>
    <t>ts_38_1_S-B-12_opt</t>
  </si>
  <si>
    <t>ts_55_2_A-E-2_opt</t>
  </si>
  <si>
    <t>ts_138_1_RR-B-2-b_opt</t>
  </si>
  <si>
    <t>ts_252_1_R-B-3_opt</t>
  </si>
  <si>
    <t>ts_177_2_R-B-10_opt</t>
  </si>
  <si>
    <t>ts_32_1_RR-B-2-b_opt</t>
  </si>
  <si>
    <t>ts_58_1_S-D-13_opt</t>
  </si>
  <si>
    <t>ts_87_2_S-C-10_opt</t>
  </si>
  <si>
    <t>ts_115_1_RR-A-1_opt</t>
  </si>
  <si>
    <t>ts_318_1_NO2-B-7-d_opt</t>
  </si>
  <si>
    <t>ts_57_1_S-A-14_opt</t>
  </si>
  <si>
    <t>ts_275_1_NO2-A-9-b_opt</t>
  </si>
  <si>
    <t>ts_68_1_NO2-A-1-b_opt</t>
  </si>
  <si>
    <t>ts_36_3_S-B-3-a_opt</t>
  </si>
  <si>
    <t>ts_208_1_NO2-A-8-b_opt</t>
  </si>
  <si>
    <t>ts_183_1_NO2-A-5-e_opt</t>
  </si>
  <si>
    <t>ts_224_1_NO2-A-4-d_opt</t>
  </si>
  <si>
    <t>ts_186_1_S-A-26_opt</t>
  </si>
  <si>
    <t>ts_175_1_R-B-2_opt</t>
  </si>
  <si>
    <t>ts_175_1_A-E-19_opt</t>
  </si>
  <si>
    <t>ts_223_1_S-A-24_opt</t>
  </si>
  <si>
    <t>ts_244_1_S-A-14_opt</t>
  </si>
  <si>
    <t>ts_204_1_A-E-1_opt</t>
  </si>
  <si>
    <t>ts_226_1_A-E-11_opt</t>
  </si>
  <si>
    <t>ts_358_1_A-E-8_opt</t>
  </si>
  <si>
    <t>ts_58_2_A-E-8_opt</t>
  </si>
  <si>
    <t>ts_107_1_S-A-11_opt</t>
  </si>
  <si>
    <t>ts_122_1_S-A-11_opt</t>
  </si>
  <si>
    <t>ts_365_1_NO2-A-1-d_opt</t>
  </si>
  <si>
    <t>ts_73_1_S-A-9_opt</t>
  </si>
  <si>
    <t>ts_154_1_NO2-C-8-e_opt</t>
  </si>
  <si>
    <t>ts_297_1_NO2-A-5-a_opt</t>
  </si>
  <si>
    <t>ts_72_1_A-E-19_opt</t>
  </si>
  <si>
    <t>ts_11_1_A-E-10_opt</t>
  </si>
  <si>
    <t>ts_399_1_RR-B-6-b_opt</t>
  </si>
  <si>
    <t>ts_283_1_RR-A-2-b_opt</t>
  </si>
  <si>
    <t>ts_74_1_NO2-A-10-d_opt</t>
  </si>
  <si>
    <t>ts_448_1_NO2-A-11-d_opt</t>
  </si>
  <si>
    <t>ts_64_1_RR-B-6-b_opt</t>
  </si>
  <si>
    <t>ts_172_1_RR-A-3-a_opt</t>
  </si>
  <si>
    <t>ts_98_1_S-A-9_opt</t>
  </si>
  <si>
    <t>ts_185_1_NO2-A-5-e_opt</t>
  </si>
  <si>
    <t>ts_300_1_S-A-18_opt</t>
  </si>
  <si>
    <t>ts_53_1_A-D-1_opt</t>
  </si>
  <si>
    <t>ts_48_2_A-E-23_opt</t>
  </si>
  <si>
    <t>ts_160_1_A-E-24_opt</t>
  </si>
  <si>
    <t>ts_77_1_NO2-A-11-d_opt</t>
  </si>
  <si>
    <t>ts_211_2_R-B-3_opt</t>
  </si>
  <si>
    <t>ts_344_1_S-G-2_opt</t>
  </si>
  <si>
    <t>ts_84_1_NO2-A-7-d_opt</t>
  </si>
  <si>
    <t>ts_288_1_RR-A-13-b_opt</t>
  </si>
  <si>
    <t>ts_197_1_S-A-5_opt</t>
  </si>
  <si>
    <t>ts_41_1_S-A-15_opt</t>
  </si>
  <si>
    <t>ts_240_1_NO2-B-3-e_opt</t>
  </si>
  <si>
    <t>ts_204_2_A-E-11_opt</t>
  </si>
  <si>
    <t>ts_261_1_NO2-B-8-e_opt</t>
  </si>
  <si>
    <t>ts_131_1_S-G-6_opt</t>
  </si>
  <si>
    <t>ts_259_1_RR-A-2-a_opt</t>
  </si>
  <si>
    <t>ts_10_1_NO2-A-11-c_opt</t>
  </si>
  <si>
    <t>ts_28_1_S-A-15_opt</t>
  </si>
  <si>
    <t>ts_105_1_NO2-A-6-d_opt</t>
  </si>
  <si>
    <t>ts_228_1_NO2-A-8-b_opt</t>
  </si>
  <si>
    <t>ts_154_1_RR-A-13-b_opt</t>
  </si>
  <si>
    <t>ts_22_1_A-E-4_opt</t>
  </si>
  <si>
    <t>ts_40_1_E-2-a_opt</t>
  </si>
  <si>
    <t>ts_416_1_S-A-24_opt</t>
  </si>
  <si>
    <t>ts_42_4_S-C-12_opt</t>
  </si>
  <si>
    <t>ts_118_1_NO2-A-6-b_opt</t>
  </si>
  <si>
    <t>ts_138_1_A-I-4_opt</t>
  </si>
  <si>
    <t>ts_359_1_NO2-B-3-e_opt</t>
  </si>
  <si>
    <t>ts_117_1_R-A-7_opt</t>
  </si>
  <si>
    <t>ts_22_2_A-E-9_opt</t>
  </si>
  <si>
    <t>ts_34_1_NO2-A-7-b_opt</t>
  </si>
  <si>
    <t>ts_342_1_NO2-A-11-a_opt</t>
  </si>
  <si>
    <t>ts_13_1_S-F-4_opt</t>
  </si>
  <si>
    <t>ts_103_1_NO2-A-7-d_opt</t>
  </si>
  <si>
    <t>ts_221_1_RR-A-2-a_opt</t>
  </si>
  <si>
    <t>ts_378_2_RR-B-7-a_opt</t>
  </si>
  <si>
    <t>ts_45_1_S-C-2-ab_opt</t>
  </si>
  <si>
    <t>ts_227_2_A-E-18_opt</t>
  </si>
  <si>
    <t>ts_251_2_R-A-6_opt</t>
  </si>
  <si>
    <t>ts_83_1_NO2-A-2-a_opt</t>
  </si>
  <si>
    <t>ts_56_1_NO2-B-8-e_opt</t>
  </si>
  <si>
    <t>ts_814_2_R-A-7_opt</t>
  </si>
  <si>
    <t>ts_50_1_E-2-a_opt</t>
  </si>
  <si>
    <t>ts_19_1_A-E-14_opt</t>
  </si>
  <si>
    <t>ts_381_1_R-A-8_opt</t>
  </si>
  <si>
    <t>ts_194_1_RR-B-6-b_opt</t>
  </si>
  <si>
    <t>ts_215_1_S-A-12_opt</t>
  </si>
  <si>
    <t>ts_221_1_RR-A-13-a_opt</t>
  </si>
  <si>
    <t>ts_116_1_NO2-A-3-d_opt</t>
  </si>
  <si>
    <t>ts_437_1_RR-B-6-a_opt</t>
  </si>
  <si>
    <t>ts_101_1_S-A-4_opt</t>
  </si>
  <si>
    <t>ts_17_1_S-A-16_opt</t>
  </si>
  <si>
    <t>ts_306_2_E-2-a_opt</t>
  </si>
  <si>
    <t>ts_191_2_A-E-18_opt</t>
  </si>
  <si>
    <t>ts_5_1_NO2-A-7-e_opt</t>
  </si>
  <si>
    <t>ts_230_1_RR-A-3-b_opt</t>
  </si>
  <si>
    <t>ts_253_2_E-2-a_opt</t>
  </si>
  <si>
    <t>ts_331_1_RR-A-2-b_opt</t>
  </si>
  <si>
    <t>ts_260_2_R-A-5_opt</t>
  </si>
  <si>
    <t>ts_346_2_R-A-5_opt</t>
  </si>
  <si>
    <t>ts_105_1_R-B-12_opt</t>
  </si>
  <si>
    <t>ts_157_1_NO2-B-12-d_opt</t>
  </si>
  <si>
    <t>ts_157_1_R-B-13_opt</t>
  </si>
  <si>
    <t>ts_66_1_A-E-5_opt</t>
  </si>
  <si>
    <t>ts_168_2_R-A-5_opt</t>
  </si>
  <si>
    <t>ts_487_1_RR-A-3-a_opt</t>
  </si>
  <si>
    <t>ts_163_1_S-B-7_opt</t>
  </si>
  <si>
    <t>ts_26_2_A-E-9_opt</t>
  </si>
  <si>
    <t>ts_352_2_A-E-16_opt</t>
  </si>
  <si>
    <t>ts_179_1_NO2-A-8-e_opt</t>
  </si>
  <si>
    <t>ts_99_1_S-C-13_opt</t>
  </si>
  <si>
    <t>ts_103_1_NO2-B-7-e_opt</t>
  </si>
  <si>
    <t>ts_188_1_A-E-8_opt</t>
  </si>
  <si>
    <t>ts_239_1_S-A-8_opt</t>
  </si>
  <si>
    <t>ts_99_2_A-E-20_opt</t>
  </si>
  <si>
    <t>ts_40_1_S-F-2_opt</t>
  </si>
  <si>
    <t>ts_79_2_S-C-13_opt</t>
  </si>
  <si>
    <t>ts_174_1_NO2-A-7-d_opt</t>
  </si>
  <si>
    <t>ts_84_1_NO2-A-7-e_opt</t>
  </si>
  <si>
    <t>ts_122_1_NO2-B-7-e_opt</t>
  </si>
  <si>
    <t>ts_92_1_NO2-A-2-e_opt</t>
  </si>
  <si>
    <t>ts_322_2_A-E-16_opt</t>
  </si>
  <si>
    <t>ts_86_1_NO2-B-8-d_opt</t>
  </si>
  <si>
    <t>ts_396_1_NO2-A-6-d_opt</t>
  </si>
  <si>
    <t>ts_142_1_NO2-A-1-b_opt</t>
  </si>
  <si>
    <t>ts_52_1_NO2-A-11-c_opt</t>
  </si>
  <si>
    <t>ts_288_1_E-2-b_opt</t>
  </si>
  <si>
    <t>ts_85_1_NO2-A-7-e_opt</t>
  </si>
  <si>
    <t>ts_31_4_A-I-1_opt</t>
  </si>
  <si>
    <t>ts_132_1_NO2-B-7-d_opt</t>
  </si>
  <si>
    <t>ts_261_1_RR-B-6-a_opt</t>
  </si>
  <si>
    <t>ts_66_1_NO2-A-12-d_opt</t>
  </si>
  <si>
    <t>ts_97_3_S-C-11_opt</t>
  </si>
  <si>
    <t>ts_410_1_S-A-19_opt</t>
  </si>
  <si>
    <t>ts_143_1_NO2-A-7-d_opt</t>
  </si>
  <si>
    <t>ts_305_1_E-1_opt</t>
  </si>
  <si>
    <t>ts_211_2_A-E-22_opt</t>
  </si>
  <si>
    <t>ts_47_1_A-E-13_opt</t>
  </si>
  <si>
    <t>ts_280_1_A-H-1_opt</t>
  </si>
  <si>
    <t>ts_213_1_RR-B-7-b_opt</t>
  </si>
  <si>
    <t>ts_32_2_R-B-10_opt</t>
  </si>
  <si>
    <t>ts_701_1_S-A-17_opt</t>
  </si>
  <si>
    <t>ts_96_1_R-B-13_opt</t>
  </si>
  <si>
    <t>ts_42_1_R-B-3_opt</t>
  </si>
  <si>
    <t>ts_36_1_NO2-C-3-e_opt</t>
  </si>
  <si>
    <t>ts_91_3_S-C-10_opt</t>
  </si>
  <si>
    <t>ts_185_1_NO2-A-3-e_opt</t>
  </si>
  <si>
    <t>ts_565_2_R-A-7_opt</t>
  </si>
  <si>
    <t>ts_358_1_S-A-18_opt</t>
  </si>
  <si>
    <t>ts_110_2_A-E-6_opt</t>
  </si>
  <si>
    <t>ts_36_4_S-C-13_opt</t>
  </si>
  <si>
    <t>ts_142_2_A-E-10_opt</t>
  </si>
  <si>
    <t>ts_173_2_A-E-1_opt</t>
  </si>
  <si>
    <t>ts_216_1_NO2-A-3-e_opt</t>
  </si>
  <si>
    <t>ts_58_1_RR-A-3-b_opt</t>
  </si>
  <si>
    <t>ts_158_1_R-B-2_opt</t>
  </si>
  <si>
    <t>ts_56_1_A-E-8_opt</t>
  </si>
  <si>
    <t>ts_197_1_NO2-A-11-b_opt</t>
  </si>
  <si>
    <t>ts_13_1_R-B-15-a_opt</t>
  </si>
  <si>
    <t>ts_366_1_S-G-5_opt</t>
  </si>
  <si>
    <t>ts_108_1_NO2-B-8-d_opt</t>
  </si>
  <si>
    <t>ts_58_2_A-F-3_opt</t>
  </si>
  <si>
    <t>ts_60_1_NO2-A-8-c_opt</t>
  </si>
  <si>
    <t>ts_70_1_R-A-7_opt</t>
  </si>
  <si>
    <t>ts_403_1_RR-A-18_opt</t>
  </si>
  <si>
    <t>ts_516_1_S-A-15_opt</t>
  </si>
  <si>
    <t>ts_46_2_S-C-10_opt</t>
  </si>
  <si>
    <t>ts_13_1_NO2-B-7-e_opt</t>
  </si>
  <si>
    <t>ts_329_1_RR-A-13-b_opt</t>
  </si>
  <si>
    <t>ts_346_2_A-E-8_opt</t>
  </si>
  <si>
    <t>ts_288_1_S-G-6_opt</t>
  </si>
  <si>
    <t>ts_371_1_S-A-17_opt</t>
  </si>
  <si>
    <t>ts_117_1_S-B-13_opt</t>
  </si>
  <si>
    <t>ts_127_1_S-G-5_opt</t>
  </si>
  <si>
    <t>ts_350_1_S-A-13_opt</t>
  </si>
  <si>
    <t>ts_364_1_RR-A-3-a_opt</t>
  </si>
  <si>
    <t>ts_213_1_R-B-12_opt</t>
  </si>
  <si>
    <t>ts_87_2_R-A-10_opt</t>
  </si>
  <si>
    <t>ts_220_1_A-D-2_opt</t>
  </si>
  <si>
    <t>ts_221_1_S-B-12_opt</t>
  </si>
  <si>
    <t>ts_76_1_NO2-A-7-b_opt</t>
  </si>
  <si>
    <t>ts_191_1_R-B-14_opt</t>
  </si>
  <si>
    <t>ts_10_1_A-E-10_opt</t>
  </si>
  <si>
    <t>ts_235_1_RR-A-9-a_opt</t>
  </si>
  <si>
    <t>ts_333_1_NO2-A-11-a_opt</t>
  </si>
  <si>
    <t>ts_221_1_R-A-2_opt</t>
  </si>
  <si>
    <t>ts_115_1_NO2-A-2-c_opt</t>
  </si>
  <si>
    <t>ts_257_1_R-B-11_opt</t>
  </si>
  <si>
    <t>ts_316_1_NO2-A-9-b_opt</t>
  </si>
  <si>
    <t>ts_86_1_NO2-A-5-b_opt</t>
  </si>
  <si>
    <t>ts_141_1_A-E-14_opt</t>
  </si>
  <si>
    <t>ts_266_1_NO2-B-12-d_opt</t>
  </si>
  <si>
    <t>ts_355_1_S-D-9_opt</t>
  </si>
  <si>
    <t>ts_118_2_A-E-10_opt</t>
  </si>
  <si>
    <t>ts_209_1_NO2-A-8-b_opt</t>
  </si>
  <si>
    <t>ts_259_1_R-B-15-a_opt</t>
  </si>
  <si>
    <t>ts_25_1_NO2-A-7-d_opt</t>
  </si>
  <si>
    <t>ts_358_2_A-E-6_opt</t>
  </si>
  <si>
    <t>ts_43_2_R-A-6_opt</t>
  </si>
  <si>
    <t>ts_54_1_R-A-5_opt</t>
  </si>
  <si>
    <t>ts_45_2_NO2-A-8-a_opt</t>
  </si>
  <si>
    <t>ts_428_1_RR-A-8-c_opt</t>
  </si>
  <si>
    <t>ts_472_1_RR-A-2-a_opt</t>
  </si>
  <si>
    <t>ts_479_2_R-A-7_opt</t>
  </si>
  <si>
    <t>ts_9_2_A-E-10_opt</t>
  </si>
  <si>
    <t>ts_24_1_S-B-12_opt</t>
  </si>
  <si>
    <t>ts_28_2_A-F-1_opt</t>
  </si>
  <si>
    <t>ts_203_1_S-A-17_opt</t>
  </si>
  <si>
    <t>ts_519_1_R-A-7_opt</t>
  </si>
  <si>
    <t>ts_66_1_S-A-12_opt</t>
  </si>
  <si>
    <t>ts_130_1_S-D-11_opt</t>
  </si>
  <si>
    <t>ts_588_2_R-A-7_opt</t>
  </si>
  <si>
    <t>ts_77_2_A-E-14_opt</t>
  </si>
  <si>
    <t>ts_11_1_A-E-8_opt</t>
  </si>
  <si>
    <t>ts_349_2_S-A-9_opt</t>
  </si>
  <si>
    <t>ts_125_1_A-E-8_opt</t>
  </si>
  <si>
    <t>ts_109_1_NO2-A-2-e_opt</t>
  </si>
  <si>
    <t>ts_90_2_R-A-7_opt</t>
  </si>
  <si>
    <t>ts_150_1_A-A-2_opt</t>
  </si>
  <si>
    <t>ts_1_1_NO2-A-11-b_opt</t>
  </si>
  <si>
    <t>ts_386_1_NO2-A-1-d_opt</t>
  </si>
  <si>
    <t>ts_193_1_S-G-4_opt</t>
  </si>
  <si>
    <t>ts_116_1_S-A-17_opt</t>
  </si>
  <si>
    <t>ts_166_2_S-D-2_opt</t>
  </si>
  <si>
    <t>ts_213_1_NO2-B-7-e_opt</t>
  </si>
  <si>
    <t>ts_17_1_NO2-A-11-e_opt</t>
  </si>
  <si>
    <t>ts_135_1_RR-A-3-b_opt</t>
  </si>
  <si>
    <t>ts_374_1_A-E-2_opt</t>
  </si>
  <si>
    <t>ts_99_1_A-I-3_opt</t>
  </si>
  <si>
    <t>ts_156_1_NO2-A-5-a_opt</t>
  </si>
  <si>
    <t>ts_64_1_NO2-A-5-e_opt</t>
  </si>
  <si>
    <t>ts_15_1_NO2-A-5-e_opt</t>
  </si>
  <si>
    <t>ts_56_1_RR-A-3-b_opt</t>
  </si>
  <si>
    <t>ts_27_1_NO2-A-11-e_opt</t>
  </si>
  <si>
    <t>ts_11_1_NO2-A-7-d_opt</t>
  </si>
  <si>
    <t>ts_278_1_RR-A-10_opt</t>
  </si>
  <si>
    <t>ts_127_1_NO2-A-1-e_opt</t>
  </si>
  <si>
    <t>ts_5_1_R-B-13_opt</t>
  </si>
  <si>
    <t>ts_255_1_S-B-8_opt</t>
  </si>
  <si>
    <t>ts_180_1_S-C-15_opt</t>
  </si>
  <si>
    <t>ts_305_1_RR-A-9-a_opt</t>
  </si>
  <si>
    <t>ts_2_1_NO2-B-7-e_opt</t>
  </si>
  <si>
    <t>ts_37_1_NO2-A-9-b_opt</t>
  </si>
  <si>
    <t>ts_395_1_R-B-4_opt</t>
  </si>
  <si>
    <t>ts_262_1_S-B-3-a_opt</t>
  </si>
  <si>
    <t>ts_158_1_R-A-4_opt</t>
  </si>
  <si>
    <t>ts_259_1_RR-A-12_opt</t>
  </si>
  <si>
    <t>ts_379_1_RR-A-3-a_opt</t>
  </si>
  <si>
    <t>ts_448_1_NO2-A-11-a_opt</t>
  </si>
  <si>
    <t>ts_138_1_R-B-15-a_opt</t>
  </si>
  <si>
    <t>ts_62_1_NO2-A-1-c_opt</t>
  </si>
  <si>
    <t>ts_168_1_RR-A-10_opt</t>
  </si>
  <si>
    <t>ts_49_1_A-I-4_opt</t>
  </si>
  <si>
    <t>ts_111_1_R-B-10_opt</t>
  </si>
  <si>
    <t>ts_155_2_S-A-6_opt</t>
  </si>
  <si>
    <t>ts_192_1_RR-B-6-a_opt</t>
  </si>
  <si>
    <t>ts_83_1_S-B-4-a_opt</t>
  </si>
  <si>
    <t>ts_270_1_RR-B-8-b_opt</t>
  </si>
  <si>
    <t>ts_88_2_R-B-7_opt</t>
  </si>
  <si>
    <t>ts_160_1_NO2-A-11-b_opt</t>
  </si>
  <si>
    <t>ts_306_1_S-C-2-aa_opt</t>
  </si>
  <si>
    <t>ts_162_1_R-B-4_opt</t>
  </si>
  <si>
    <t>ts_308_1_RR-A-1_opt</t>
  </si>
  <si>
    <t>ts_152_1_RR-B-5-a_opt</t>
  </si>
  <si>
    <t>ts_199_2_A-E-1_opt</t>
  </si>
  <si>
    <t>ts_363_1_RR-B-6-a_opt</t>
  </si>
  <si>
    <t>ts_151_1_RR-A-8-c_opt</t>
  </si>
  <si>
    <t>ts_194_1_RR-A-1_opt</t>
  </si>
  <si>
    <t>ts_120_1_S-A-19_opt</t>
  </si>
  <si>
    <t>ts_67_2_R-A-11_opt</t>
  </si>
  <si>
    <t>ts_230_1_S-A-13_opt</t>
  </si>
  <si>
    <t>ts_69_1_R-B-2_opt</t>
  </si>
  <si>
    <t>ts_132_1_E-2-a_opt</t>
  </si>
  <si>
    <t>ts_279_1_R-A-4_opt</t>
  </si>
  <si>
    <t>ts_40_1_A-E-13_opt</t>
  </si>
  <si>
    <t>ts_74_1_NO2-A-2-d_opt</t>
  </si>
  <si>
    <t>ts_443_1_NO2-A-11-d_opt</t>
  </si>
  <si>
    <t>ts_14_1_S-B-5-b_opt</t>
  </si>
  <si>
    <t>ts_189_1_S-A-5_opt</t>
  </si>
  <si>
    <t>ts_489_1_S-G-5_opt</t>
  </si>
  <si>
    <t>ts_397_1_RR-A-2-b_opt</t>
  </si>
  <si>
    <t>ts_70_1_NO2-B-12-e_opt</t>
  </si>
  <si>
    <t>ts_257_1_S-C-2-aa_opt</t>
  </si>
  <si>
    <t>ts_358_2_A-E-24_opt</t>
  </si>
  <si>
    <t>ts_95_1_R-B-12_opt</t>
  </si>
  <si>
    <t>ts_358_1_RR-B-7-a_opt</t>
  </si>
  <si>
    <t>ts_9_1_A-E-10_opt</t>
  </si>
  <si>
    <t>ts_384_1_S-G-5_opt</t>
  </si>
  <si>
    <t>ts_142_2_R-A-5_opt</t>
  </si>
  <si>
    <t>ts_70_1_NO2-B-11-c_opt</t>
  </si>
  <si>
    <t>ts_59_1_S-B-4-a_opt</t>
  </si>
  <si>
    <t>ts_141_2_A-E-8_opt</t>
  </si>
  <si>
    <t>ts_114_1_A-E-8_opt</t>
  </si>
  <si>
    <t>ts_166_1_RR-A-9-a_opt</t>
  </si>
  <si>
    <t>ts_291_2_A-E-2_opt</t>
  </si>
  <si>
    <t>ts_312_1_RR-A-2-b_opt</t>
  </si>
  <si>
    <t>ts_3_1_S-G-2_opt</t>
  </si>
  <si>
    <t>ts_5_1_E-2-a_opt</t>
  </si>
  <si>
    <t>ts_129_1_S-G-1_opt</t>
  </si>
  <si>
    <t>ts_366_1_RR-A-6_opt</t>
  </si>
  <si>
    <t>ts_218_1_E-2-b_opt</t>
  </si>
  <si>
    <t>ts_103_1_RR-A-9-a_opt</t>
  </si>
  <si>
    <t>ts_220_1_A-I-4_opt</t>
  </si>
  <si>
    <t>ts_235_1_A-H-1_opt</t>
  </si>
  <si>
    <t>ts_129_1_A-E-20_opt</t>
  </si>
  <si>
    <t>ts_388_1_A-E-14_opt</t>
  </si>
  <si>
    <t>ts_29_2_R-A-10_opt</t>
  </si>
  <si>
    <t>ts_97_1_NO2-C-3-e_opt</t>
  </si>
  <si>
    <t>ts_67_1_RR-A-13-c_opt</t>
  </si>
  <si>
    <t>ts_121_2_A-E-8_opt</t>
  </si>
  <si>
    <t>ts_62_1_RR-A-8-c_opt</t>
  </si>
  <si>
    <t>ts_398_1_RR-B-8-a_opt</t>
  </si>
  <si>
    <t>ts_126_1_RR-A-6_opt</t>
  </si>
  <si>
    <t>ts_266_2_S-A-6_opt</t>
  </si>
  <si>
    <t>ts_147_1_R-B-3_opt</t>
  </si>
  <si>
    <t>ts_361_1_E-2-b_opt</t>
  </si>
  <si>
    <t>ts_368_1_RR-A-8-c_opt</t>
  </si>
  <si>
    <t>ts_95_1_NO2-C-8-e_opt</t>
  </si>
  <si>
    <t>ts_93_2_A-E-20_opt</t>
  </si>
  <si>
    <t>ts_349_1_S-B-3-a_opt</t>
  </si>
  <si>
    <t>ts_117_3_A-I-4_opt</t>
  </si>
  <si>
    <t>ts_18_1_NO2-A-8-c_opt</t>
  </si>
  <si>
    <t>ts_143_2_A-E-9_opt</t>
  </si>
  <si>
    <t>ts_176_2_A-E-9_opt</t>
  </si>
  <si>
    <t>ts_324_1_RR-B-8-a_opt</t>
  </si>
  <si>
    <t>ts_37_1_NO2-A-4-d_opt</t>
  </si>
  <si>
    <t>ts_34_1_E-2-a_opt</t>
  </si>
  <si>
    <t>ts_187_1_NO2-A-7-a_opt</t>
  </si>
  <si>
    <t>ts_54_2_A-E-26_opt</t>
  </si>
  <si>
    <t>ts_132_1_R-B-7_opt</t>
  </si>
  <si>
    <t>ts_191_1_A-E-6_opt</t>
  </si>
  <si>
    <t>ts_14_2_S-C-7_opt</t>
  </si>
  <si>
    <t>ts_4_1_RR-B-2-b_opt</t>
  </si>
  <si>
    <t>ts_148_2_A-E-19_opt</t>
  </si>
  <si>
    <t>ts_175_1_NO2-A-6-b_opt</t>
  </si>
  <si>
    <t>ts_288_1_R-A-2_opt</t>
  </si>
  <si>
    <t>ts_28_1_RR-A-18_opt</t>
  </si>
  <si>
    <t>ts_424_3_S-B-3-a_opt</t>
  </si>
  <si>
    <t>ts_463_1_S-A-15_opt</t>
  </si>
  <si>
    <t>ts_493_1_S-B-5-a_opt</t>
  </si>
  <si>
    <t>ts_181_1_NO2-A-10-a_opt</t>
  </si>
  <si>
    <t>ts_2_1_S-D-2_opt</t>
  </si>
  <si>
    <t>ts_327_1_RR-A-3-a_opt</t>
  </si>
  <si>
    <t>ts_109_2_RR-B-7-a_opt</t>
  </si>
  <si>
    <t>ts_41_1_NO2-A-11-c_opt</t>
  </si>
  <si>
    <t>ts_170_1_RR-A-9-a_opt</t>
  </si>
  <si>
    <t>ts_228_1_NO2-B-8-d_opt</t>
  </si>
  <si>
    <t>ts_101_1_S-A-17_opt</t>
  </si>
  <si>
    <t>ts_192_1_S-F-4_opt</t>
  </si>
  <si>
    <t>ts_224_1_A-E-5_opt</t>
  </si>
  <si>
    <t>ts_186_2_A-F-2_opt</t>
  </si>
  <si>
    <t>ts_432_1_RR-B-1-b_opt</t>
  </si>
  <si>
    <t>ts_149_2_A-E-10_opt</t>
  </si>
  <si>
    <t>ts_271_1_NO2-A-8-e_opt</t>
  </si>
  <si>
    <t>ts_412_1_RR-B-8-b_opt</t>
  </si>
  <si>
    <t>ts_49_1_A-E-1_opt</t>
  </si>
  <si>
    <t>ts_223_1_NO2-A-9-e_opt</t>
  </si>
  <si>
    <t>ts_63_1_NO2-B-12-d_opt</t>
  </si>
  <si>
    <t>ts_2_1_RR-A-9-a_opt</t>
  </si>
  <si>
    <t>ts_40_1_NO2-A-3-e_opt</t>
  </si>
  <si>
    <t>ts_39_1_NO2-B-3-e_opt</t>
  </si>
  <si>
    <t>ts_386_1_RR-B-7-a_opt</t>
  </si>
  <si>
    <t>ts_272_3_R-B-10_opt</t>
  </si>
  <si>
    <t>ts_402_1_S-B-5-a_opt</t>
  </si>
  <si>
    <t>ts_219_1_A-I-4_opt</t>
  </si>
  <si>
    <t>ts_153_1_R-A-5_opt</t>
  </si>
  <si>
    <t>ts_87_1_A-E-23_opt</t>
  </si>
  <si>
    <t>ts_203_1_A-E-6_opt</t>
  </si>
  <si>
    <t>ts_24_1_NO2-A-10-d_opt</t>
  </si>
  <si>
    <t>ts_351_2_A-E-8_opt</t>
  </si>
  <si>
    <t>ts_5_1_NO2-A-1-e_opt</t>
  </si>
  <si>
    <t>ts_289_1_NO2-A-11-a_opt</t>
  </si>
  <si>
    <t>ts_209_2_R-B-7_opt</t>
  </si>
  <si>
    <t>ts_344_1_RR-A-13-c_opt</t>
  </si>
  <si>
    <t>ts_267_1_S-A-3_opt</t>
  </si>
  <si>
    <t>ts_160_2_A-E-8_opt</t>
  </si>
  <si>
    <t>ts_149_1_A-I-6_opt</t>
  </si>
  <si>
    <t>ts_116_1_NO2-A-7-b_opt</t>
  </si>
  <si>
    <t>ts_245_1_NO2-C-8-e_opt</t>
  </si>
  <si>
    <t>ts_266_1_A-E-16_opt</t>
  </si>
  <si>
    <t>ts_225_2_S-A-9_opt</t>
  </si>
  <si>
    <t>ts_2_2_S-C-13_opt</t>
  </si>
  <si>
    <t>ts_69_1_NO2-A-7-b_opt</t>
  </si>
  <si>
    <t>ts_208_1_S-F-4_opt</t>
  </si>
  <si>
    <t>ts_402_1_E-1_opt</t>
  </si>
  <si>
    <t>ts_169_1_RR-A-12_opt</t>
  </si>
  <si>
    <t>ts_186_1_S-B-11_opt</t>
  </si>
  <si>
    <t>ts_134_1_S-B-9_opt</t>
  </si>
  <si>
    <t>ts_155_2_RR-B-5-a_opt</t>
  </si>
  <si>
    <t>ts_127_1_A-F-2_opt</t>
  </si>
  <si>
    <t>ts_101_1_A-I-2_opt</t>
  </si>
  <si>
    <t>ts_50_1_R-B-9_opt</t>
  </si>
  <si>
    <t>ts_335_1_A-E-14_opt</t>
  </si>
  <si>
    <t>ts_82_1_A-E-4_opt</t>
  </si>
  <si>
    <t>ts_440_1_NO2-A-11-d_opt</t>
  </si>
  <si>
    <t>ts_45_1_NO2-A-3-d_opt</t>
  </si>
  <si>
    <t>ts_305_1_S-A-21_opt</t>
  </si>
  <si>
    <t>ts_24_2_R-A-10_opt</t>
  </si>
  <si>
    <t>ts_339_1_RR-B-6-a_opt</t>
  </si>
  <si>
    <t>ts_36_1_NO2-B-2-d_opt</t>
  </si>
  <si>
    <t>ts_68_1_A-A-2_opt</t>
  </si>
  <si>
    <t>ts_247_1_S-G-4_opt</t>
  </si>
  <si>
    <t>ts_359_4_R-B-7_opt</t>
  </si>
  <si>
    <t>ts_268_1_R-A-4_opt</t>
  </si>
  <si>
    <t>ts_191_1_NO2-A-2-c_opt</t>
  </si>
  <si>
    <t>ts_30_1_S-A-19_opt</t>
  </si>
  <si>
    <t>ts_212_1_S-A-12_opt</t>
  </si>
  <si>
    <t>ts_132_1_NO2-B-7-e_opt</t>
  </si>
  <si>
    <t>ts_210_1_R-B-14_opt</t>
  </si>
  <si>
    <t>ts_393_1_A-E-8_opt</t>
  </si>
  <si>
    <t>ts_193_1_S-C-2-aa_opt</t>
  </si>
  <si>
    <t>ts_218_1_NO2-A-4-d_opt</t>
  </si>
  <si>
    <t>ts_363_1_NO2-A-11-a_opt</t>
  </si>
  <si>
    <t>ts_566_1_S-A-15_opt</t>
  </si>
  <si>
    <t>ts_8_2_R-A-10_opt</t>
  </si>
  <si>
    <t>ts_198_1_RR-A-3-a_opt</t>
  </si>
  <si>
    <t>ts_111_1_NO2-A-8-a_opt</t>
  </si>
  <si>
    <t>ts_226_1_NO2-A-6-a_opt</t>
  </si>
  <si>
    <t>ts_87_1_S-H-1_opt</t>
  </si>
  <si>
    <t>ts_124_1_NO2-B-2-e_opt</t>
  </si>
  <si>
    <t>ts_89_1_S-C-1_opt</t>
  </si>
  <si>
    <t>ts_144_2_A-E-17_opt</t>
  </si>
  <si>
    <t>ts_372_2_R-B-2_opt</t>
  </si>
  <si>
    <t>ts_61_1_A-A-2_opt</t>
  </si>
  <si>
    <t>ts_213_2_R-A-6_opt</t>
  </si>
  <si>
    <t>ts_85_1_S-A-7_opt</t>
  </si>
  <si>
    <t>ts_60_1_NO2-A-10-b_opt</t>
  </si>
  <si>
    <t>ts_114_1_RR-A-13-c_opt</t>
  </si>
  <si>
    <t>ts_348_1_RR-A-2-b_opt</t>
  </si>
  <si>
    <t>ts_62_1_NO2-B-2-d_opt</t>
  </si>
  <si>
    <t>ts_277_1_S-B-5-a_opt</t>
  </si>
  <si>
    <t>ts_153_1_R-B-9_opt</t>
  </si>
  <si>
    <t>ts_368_2_A-E-8_opt</t>
  </si>
  <si>
    <t>ts_106_1_NO2-A-6-b_opt</t>
  </si>
  <si>
    <t>ts_66_1_NO2-A-1-c_opt</t>
  </si>
  <si>
    <t>ts_68_1_E-2-b_opt</t>
  </si>
  <si>
    <t>ts_116_1_S-F-3_opt</t>
  </si>
  <si>
    <t>ts_80_2_A-F-1_opt</t>
  </si>
  <si>
    <t>ts_108_1_R-A-2_opt</t>
  </si>
  <si>
    <t>ts_549_1_R-A-3_opt</t>
  </si>
  <si>
    <t>ts_19_1_R-B-15-a_opt</t>
  </si>
  <si>
    <t>ts_205_1_S-F-4_opt</t>
  </si>
  <si>
    <t>ts_57_2_A-E-4_opt</t>
  </si>
  <si>
    <t>ts_158_1_RR-A-6_opt</t>
  </si>
  <si>
    <t>ts_10_1_NO2-A-5-d_opt</t>
  </si>
  <si>
    <t>ts_245_1_A-I-5_opt</t>
  </si>
  <si>
    <t>ts_275_1_NO2-A-8-e_opt</t>
  </si>
  <si>
    <t>ts_296_2_R-A-6_opt</t>
  </si>
  <si>
    <t>ts_328_1_NO2-A-11-a_opt</t>
  </si>
  <si>
    <t>ts_162_1_S-B-9_opt</t>
  </si>
  <si>
    <t>ts_311_1_NO2-B-2-d_opt</t>
  </si>
  <si>
    <t>ts_87_2_A-I-3_opt</t>
  </si>
  <si>
    <t>ts_320_1_S-B-5-b_opt</t>
  </si>
  <si>
    <t>ts_36_1_S-A-6_opt</t>
  </si>
  <si>
    <t>ts_693_1_S-A-19_opt</t>
  </si>
  <si>
    <t>ts_91_2_A-E-25_opt</t>
  </si>
  <si>
    <t>ts_50_1_NO2-A-9-a_opt</t>
  </si>
  <si>
    <t>ts_118_1_NO2-B-8-c_opt</t>
  </si>
  <si>
    <t>ts_223_1_NO2-A-3-b_opt</t>
  </si>
  <si>
    <t>ts_21_1_RR-A-1_opt</t>
  </si>
  <si>
    <t>ts_5_1_R-A-5_opt</t>
  </si>
  <si>
    <t>ts_301_1_S-C-2-ab_opt</t>
  </si>
  <si>
    <t>ts_116_1_A-E-21_opt</t>
  </si>
  <si>
    <t>ts_48_2_S-C-16_opt</t>
  </si>
  <si>
    <t>ts_275_1_S-D-2_opt</t>
  </si>
  <si>
    <t>ts_228_1_NO2-B-2-d_opt</t>
  </si>
  <si>
    <t>ts_165_1_A-E-17_opt</t>
  </si>
  <si>
    <t>ts_40_1_NO2-A-12-e_opt</t>
  </si>
  <si>
    <t>ts_144_1_S-C-2-aa_opt</t>
  </si>
  <si>
    <t>ts_10_1_A-E-22_opt</t>
  </si>
  <si>
    <t>ts_374_1_S-A-18_opt</t>
  </si>
  <si>
    <t>ts_394_2_A-E-8_opt</t>
  </si>
  <si>
    <t>ts_169_2_A-E-9_opt</t>
  </si>
  <si>
    <t>ts_93_1_NO2-A-12-d_opt</t>
  </si>
  <si>
    <t>ts_148_1_NO2-A-1-b_opt</t>
  </si>
  <si>
    <t>ts_11_1_A-I-5_opt</t>
  </si>
  <si>
    <t>ts_172_1_S-G-4_opt</t>
  </si>
  <si>
    <t>ts_276_1_R-A-8_opt</t>
  </si>
  <si>
    <t>ts_3_2_A-E-20_opt</t>
  </si>
  <si>
    <t>ts_309_1_R-B-4_opt</t>
  </si>
  <si>
    <t>ts_77_1_A-I-6_opt</t>
  </si>
  <si>
    <t>ts_85_1_NO2-A-8-e_opt</t>
  </si>
  <si>
    <t>ts_205_1_NO2-B-7-d_opt</t>
  </si>
  <si>
    <t>ts_273_1_R-B-10_opt</t>
  </si>
  <si>
    <t>ts_430_1_NO2-A-11-a_opt</t>
  </si>
  <si>
    <t>ts_181_1_S-C-2-aa_opt</t>
  </si>
  <si>
    <t>ts_196_1_R-B-3_opt</t>
  </si>
  <si>
    <t>ts_80_1_NO2-A-11-d_opt</t>
  </si>
  <si>
    <t>ts_98_1_R-B-10_opt</t>
  </si>
  <si>
    <t>ts_173_1_RR-B-6-a_opt</t>
  </si>
  <si>
    <t>ts_107_1_NO2-A-3-d_opt</t>
  </si>
  <si>
    <t>ts_226_1_S-B-3-a_opt</t>
  </si>
  <si>
    <t>ts_12_1_NO2-A-11-b_opt</t>
  </si>
  <si>
    <t>ts_436_1_R-A-3_opt</t>
  </si>
  <si>
    <t>ts_49_2_R-B-7_opt</t>
  </si>
  <si>
    <t>ts_83_1_A-I-1_opt</t>
  </si>
  <si>
    <t>ts_75_1_R-B-4_opt</t>
  </si>
  <si>
    <t>ts_144_1_NO2-B-7-e_opt</t>
  </si>
  <si>
    <t>ts_216_1_NO2-A-11-a_opt</t>
  </si>
  <si>
    <t>ts_162_1_NO2-A-1-e_opt</t>
  </si>
  <si>
    <t>ts_391_2_A-E-6_opt</t>
  </si>
  <si>
    <t>ts_361_2_A-E-16_opt</t>
  </si>
  <si>
    <t>ts_267_1_S-A-8_opt</t>
  </si>
  <si>
    <t>ts_29_1_S-A-17_opt</t>
  </si>
  <si>
    <t>ts_30_1_S-A-10_opt</t>
  </si>
  <si>
    <t>ts_364_1_RR-A-13-a_opt</t>
  </si>
  <si>
    <t>ts_186_1_NO2-A-1-d_opt</t>
  </si>
  <si>
    <t>ts_6_1_NO2-B-7-e_opt</t>
  </si>
  <si>
    <t>ts_262_1_RR-A-2-a_opt</t>
  </si>
  <si>
    <t>ts_144_2_S-F-4_opt</t>
  </si>
  <si>
    <t>ts_311_1_S-A-18_opt</t>
  </si>
  <si>
    <t>ts_318_1_S-A-14_opt</t>
  </si>
  <si>
    <t>ts_313_1_RR-B-7-a_opt</t>
  </si>
  <si>
    <t>ts_208_1_S-A-17_opt</t>
  </si>
  <si>
    <t>ts_39_1_A-E-1_opt</t>
  </si>
  <si>
    <t>ts_161_1_S-D-16_opt</t>
  </si>
  <si>
    <t>ts_107_1_A-E-15_opt</t>
  </si>
  <si>
    <t>ts_93_1_S-A-7_opt</t>
  </si>
  <si>
    <t>ts_16_1_NO2-A-1-a_opt</t>
  </si>
  <si>
    <t>ts_292_1_RR-A-13-c_opt</t>
  </si>
  <si>
    <t>ts_115_2_NO2-A-8-a_opt</t>
  </si>
  <si>
    <t>ts_17_1_A-A-1_opt</t>
  </si>
  <si>
    <t>ts_1_1_S-D-14_opt</t>
  </si>
  <si>
    <t>ts_187_1_NO2-B-3-d_opt</t>
  </si>
  <si>
    <t>ts_396_1_S-A-9_opt</t>
  </si>
  <si>
    <t>ts_416_1_R-A-1_opt</t>
  </si>
  <si>
    <t>ts_199_2_A-E-18_opt</t>
  </si>
  <si>
    <t>ts_367_1_S-D-9_opt</t>
  </si>
  <si>
    <t>ts_381_1_NO2-A-9-e_opt</t>
  </si>
  <si>
    <t>ts_444_1_S-A-15_opt</t>
  </si>
  <si>
    <t>ts_517_1_S-A-17_opt</t>
  </si>
  <si>
    <t>ts_547_1_RR-A-9-a_opt</t>
  </si>
  <si>
    <t>ts_259_2_A-E-24_opt</t>
  </si>
  <si>
    <t>ts_137_1_S-A-5_opt</t>
  </si>
  <si>
    <t>ts_262_1_R-A-2_opt</t>
  </si>
  <si>
    <t>ts_473_2_R-A-7_opt</t>
  </si>
  <si>
    <t>ts_140_2_A-E-15_opt</t>
  </si>
  <si>
    <t>ts_207_1_A-I-6_opt</t>
  </si>
  <si>
    <t>ts_203_1_RR-A-13-c_opt</t>
  </si>
  <si>
    <t>ts_306_1_NO2-B-12-d_opt</t>
  </si>
  <si>
    <t>ts_52_1_RR-A-1_opt</t>
  </si>
  <si>
    <t>ts_305_1_RR-A-10_opt</t>
  </si>
  <si>
    <t>ts_194_1_RR-B-7-a_opt</t>
  </si>
  <si>
    <t>ts_66_2_A-E-20_opt</t>
  </si>
  <si>
    <t>ts_234_1_E-2-b_opt</t>
  </si>
  <si>
    <t>ts_13_2_A-E-10_opt</t>
  </si>
  <si>
    <t>ts_73_1_RR-B-6-a_opt</t>
  </si>
  <si>
    <t>ts_54_1_RR-B-7-a_opt</t>
  </si>
  <si>
    <t>ts_200_2_NO2-B-3-d_opt</t>
  </si>
  <si>
    <t>ts_13_1_S-B-4-a_opt</t>
  </si>
  <si>
    <t>ts_85_1_NO2-A-7-b_opt</t>
  </si>
  <si>
    <t>ts_50_1_NO2-A-6-e_opt</t>
  </si>
  <si>
    <t>ts_50_1_S-A-13_opt</t>
  </si>
  <si>
    <t>ts_146_1_A-E-22_opt</t>
  </si>
  <si>
    <t>ts_102_1_A-D-1_opt</t>
  </si>
  <si>
    <t>ts_400_2_A-E-8_opt</t>
  </si>
  <si>
    <t>ts_37_3_S-C-12_opt</t>
  </si>
  <si>
    <t>ts_212_1_RR-A-12_opt</t>
  </si>
  <si>
    <t>ts_80_1_R-B-10_opt</t>
  </si>
  <si>
    <t>ts_308_1_S-A-17_opt</t>
  </si>
  <si>
    <t>ts_255_1_R-B-2_opt</t>
  </si>
  <si>
    <t>ts_203_1_NO2-A-8-e_opt</t>
  </si>
  <si>
    <t>ts_201_2_E-2-a_opt</t>
  </si>
  <si>
    <t>ts_191_2_R-A-10_opt</t>
  </si>
  <si>
    <t>ts_114_1_S-C-2-ab_opt</t>
  </si>
  <si>
    <t>ts_201_1_S-C-2-aa_opt</t>
  </si>
  <si>
    <t>ts_46_1_S-C-4_opt</t>
  </si>
  <si>
    <t>ts_190_1_R-A-4_opt</t>
  </si>
  <si>
    <t>ts_19_2_A-I-1_opt</t>
  </si>
  <si>
    <t>ts_41_1_RR-A-9-a_opt</t>
  </si>
  <si>
    <t>ts_412_1_RR-B-8-a_opt</t>
  </si>
  <si>
    <t>ts_186_1_NO2-A-10-d_opt</t>
  </si>
  <si>
    <t>name</t>
  </si>
  <si>
    <t>refine_steps</t>
  </si>
  <si>
    <t>irc_time</t>
  </si>
  <si>
    <t>irc_steps</t>
  </si>
  <si>
    <t>ts_2_1_S-B-9_opt</t>
  </si>
  <si>
    <t>ts_8_1_A-E-20_opt</t>
  </si>
  <si>
    <t>ts_11_1_S-A-12_opt</t>
  </si>
  <si>
    <t>ts_11_1_S-A-19_opt</t>
  </si>
  <si>
    <t>ts_13_1_NO2-A-10-e_opt</t>
  </si>
  <si>
    <t>ts_16_1_S-D-14_opt</t>
  </si>
  <si>
    <t>ts_18_1_RR-B-4-b_opt</t>
  </si>
  <si>
    <t>ts_19_1_R-B-3_opt</t>
  </si>
  <si>
    <t>ts_30_2_S-D-9_opt</t>
  </si>
  <si>
    <t>ts_31_1_S-G-1_opt</t>
  </si>
  <si>
    <t>ts_33_1_NO2-A-5-a_opt</t>
  </si>
  <si>
    <t>ts_35_1_S-A-9_opt</t>
  </si>
  <si>
    <t>ts_36_1_R-B-13_opt</t>
  </si>
  <si>
    <t>ts_37_2_NO2-A-6-a_opt</t>
  </si>
  <si>
    <t>ts_40_1_NO2-A-7-a_opt</t>
  </si>
  <si>
    <t>ts_43_3_S-C-13_opt</t>
  </si>
  <si>
    <t>ts_44_1_S-B-9_opt</t>
  </si>
  <si>
    <t>ts_49_1_S-D-13_opt</t>
  </si>
  <si>
    <t>ts_50_1_S-D-12_opt</t>
  </si>
  <si>
    <t>ts_58_3_S-B-8_opt</t>
  </si>
  <si>
    <t>ts_61_1_NO2-A-7-a_opt</t>
  </si>
  <si>
    <t>ts_63_1_NO2-A-2-e_opt</t>
  </si>
  <si>
    <t>ts_64_1_NO2-A-4-a_opt</t>
  </si>
  <si>
    <t>ts_64_1_S-B-9_opt</t>
  </si>
  <si>
    <t>ts_64_2_NO2-A-3-a_opt</t>
  </si>
  <si>
    <t>ts_73_1_S-D-13_opt</t>
  </si>
  <si>
    <t>ts_74_1_S-A-4_opt</t>
  </si>
  <si>
    <t>ts_75_2_R-B-3_opt</t>
  </si>
  <si>
    <t>ts_77_1_S-D-14_opt</t>
  </si>
  <si>
    <t>ts_79_2_S-D-9_opt</t>
  </si>
  <si>
    <t>ts_83_2_S-D-10_opt</t>
  </si>
  <si>
    <t>ts_84_2_A-E-14_opt</t>
  </si>
  <si>
    <t>ts_87_1_NO2-A-5-e_opt</t>
  </si>
  <si>
    <t>ts_88_1_A-E-7_opt</t>
  </si>
  <si>
    <t>ts_92_1_R-B-5_opt</t>
  </si>
  <si>
    <t>ts_94_1_NO2-A-5-a_opt</t>
  </si>
  <si>
    <t>ts_98_1_NO2-A-2-a_opt</t>
  </si>
  <si>
    <t>ts_99_1_RR-A-8-c_opt</t>
  </si>
  <si>
    <t>ts_101_1_NO2-A-10-d_opt</t>
  </si>
  <si>
    <t>ts_101_1_R-A-5_opt</t>
  </si>
  <si>
    <t>ts_105_1_S-A-2_opt</t>
  </si>
  <si>
    <t>ts_110_1_RR-B-8-a_opt</t>
  </si>
  <si>
    <t>ts_117_1_R-B-5_opt</t>
  </si>
  <si>
    <t>ts_118_2_R-A-7_opt</t>
  </si>
  <si>
    <t>ts_119_1_S-B-7_opt</t>
  </si>
  <si>
    <t>ts_120_1_NO2-A-4-b_opt</t>
  </si>
  <si>
    <t>ts_124_1_NO2-A-12-a_opt</t>
  </si>
  <si>
    <t>ts_134_1_NO2-A-6-a_opt</t>
  </si>
  <si>
    <t>ts_135_1_S-B-9_opt</t>
  </si>
  <si>
    <t>ts_136_1_A-E-13_opt</t>
  </si>
  <si>
    <t>ts_136_1_S-B-12_opt</t>
  </si>
  <si>
    <t>ts_139_1_NO2-A-7-c_opt</t>
  </si>
  <si>
    <t>ts_141_1_NO2-B-8-e_opt</t>
  </si>
  <si>
    <t>ts_143_1_A-H-1_opt</t>
  </si>
  <si>
    <t>ts_143_1_A-I-5_opt</t>
  </si>
  <si>
    <t>ts_143_1_NO2-A-9-a_opt</t>
  </si>
  <si>
    <t>ts_143_2_R-B-2_opt</t>
  </si>
  <si>
    <t>ts_146_2_S-A-4_opt</t>
  </si>
  <si>
    <t>ts_149_1_A-I-5_opt</t>
  </si>
  <si>
    <t>ts_149_1_S-B-5-b_opt</t>
  </si>
  <si>
    <t>ts_151_1_NO2-A-2-a_opt</t>
  </si>
  <si>
    <t>ts_154_2_S-D-9_opt</t>
  </si>
  <si>
    <t>ts_155_1_S-C-4_opt</t>
  </si>
  <si>
    <t>ts_164_3_R-B-10_opt</t>
  </si>
  <si>
    <t>ts_166_2_R-A-6_opt</t>
  </si>
  <si>
    <t>ts_170_2_R-A-11_opt</t>
  </si>
  <si>
    <t>ts_171_1_A-E-11_opt</t>
  </si>
  <si>
    <t>ts_175_1_S-A-13_opt</t>
  </si>
  <si>
    <t>ts_182_1_NO2-A-12-a_opt</t>
  </si>
  <si>
    <t>ts_184_1_NO2-A-8-d_opt</t>
  </si>
  <si>
    <t>ts_184_2_R-A-6_opt</t>
  </si>
  <si>
    <t>ts_191_1_NO2-B-8-e_opt</t>
  </si>
  <si>
    <t>ts_191_2_NO2-A-3-a_opt</t>
  </si>
  <si>
    <t>ts_195_1_A-I-5_opt</t>
  </si>
  <si>
    <t>ts_195_1_S-D-14_opt</t>
  </si>
  <si>
    <t>ts_199_1_NO2-A-10-a_opt</t>
  </si>
  <si>
    <t>ts_200_2_S-D-10_opt</t>
  </si>
  <si>
    <t>ts_203_2_R-B-4_opt</t>
  </si>
  <si>
    <t>ts_204_1_NO2-B-2-d_opt</t>
  </si>
  <si>
    <t>ts_204_1_S-B-2_opt</t>
  </si>
  <si>
    <t>ts_206_1_A-I-5_opt</t>
  </si>
  <si>
    <t>ts_206_1_S-A-1_opt</t>
  </si>
  <si>
    <t>ts_208_1_S-D-2_opt</t>
  </si>
  <si>
    <t>ts_209_1_NO2-B-2-d_opt</t>
  </si>
  <si>
    <t>ts_213_1_A-E-9_opt</t>
  </si>
  <si>
    <t>ts_215_2_NO2-A-8-a_opt</t>
  </si>
  <si>
    <t>ts_222_1_A-I-3_opt</t>
  </si>
  <si>
    <t>ts_224_1_A-E-16_opt</t>
  </si>
  <si>
    <t>ts_225_1_A-D-2_opt</t>
  </si>
  <si>
    <t>ts_233_1_NO2-A-6-a_opt</t>
  </si>
  <si>
    <t>ts_235_1_R-A-6_opt</t>
  </si>
  <si>
    <t>ts_236_1_A-I-5_opt</t>
  </si>
  <si>
    <t>ts_236_2_A-E-2_opt</t>
  </si>
  <si>
    <t>ts_245_1_S-G-4_opt</t>
  </si>
  <si>
    <t>ts_246_2_S-A-4_opt</t>
  </si>
  <si>
    <t>ts_255_2_S-A-4_opt</t>
  </si>
  <si>
    <t>ts_264_2_NO2-A-1-a_opt</t>
  </si>
  <si>
    <t>ts_265_2_S-A-11_opt</t>
  </si>
  <si>
    <t>ts_268_1_NO2-A-9-c_opt</t>
  </si>
  <si>
    <t>ts_271_1_S-A-9_opt</t>
  </si>
  <si>
    <t>ts_273_1_R-B-14_opt</t>
  </si>
  <si>
    <t>ts_275_2_S-D-9_opt</t>
  </si>
  <si>
    <t>ts_276_2_S-A-4_opt</t>
  </si>
  <si>
    <t>ts_292_1_S-G-4_opt</t>
  </si>
  <si>
    <t>ts_294_1_S-A-17_opt</t>
  </si>
  <si>
    <t>ts_295_1_S-G-2_opt</t>
  </si>
  <si>
    <t>ts_299_1_NO2-A-8-a_opt</t>
  </si>
  <si>
    <t>ts_305_1_S-B-1_opt</t>
  </si>
  <si>
    <t>ts_312_1_S-A-3_opt</t>
  </si>
  <si>
    <t>ts_315_1_S-A-4_opt</t>
  </si>
  <si>
    <t>ts_320_2_S-B-8_opt</t>
  </si>
  <si>
    <t>ts_321_1_S-A-2_opt</t>
  </si>
  <si>
    <t>ts_323_1_S-D-9_opt</t>
  </si>
  <si>
    <t>ts_330_2_S-D-10_opt</t>
  </si>
  <si>
    <t>ts_332_1_S-D-9_opt</t>
  </si>
  <si>
    <t>ts_334_1_A-E-24_opt</t>
  </si>
  <si>
    <t>ts_342_1_NO2-A-6-d_opt</t>
  </si>
  <si>
    <t>ts_342_2_S-D-9_opt</t>
  </si>
  <si>
    <t>ts_348_1_S-B-1_opt</t>
  </si>
  <si>
    <t>ts_354_1_NO2-B-3-e_opt</t>
  </si>
  <si>
    <t>ts_366_2_S-D-9_opt</t>
  </si>
  <si>
    <t>ts_370_2_NO2-A-3-a_opt</t>
  </si>
  <si>
    <t>ts_377_1_S-A-4_opt</t>
  </si>
  <si>
    <t>ts_378_1_S-A-19_opt</t>
  </si>
  <si>
    <t>ts_384_1_NO2-A-3-a_opt</t>
  </si>
  <si>
    <t>ts_397_1_S-A-12_opt</t>
  </si>
  <si>
    <t>ts_401_1_RR-B-6-a_opt</t>
  </si>
  <si>
    <t>ts_401_2_A-E-6_opt</t>
  </si>
  <si>
    <t>ts_404_1_RR-B-4-b_opt</t>
  </si>
  <si>
    <t>ts_436_1_S-G-2_opt</t>
  </si>
  <si>
    <t>ts_769_2_R-A-7_opt</t>
  </si>
  <si>
    <t>ref_time (Tsopt and freq calculation)</t>
    <phoneticPr fontId="3" type="noConversion"/>
  </si>
  <si>
    <t>ts_4_1_S-C-11_opt</t>
  </si>
  <si>
    <t>ts_5_1_S-C-11_opt</t>
  </si>
  <si>
    <t>ts_8_2_S-G-1_opt</t>
  </si>
  <si>
    <t>ts_9_1_S-A-5_opt</t>
  </si>
  <si>
    <t>ts_17_1_S-A-19_opt</t>
  </si>
  <si>
    <t>ts_20_1_S-A-2_opt</t>
  </si>
  <si>
    <t>ts_28_1_NO2-B-8-d_opt</t>
  </si>
  <si>
    <t>ts_28_1_S-G-6_opt</t>
  </si>
  <si>
    <t>ts_31_2_A-E-22_opt</t>
  </si>
  <si>
    <t>ts_39_1_R-B-11_opt</t>
  </si>
  <si>
    <t>ts_39_1_S-F-1_opt</t>
  </si>
  <si>
    <t>ts_43_1_R-B-13_opt</t>
  </si>
  <si>
    <t>ts_44_1_S-H-2_opt</t>
  </si>
  <si>
    <t>ts_49_2_A-E-24_opt</t>
  </si>
  <si>
    <t>ts_52_1_E-2-b_opt</t>
  </si>
  <si>
    <t>ts_55_1_S-A-8_opt</t>
  </si>
  <si>
    <t>ts_59_1_NO2-A-12-d_opt</t>
  </si>
  <si>
    <t>ts_59_1_S-C-15_opt</t>
  </si>
  <si>
    <t>ts_61_1_R-A-2_opt</t>
  </si>
  <si>
    <t>ts_66_1_NO2-B-8-c_opt</t>
  </si>
  <si>
    <t>ts_70_1_S-A-16_opt</t>
  </si>
  <si>
    <t>ts_74_1_NO2-C-8-c_opt</t>
  </si>
  <si>
    <t>ts_75_1_NO2-B-11-e_opt</t>
  </si>
  <si>
    <t>ts_75_1_S-F-4_opt</t>
  </si>
  <si>
    <t>ts_76_3_A-I-1_opt</t>
  </si>
  <si>
    <t>ts_79_1_S-C-16_opt</t>
  </si>
  <si>
    <t>ts_87_1_A-E-13_opt</t>
  </si>
  <si>
    <t>ts_88_2_A-E-26_opt</t>
  </si>
  <si>
    <t>ts_88_2_S-C-11_opt</t>
  </si>
  <si>
    <t>ts_91_1_S-A-13_opt</t>
  </si>
  <si>
    <t>ts_101_1_S-A-25_opt</t>
  </si>
  <si>
    <t>ts_109_1_R-A-4_opt</t>
  </si>
  <si>
    <t>ts_111_1_NO2-A-10-e_opt</t>
  </si>
  <si>
    <t>ts_115_1_S-B-8_opt</t>
  </si>
  <si>
    <t>ts_118_2_A-D-1_opt</t>
  </si>
  <si>
    <t>ts_119_1_NO2-A-10-d_opt</t>
  </si>
  <si>
    <t>ts_121_1_S-F-3_opt</t>
  </si>
  <si>
    <t>ts_136_1_A-E-5_opt</t>
  </si>
  <si>
    <t>ts_138_1_S-H-2_opt</t>
  </si>
  <si>
    <t>ts_139_1_RR-A-8-c_opt</t>
  </si>
  <si>
    <t>ts_139_1_RR-B-6-b_opt</t>
  </si>
  <si>
    <t>ts_141_1_R-A-3_opt</t>
  </si>
  <si>
    <t>ts_148_1_S-A-9_opt</t>
  </si>
  <si>
    <t>ts_154_1_S-A-2_opt</t>
  </si>
  <si>
    <t>ts_154_1_S-F-1_opt</t>
  </si>
  <si>
    <t>ts_156_1_R-A-8_opt</t>
  </si>
  <si>
    <t>ts_157_1_S-A-16_opt</t>
  </si>
  <si>
    <t>ts_164_1_R-A-3_opt</t>
  </si>
  <si>
    <t>ts_164_2_R-A-7_opt</t>
  </si>
  <si>
    <t>ts_168_1_RR-B-6-a_opt</t>
  </si>
  <si>
    <t>ts_178_1_S-C-16_opt</t>
  </si>
  <si>
    <t>ts_189_2_A-E-24_opt</t>
  </si>
  <si>
    <t>ts_196_1_R-B-11_opt</t>
  </si>
  <si>
    <t>ts_201_1_A-E-16_opt</t>
  </si>
  <si>
    <t>ts_208_1_R-A-9_opt</t>
  </si>
  <si>
    <t>ts_212_2_A-E-22_opt</t>
  </si>
  <si>
    <t>ts_221_1_NO2-A-1-d_opt</t>
  </si>
  <si>
    <t>ts_224_1_S-D-9_opt</t>
  </si>
  <si>
    <t>ts_229_1_A-E-24_opt</t>
  </si>
  <si>
    <t>ts_233_1_S-B-5-b_opt</t>
  </si>
  <si>
    <t>ts_244_1_S-A-19_opt</t>
  </si>
  <si>
    <t>ts_250_1_R-A-8_opt</t>
  </si>
  <si>
    <t>ts_254_1_S-A-8_opt</t>
  </si>
  <si>
    <t>ts_254_2_R-A-6_opt</t>
  </si>
  <si>
    <t>ts_263_1_NO2-B-8-e_opt</t>
  </si>
  <si>
    <t>ts_265_1_NO2-A-11-d_opt</t>
  </si>
  <si>
    <t>ts_270_1_S-A-16_opt</t>
  </si>
  <si>
    <t>ts_274_1_RR-B-4-b_opt</t>
  </si>
  <si>
    <t>ts_284_4_R-A-7_opt</t>
  </si>
  <si>
    <t>ts_290_1_NO2-A-11-d_opt</t>
  </si>
  <si>
    <t>ts_290_1_S-G-6_opt</t>
  </si>
  <si>
    <t>ts_305_1_S-A-15_opt</t>
  </si>
  <si>
    <t>ts_306_1_R-B-11_opt</t>
  </si>
  <si>
    <t>ts_311_1_S-A-19_opt</t>
  </si>
  <si>
    <t>ts_314_1_R-A-4_opt</t>
  </si>
  <si>
    <t>ts_316_2_A-E-16_opt</t>
  </si>
  <si>
    <t>ts_320_1_NO2-A-1-a_opt</t>
  </si>
  <si>
    <t>ts_323_1_S-G-5_opt</t>
  </si>
  <si>
    <t>ts_324_4_R-A-7_opt</t>
  </si>
  <si>
    <t>ts_345_1_R-A-6_opt</t>
  </si>
  <si>
    <t>ts_352_1_RR-A-13-b_opt</t>
  </si>
  <si>
    <t>ts_362_2_S-A-9_opt</t>
  </si>
  <si>
    <t>ts_365_1_S-A-2_opt</t>
  </si>
  <si>
    <t>ts_367_1_S-B-2_opt</t>
  </si>
  <si>
    <t>ts_369_1_S-B-1_opt</t>
  </si>
  <si>
    <t>ts_370_1_R-A-6_opt</t>
  </si>
  <si>
    <t>ts_372_1_RR-B-4-b_opt</t>
  </si>
  <si>
    <t>ts_376_1_R-B-3_opt</t>
  </si>
  <si>
    <t>ts_397_2_A-E-6_opt</t>
  </si>
  <si>
    <t>ts_398_1_RR-B-1-b_opt</t>
  </si>
  <si>
    <t>ts_402_2_A-E-14_opt</t>
  </si>
  <si>
    <t>ts_405_1_R-B-6_opt</t>
  </si>
  <si>
    <t>ts_426_2_R-A-7_opt</t>
  </si>
  <si>
    <t>ts_428_1_E-1_opt</t>
  </si>
  <si>
    <t>ts_432_1_S-A-17_opt</t>
  </si>
  <si>
    <t>ts_478_2_R-A-7_opt</t>
  </si>
  <si>
    <t>ts_581_1_R-A-7_opt</t>
  </si>
  <si>
    <t>ts_666_1_S-A-19_opt</t>
  </si>
  <si>
    <t>ts_676_2_R-A-7_opt</t>
  </si>
  <si>
    <t>ts_687_1_S-A-19_opt</t>
  </si>
  <si>
    <t>ts_785_2_R-A-7_opt</t>
  </si>
  <si>
    <t>ts_813_1_R-A-7_opt</t>
  </si>
  <si>
    <t>ts_18_1_S-B-4-b_opt</t>
  </si>
  <si>
    <t>ts_199_1_S-B-13_opt</t>
  </si>
  <si>
    <t>ts_40_1_NO2-A-11-e_opt</t>
  </si>
  <si>
    <t>ts_201_1_NO2-A-11-a_opt</t>
  </si>
  <si>
    <t>ts_136_1_NO2-A-11-e_opt</t>
  </si>
  <si>
    <t>ts_111_1_S-A-15_opt</t>
  </si>
  <si>
    <t>ts_15_1_S-F-2_opt</t>
  </si>
  <si>
    <t>ts_100_2_A-E-22_opt</t>
  </si>
  <si>
    <t>ts_108_1_S-A-3_opt</t>
  </si>
  <si>
    <t>ts_149_1_S-A-3_opt</t>
  </si>
  <si>
    <t>ts_174_1_S-C-2-ab_opt</t>
  </si>
  <si>
    <t>ts_333_1_NO2-A-11-d_opt</t>
  </si>
  <si>
    <t>rxn_name</t>
  </si>
  <si>
    <t>ts_opt_time</t>
  </si>
  <si>
    <t>ts_opt_steps</t>
  </si>
  <si>
    <t>freq_time</t>
  </si>
  <si>
    <t>rxn0007</t>
  </si>
  <si>
    <t>rxn0012</t>
  </si>
  <si>
    <t>rxn0016</t>
  </si>
  <si>
    <t>rxn0036</t>
  </si>
  <si>
    <t>rxn0038</t>
  </si>
  <si>
    <t>rxn0040</t>
  </si>
  <si>
    <t>rxn0061</t>
  </si>
  <si>
    <t>rxn0075</t>
  </si>
  <si>
    <t>rxn0078</t>
  </si>
  <si>
    <t>rxn0088</t>
  </si>
  <si>
    <t>rxn0102</t>
  </si>
  <si>
    <t>rxn0104</t>
  </si>
  <si>
    <t>rxn0106</t>
  </si>
  <si>
    <t>rxn0108</t>
  </si>
  <si>
    <t>rxn0123</t>
  </si>
  <si>
    <t>rxn0140</t>
  </si>
  <si>
    <t>rxn0144</t>
  </si>
  <si>
    <t>rxn0155</t>
  </si>
  <si>
    <t>rxn0157</t>
  </si>
  <si>
    <t>rxn0159</t>
  </si>
  <si>
    <t>rxn0163</t>
  </si>
  <si>
    <t>rxn0170</t>
  </si>
  <si>
    <t>rxn0171</t>
  </si>
  <si>
    <t>rxn0201</t>
  </si>
  <si>
    <t>rxn0224</t>
  </si>
  <si>
    <t>rxn0230</t>
  </si>
  <si>
    <t>rxn0246</t>
  </si>
  <si>
    <t>rxn0258</t>
  </si>
  <si>
    <t>rxn0270</t>
  </si>
  <si>
    <t>rxn0288</t>
  </si>
  <si>
    <t>rxn0293</t>
  </si>
  <si>
    <t>rxn0295</t>
  </si>
  <si>
    <t>rxn0300</t>
  </si>
  <si>
    <t>rxn0308</t>
  </si>
  <si>
    <t>rxn0336</t>
  </si>
  <si>
    <t>rxn0338</t>
  </si>
  <si>
    <t>rxn0372</t>
  </si>
  <si>
    <t>rxn0386</t>
  </si>
  <si>
    <t>rxn0394</t>
  </si>
  <si>
    <t>rxn0397</t>
  </si>
  <si>
    <t>rxn0417</t>
  </si>
  <si>
    <t>rxn0418</t>
  </si>
  <si>
    <t>rxn0442</t>
  </si>
  <si>
    <t>rxn0459</t>
  </si>
  <si>
    <t>rxn0462</t>
  </si>
  <si>
    <t>rxn0464</t>
  </si>
  <si>
    <t>rxn0471</t>
  </si>
  <si>
    <t>rxn0481</t>
  </si>
  <si>
    <t>rxn0485</t>
  </si>
  <si>
    <t>rxn0491</t>
  </si>
  <si>
    <t>rxn0494</t>
  </si>
  <si>
    <t>rxn0510</t>
  </si>
  <si>
    <t>rxn0516</t>
  </si>
  <si>
    <t>rxn0520</t>
  </si>
  <si>
    <t>rxn0537</t>
  </si>
  <si>
    <t>rxn0541</t>
  </si>
  <si>
    <t>rxn0558</t>
  </si>
  <si>
    <t>rxn0578</t>
  </si>
  <si>
    <t>rxn0583</t>
  </si>
  <si>
    <t>rxn0588</t>
  </si>
  <si>
    <t>rxn0597</t>
  </si>
  <si>
    <t>rxn0599</t>
  </si>
  <si>
    <t>rxn0610</t>
  </si>
  <si>
    <t>rxn0612</t>
  </si>
  <si>
    <t>rxn0623</t>
  </si>
  <si>
    <t>rxn0624</t>
  </si>
  <si>
    <t>rxn0635</t>
  </si>
  <si>
    <t>rxn0641</t>
  </si>
  <si>
    <t>rxn0649</t>
  </si>
  <si>
    <t>rxn0655</t>
  </si>
  <si>
    <t>rxn0670</t>
  </si>
  <si>
    <t>rxn0674</t>
  </si>
  <si>
    <t>rxn0704</t>
  </si>
  <si>
    <t>rxn0734</t>
  </si>
  <si>
    <t>rxn0752</t>
  </si>
  <si>
    <t>rxn0753</t>
  </si>
  <si>
    <t>rxn0756</t>
  </si>
  <si>
    <t>rxn0761</t>
  </si>
  <si>
    <t>rxn0803</t>
  </si>
  <si>
    <t>rxn0808</t>
  </si>
  <si>
    <t>rxn0813</t>
  </si>
  <si>
    <t>rxn0821</t>
  </si>
  <si>
    <t>rxn0824</t>
  </si>
  <si>
    <t>rxn0825</t>
  </si>
  <si>
    <t>rxn0836</t>
  </si>
  <si>
    <t>rxn0838</t>
  </si>
  <si>
    <t>rxn0845</t>
  </si>
  <si>
    <t>rxn0847</t>
  </si>
  <si>
    <t>rxn0859</t>
  </si>
  <si>
    <t>rxn0861</t>
  </si>
  <si>
    <t>rxn0867</t>
  </si>
  <si>
    <t>rxn0882</t>
  </si>
  <si>
    <t>rxn0896</t>
  </si>
  <si>
    <t>rxn0898</t>
  </si>
  <si>
    <t>rxn0903</t>
  </si>
  <si>
    <t>rxn0906</t>
  </si>
  <si>
    <t>rxn0928</t>
  </si>
  <si>
    <t>rxn0936</t>
  </si>
  <si>
    <t>rxn0955</t>
  </si>
  <si>
    <t>rxn0957</t>
  </si>
  <si>
    <t>rxn0974</t>
  </si>
  <si>
    <t>rxn0995</t>
  </si>
  <si>
    <t>rxn1004</t>
  </si>
  <si>
    <t>rxn1014</t>
  </si>
  <si>
    <t>rxn1030</t>
  </si>
  <si>
    <t>rxn1066</t>
  </si>
  <si>
    <t>rxn1073</t>
  </si>
  <si>
    <t>rxn1074</t>
  </si>
  <si>
    <t>rxn1084</t>
  </si>
  <si>
    <t>rxn1097</t>
  </si>
  <si>
    <t>rxn1107</t>
  </si>
  <si>
    <t>rxn1115</t>
  </si>
  <si>
    <t>rxn1132</t>
  </si>
  <si>
    <t>rxn1145</t>
  </si>
  <si>
    <t>rxn1161</t>
  </si>
  <si>
    <t>rxn1174</t>
  </si>
  <si>
    <t>rxn1176</t>
  </si>
  <si>
    <t>rxn1192</t>
  </si>
  <si>
    <t>rxn1199</t>
  </si>
  <si>
    <t>rxn1202</t>
  </si>
  <si>
    <t>rxn1203</t>
  </si>
  <si>
    <t>rxn1218</t>
  </si>
  <si>
    <t>rxn1239</t>
  </si>
  <si>
    <t>rxn1241</t>
  </si>
  <si>
    <t>rxn1245</t>
  </si>
  <si>
    <t>rxn1249</t>
  </si>
  <si>
    <t>rxn1257</t>
  </si>
  <si>
    <t>rxn1263</t>
  </si>
  <si>
    <t>rxn1281</t>
  </si>
  <si>
    <t>rxn1304</t>
  </si>
  <si>
    <t>rxn1313</t>
  </si>
  <si>
    <t>rxn1320</t>
  </si>
  <si>
    <t>rxn1338</t>
  </si>
  <si>
    <t>rxn1340</t>
  </si>
  <si>
    <t>rxn1356</t>
  </si>
  <si>
    <t>rxn1364</t>
  </si>
  <si>
    <t>rxn1378</t>
  </si>
  <si>
    <t>rxn1382</t>
  </si>
  <si>
    <t>rxn1385</t>
  </si>
  <si>
    <t>rxn1400</t>
  </si>
  <si>
    <t>rxn1416</t>
  </si>
  <si>
    <t>rxn1445</t>
  </si>
  <si>
    <t>rxn1457</t>
  </si>
  <si>
    <t>rxn1477</t>
  </si>
  <si>
    <t>rxn1494</t>
  </si>
  <si>
    <t>rxn1501</t>
  </si>
  <si>
    <t>rxn1504</t>
  </si>
  <si>
    <t>rxn1519</t>
  </si>
  <si>
    <t>rxn1525</t>
  </si>
  <si>
    <t>rxn1530</t>
  </si>
  <si>
    <t>rxn1531</t>
  </si>
  <si>
    <t>rxn1539</t>
  </si>
  <si>
    <t>rxn1541</t>
  </si>
  <si>
    <t>rxn1550</t>
  </si>
  <si>
    <t>rxn1552</t>
  </si>
  <si>
    <t>rxn1563</t>
  </si>
  <si>
    <t>rxn1567</t>
  </si>
  <si>
    <t>rxn1575</t>
  </si>
  <si>
    <t>rxn1577</t>
  </si>
  <si>
    <t>rxn1582</t>
  </si>
  <si>
    <t>rxn1609</t>
  </si>
  <si>
    <t>rxn1626</t>
  </si>
  <si>
    <t>rxn1640</t>
  </si>
  <si>
    <t>rxn1641</t>
  </si>
  <si>
    <t>rxn1646</t>
  </si>
  <si>
    <t>rxn1669</t>
  </si>
  <si>
    <t>rxn1671</t>
  </si>
  <si>
    <t>rxn1682</t>
  </si>
  <si>
    <t>rxn1702</t>
  </si>
  <si>
    <t>rxn1719</t>
  </si>
  <si>
    <t>rxn1720</t>
  </si>
  <si>
    <t>rxn1730</t>
  </si>
  <si>
    <t>rxn1735</t>
  </si>
  <si>
    <t>rxn1737</t>
  </si>
  <si>
    <t>rxn1744</t>
  </si>
  <si>
    <t>rxn1751</t>
  </si>
  <si>
    <t>rxn1752</t>
  </si>
  <si>
    <t>rxn1755</t>
  </si>
  <si>
    <t>rxn1767</t>
  </si>
  <si>
    <t>rxn1769</t>
  </si>
  <si>
    <t>rxn1773</t>
  </si>
  <si>
    <t>rxn1794</t>
  </si>
  <si>
    <t>rxn1795</t>
  </si>
  <si>
    <t>rxn1807</t>
  </si>
  <si>
    <t>rxn1823</t>
  </si>
  <si>
    <t>rxn1824</t>
  </si>
  <si>
    <t>rxn1830</t>
  </si>
  <si>
    <t>rxn1838</t>
  </si>
  <si>
    <t>rxn1856</t>
  </si>
  <si>
    <t>rxn1877</t>
  </si>
  <si>
    <t>rxn1879</t>
  </si>
  <si>
    <t>rxn1883</t>
  </si>
  <si>
    <t>rxn1887</t>
  </si>
  <si>
    <t>rxn1891</t>
  </si>
  <si>
    <t>rxn1896</t>
  </si>
  <si>
    <t>rxn1906</t>
  </si>
  <si>
    <t>rxn1926</t>
  </si>
  <si>
    <t>rxn1939</t>
  </si>
  <si>
    <t>rxn1940</t>
  </si>
  <si>
    <t>rxn1942</t>
  </si>
  <si>
    <t>rxn1948</t>
  </si>
  <si>
    <t>rxn1957</t>
  </si>
  <si>
    <t>rxn1965</t>
  </si>
  <si>
    <t>rxn1992</t>
  </si>
  <si>
    <t>rxn1998</t>
  </si>
  <si>
    <t>rxn2005</t>
  </si>
  <si>
    <t>rxn2016</t>
  </si>
  <si>
    <t>rxn2021</t>
  </si>
  <si>
    <t>rxn2027</t>
  </si>
  <si>
    <t>rxn2061</t>
  </si>
  <si>
    <t>rxn2062</t>
  </si>
  <si>
    <t>rxn2080</t>
  </si>
  <si>
    <t>rxn2092</t>
  </si>
  <si>
    <t>rxn2099</t>
  </si>
  <si>
    <t>rxn2103</t>
  </si>
  <si>
    <t>rxn2120</t>
  </si>
  <si>
    <t>rxn2122</t>
  </si>
  <si>
    <t>rxn2130</t>
  </si>
  <si>
    <t>rxn2135</t>
  </si>
  <si>
    <t>rxn2146</t>
  </si>
  <si>
    <t>rxn2158</t>
  </si>
  <si>
    <t>rxn2162</t>
  </si>
  <si>
    <t>rxn2166</t>
  </si>
  <si>
    <t>rxn2176</t>
  </si>
  <si>
    <t>rxn2181</t>
  </si>
  <si>
    <t>rxn2198</t>
  </si>
  <si>
    <t>rxn2203</t>
  </si>
  <si>
    <t>rxn2212</t>
  </si>
  <si>
    <t>rxn2221</t>
  </si>
  <si>
    <t>rxn2225</t>
  </si>
  <si>
    <t>rxn2233</t>
  </si>
  <si>
    <t>rxn2239</t>
  </si>
  <si>
    <t>rxn2245</t>
  </si>
  <si>
    <t>rxn2249</t>
  </si>
  <si>
    <t>rxn2250</t>
  </si>
  <si>
    <t>rxn2255</t>
  </si>
  <si>
    <t>rxn2268</t>
  </si>
  <si>
    <t>rxn2273</t>
  </si>
  <si>
    <t>rxn2291</t>
  </si>
  <si>
    <t>rxn2295</t>
  </si>
  <si>
    <t>rxn2298</t>
  </si>
  <si>
    <t>rxn2323</t>
  </si>
  <si>
    <t>rxn2333</t>
  </si>
  <si>
    <t>rxn2335</t>
  </si>
  <si>
    <t>rxn2360</t>
  </si>
  <si>
    <t>rxn2370</t>
  </si>
  <si>
    <t>rxn2404</t>
  </si>
  <si>
    <t>rxn2415</t>
  </si>
  <si>
    <t>rxn2426</t>
  </si>
  <si>
    <t>rxn2469</t>
  </si>
  <si>
    <t>rxn2472</t>
  </si>
  <si>
    <t>rxn2474</t>
  </si>
  <si>
    <t>rxn2503</t>
  </si>
  <si>
    <t>rxn2517</t>
  </si>
  <si>
    <t>rxn2550</t>
  </si>
  <si>
    <t>rxn2551</t>
  </si>
  <si>
    <t>rxn2552</t>
  </si>
  <si>
    <t>rxn2555</t>
  </si>
  <si>
    <t>rxn2567</t>
  </si>
  <si>
    <t>rxn2569</t>
  </si>
  <si>
    <t>rxn2580</t>
  </si>
  <si>
    <t>rxn2581</t>
  </si>
  <si>
    <t>rxn2597</t>
  </si>
  <si>
    <t>rxn2620</t>
  </si>
  <si>
    <t>rxn2622</t>
  </si>
  <si>
    <t>rxn2639</t>
  </si>
  <si>
    <t>rxn2655</t>
  </si>
  <si>
    <t>rxn2659</t>
  </si>
  <si>
    <t>rxn2664</t>
  </si>
  <si>
    <t>rxn2682</t>
  </si>
  <si>
    <t>rxn2684</t>
  </si>
  <si>
    <t>rxn2687</t>
  </si>
  <si>
    <t>rxn2688</t>
  </si>
  <si>
    <t>rxn2693</t>
  </si>
  <si>
    <t>rxn2698</t>
  </si>
  <si>
    <t>rxn2702</t>
  </si>
  <si>
    <t>rxn2720</t>
  </si>
  <si>
    <t>rxn2744</t>
  </si>
  <si>
    <t>rxn2757</t>
  </si>
  <si>
    <t>rxn2764</t>
  </si>
  <si>
    <t>rxn2766</t>
  </si>
  <si>
    <t>rxn2786</t>
  </si>
  <si>
    <t>rxn2792</t>
  </si>
  <si>
    <t>rxn2794</t>
  </si>
  <si>
    <t>rxn2801</t>
  </si>
  <si>
    <t>rxn2804</t>
  </si>
  <si>
    <t>rxn2805</t>
  </si>
  <si>
    <t>rxn2814</t>
  </si>
  <si>
    <t>rxn2817</t>
  </si>
  <si>
    <t>rxn2819</t>
  </si>
  <si>
    <t>rxn2842</t>
  </si>
  <si>
    <t>rxn2859</t>
  </si>
  <si>
    <t>rxn2860</t>
  </si>
  <si>
    <t>rxn2861</t>
  </si>
  <si>
    <t>rxn2866</t>
  </si>
  <si>
    <t>rxn2868</t>
  </si>
  <si>
    <t>rxn2907</t>
  </si>
  <si>
    <t>rxn2922</t>
  </si>
  <si>
    <t>rxn2934</t>
  </si>
  <si>
    <t>rxn2940</t>
  </si>
  <si>
    <t>rxn2949</t>
  </si>
  <si>
    <t>rxn2956</t>
  </si>
  <si>
    <t>rxn2960</t>
  </si>
  <si>
    <t>rxn2965</t>
  </si>
  <si>
    <t>rxn2988</t>
  </si>
  <si>
    <t>rxn2999</t>
  </si>
  <si>
    <t>rxn3020</t>
  </si>
  <si>
    <t>rxn3059</t>
  </si>
  <si>
    <t>rxn3062</t>
  </si>
  <si>
    <t>rxn3067</t>
  </si>
  <si>
    <t>rxn3071</t>
  </si>
  <si>
    <t>rxn3080</t>
  </si>
  <si>
    <t>rxn3083</t>
  </si>
  <si>
    <t>rxn3086</t>
  </si>
  <si>
    <t>rxn3096</t>
  </si>
  <si>
    <t>rxn3118</t>
  </si>
  <si>
    <t>rxn3121</t>
  </si>
  <si>
    <t>rxn3126</t>
  </si>
  <si>
    <t>rxn3130</t>
  </si>
  <si>
    <t>rxn3135</t>
  </si>
  <si>
    <t>rxn3140</t>
  </si>
  <si>
    <t>rxn3145</t>
  </si>
  <si>
    <t>rxn3162</t>
  </si>
  <si>
    <t>rxn3171</t>
  </si>
  <si>
    <t>rxn3174</t>
  </si>
  <si>
    <t>rxn3180</t>
  </si>
  <si>
    <t>rxn3184</t>
  </si>
  <si>
    <t>rxn3196</t>
  </si>
  <si>
    <t>rxn3204</t>
  </si>
  <si>
    <t>rxn3225</t>
  </si>
  <si>
    <t>rxn3232</t>
  </si>
  <si>
    <t>rxn3238</t>
  </si>
  <si>
    <t>rxn3241</t>
  </si>
  <si>
    <t>rxn3248</t>
  </si>
  <si>
    <t>rxn3249</t>
  </si>
  <si>
    <t>rxn3256</t>
  </si>
  <si>
    <t>rxn3272</t>
  </si>
  <si>
    <t>rxn3285</t>
  </si>
  <si>
    <t>rxn3298</t>
  </si>
  <si>
    <t>rxn3300</t>
  </si>
  <si>
    <t>rxn3302</t>
  </si>
  <si>
    <t>rxn3312</t>
  </si>
  <si>
    <t>rxn3329</t>
  </si>
  <si>
    <t>rxn3334</t>
  </si>
  <si>
    <t>rxn3338</t>
  </si>
  <si>
    <t>rxn3348</t>
  </si>
  <si>
    <t>rxn3355</t>
  </si>
  <si>
    <t>rxn3373</t>
  </si>
  <si>
    <t>rxn3387</t>
  </si>
  <si>
    <t>rxn3398</t>
  </si>
  <si>
    <t>rxn3404</t>
  </si>
  <si>
    <t>rxn3405</t>
  </si>
  <si>
    <t>rxn3423</t>
  </si>
  <si>
    <t>rxn3437</t>
  </si>
  <si>
    <t>rxn3440</t>
  </si>
  <si>
    <t>rxn3441</t>
  </si>
  <si>
    <t>rxn3464</t>
  </si>
  <si>
    <t>rxn3476</t>
  </si>
  <si>
    <t>rxn3482</t>
  </si>
  <si>
    <t>rxn3491</t>
  </si>
  <si>
    <t>rxn3497</t>
  </si>
  <si>
    <t>rxn3504</t>
  </si>
  <si>
    <t>rxn3506</t>
  </si>
  <si>
    <t>rxn3508</t>
  </si>
  <si>
    <t>rxn3536</t>
  </si>
  <si>
    <t>rxn3537</t>
  </si>
  <si>
    <t>rxn3541</t>
  </si>
  <si>
    <t>rxn3545</t>
  </si>
  <si>
    <t>rxn3558</t>
  </si>
  <si>
    <t>rxn3578</t>
  </si>
  <si>
    <t>rxn3590</t>
  </si>
  <si>
    <t>rxn3595</t>
  </si>
  <si>
    <t>rxn3602</t>
  </si>
  <si>
    <t>rxn3625</t>
  </si>
  <si>
    <t>rxn3640</t>
  </si>
  <si>
    <t>rxn3641</t>
  </si>
  <si>
    <t>rxn3652</t>
  </si>
  <si>
    <t>rxn3654</t>
  </si>
  <si>
    <t>rxn3665</t>
  </si>
  <si>
    <t>rxn3669</t>
  </si>
  <si>
    <t>rxn3670</t>
  </si>
  <si>
    <t>rxn3676</t>
  </si>
  <si>
    <t>rxn3717</t>
  </si>
  <si>
    <t>rxn3718</t>
  </si>
  <si>
    <t>rxn3723</t>
  </si>
  <si>
    <t>rxn3728</t>
  </si>
  <si>
    <t>rxn3731</t>
  </si>
  <si>
    <t>rxn3757</t>
  </si>
  <si>
    <t>rxn3791</t>
  </si>
  <si>
    <t>rxn3805</t>
  </si>
  <si>
    <t>rxn3812</t>
  </si>
  <si>
    <t>rxn3826</t>
  </si>
  <si>
    <t>rxn3832</t>
  </si>
  <si>
    <t>rxn3838</t>
  </si>
  <si>
    <t>rxn3849</t>
  </si>
  <si>
    <t>rxn3873</t>
  </si>
  <si>
    <t>rxn3886</t>
  </si>
  <si>
    <t>rxn3889</t>
  </si>
  <si>
    <t>rxn3896</t>
  </si>
  <si>
    <t>rxn3897</t>
  </si>
  <si>
    <t>rxn3899</t>
  </si>
  <si>
    <t>rxn3904</t>
  </si>
  <si>
    <t>rxn3910</t>
  </si>
  <si>
    <t>rxn3920</t>
  </si>
  <si>
    <t>rxn3950</t>
  </si>
  <si>
    <t>rxn3952</t>
  </si>
  <si>
    <t>rxn3954</t>
  </si>
  <si>
    <t>rxn3958</t>
  </si>
  <si>
    <t>rxn3971</t>
  </si>
  <si>
    <t>rxn3975</t>
  </si>
  <si>
    <t>rxn3996</t>
  </si>
  <si>
    <t>rxn4002</t>
  </si>
  <si>
    <t>rxn4014</t>
  </si>
  <si>
    <t>rxn4015</t>
  </si>
  <si>
    <t>rxn4021</t>
  </si>
  <si>
    <t>rxn4046</t>
  </si>
  <si>
    <t>rxn4053</t>
  </si>
  <si>
    <t>rxn4059</t>
  </si>
  <si>
    <t>rxn4060</t>
  </si>
  <si>
    <t>rxn4080</t>
  </si>
  <si>
    <t>rxn4093</t>
  </si>
  <si>
    <t>rxn4102</t>
  </si>
  <si>
    <t>rxn4111</t>
  </si>
  <si>
    <t>rxn4112</t>
  </si>
  <si>
    <t>rxn4119</t>
  </si>
  <si>
    <t>rxn4122</t>
  </si>
  <si>
    <t>rxn4127</t>
  </si>
  <si>
    <t>rxn4131</t>
  </si>
  <si>
    <t>rxn4137</t>
  </si>
  <si>
    <t>rxn4146</t>
  </si>
  <si>
    <t>rxn4151</t>
  </si>
  <si>
    <t>rxn4152</t>
  </si>
  <si>
    <t>rxn4164</t>
  </si>
  <si>
    <t>rxn4195</t>
  </si>
  <si>
    <t>rxn4204</t>
  </si>
  <si>
    <t>rxn4221</t>
  </si>
  <si>
    <t>rxn4230</t>
  </si>
  <si>
    <t>rxn4241</t>
  </si>
  <si>
    <t>rxn4252</t>
  </si>
  <si>
    <t>rxn4254</t>
  </si>
  <si>
    <t>rxn4259</t>
  </si>
  <si>
    <t>rxn4267</t>
  </si>
  <si>
    <t>rxn4279</t>
  </si>
  <si>
    <t>rxn4285</t>
  </si>
  <si>
    <t>rxn4287</t>
  </si>
  <si>
    <t>rxn4295</t>
  </si>
  <si>
    <t>rxn4299</t>
  </si>
  <si>
    <t>rxn4309</t>
  </si>
  <si>
    <t>rxn4330</t>
  </si>
  <si>
    <t>rxn4335</t>
  </si>
  <si>
    <t>rxn4337</t>
  </si>
  <si>
    <t>rxn4341</t>
  </si>
  <si>
    <t>rxn4345</t>
  </si>
  <si>
    <t>rxn4353</t>
  </si>
  <si>
    <t>rxn4368</t>
  </si>
  <si>
    <t>rxn4370</t>
  </si>
  <si>
    <t>rxn4372</t>
  </si>
  <si>
    <t>rxn4408</t>
  </si>
  <si>
    <t>rxn4413</t>
  </si>
  <si>
    <t>rxn4422</t>
  </si>
  <si>
    <t>rxn4425</t>
  </si>
  <si>
    <t>rxn4438</t>
  </si>
  <si>
    <t>rxn4444</t>
  </si>
  <si>
    <t>rxn4458</t>
  </si>
  <si>
    <t>rxn4459</t>
  </si>
  <si>
    <t>rxn4463</t>
  </si>
  <si>
    <t>rxn4469</t>
  </si>
  <si>
    <t>rxn4493</t>
  </si>
  <si>
    <t>rxn4503</t>
  </si>
  <si>
    <t>rxn4506</t>
  </si>
  <si>
    <t>rxn4509</t>
  </si>
  <si>
    <t>rxn4520</t>
  </si>
  <si>
    <t>rxn4524</t>
  </si>
  <si>
    <t>rxn4527</t>
  </si>
  <si>
    <t>rxn4535</t>
  </si>
  <si>
    <t>rxn4540</t>
  </si>
  <si>
    <t>rxn4542</t>
  </si>
  <si>
    <t>rxn4551</t>
  </si>
  <si>
    <t>rxn4570</t>
  </si>
  <si>
    <t>rxn4575</t>
  </si>
  <si>
    <t>rxn4585</t>
  </si>
  <si>
    <t>rxn4590</t>
  </si>
  <si>
    <t>rxn4595</t>
  </si>
  <si>
    <t>rxn4614</t>
  </si>
  <si>
    <t>rxn4623</t>
  </si>
  <si>
    <t>rxn4626</t>
  </si>
  <si>
    <t>rxn4634</t>
  </si>
  <si>
    <t>rxn4650</t>
  </si>
  <si>
    <t>rxn4670</t>
  </si>
  <si>
    <t>rxn4680</t>
  </si>
  <si>
    <t>rxn4682</t>
  </si>
  <si>
    <t>rxn4722</t>
  </si>
  <si>
    <t>rxn4735</t>
  </si>
  <si>
    <t>rxn4742</t>
  </si>
  <si>
    <t>rxn4745</t>
  </si>
  <si>
    <t>rxn4752</t>
  </si>
  <si>
    <t>rxn4761</t>
  </si>
  <si>
    <t>rxn4773</t>
  </si>
  <si>
    <t>rxn4778</t>
  </si>
  <si>
    <t>rxn4795</t>
  </si>
  <si>
    <t>rxn4806</t>
  </si>
  <si>
    <t>rxn4813</t>
  </si>
  <si>
    <t>rxn4822</t>
  </si>
  <si>
    <t>rxn4823</t>
  </si>
  <si>
    <t>rxn4829</t>
  </si>
  <si>
    <t>rxn4840</t>
  </si>
  <si>
    <t>rxn4853</t>
  </si>
  <si>
    <t>rxn4858</t>
  </si>
  <si>
    <t>rxn4860</t>
  </si>
  <si>
    <t>rxn4869</t>
  </si>
  <si>
    <t>rxn4870</t>
  </si>
  <si>
    <t>rxn4871</t>
  </si>
  <si>
    <t>rxn4892</t>
  </si>
  <si>
    <t>rxn4893</t>
  </si>
  <si>
    <t>rxn4895</t>
  </si>
  <si>
    <t>rxn4897</t>
  </si>
  <si>
    <t>rxn4910</t>
  </si>
  <si>
    <t>rxn4950</t>
  </si>
  <si>
    <t>rxn4964</t>
  </si>
  <si>
    <t>rxn4965</t>
  </si>
  <si>
    <t>rxn4966</t>
  </si>
  <si>
    <t>rxn4973</t>
  </si>
  <si>
    <t>rxn4976</t>
  </si>
  <si>
    <t>rxn4985</t>
  </si>
  <si>
    <t>rxn4987</t>
  </si>
  <si>
    <t>rxn5009</t>
  </si>
  <si>
    <t>rxn5013</t>
  </si>
  <si>
    <t>rxn5023</t>
  </si>
  <si>
    <t>rxn5029</t>
  </si>
  <si>
    <t>rxn5031</t>
  </si>
  <si>
    <t>rxn5040</t>
  </si>
  <si>
    <t>rxn5043</t>
  </si>
  <si>
    <t>rxn5048</t>
  </si>
  <si>
    <t>rxn5054</t>
  </si>
  <si>
    <t>rxn5064</t>
  </si>
  <si>
    <t>rxn5067</t>
  </si>
  <si>
    <t>rxn5079</t>
  </si>
  <si>
    <t>rxn5084</t>
  </si>
  <si>
    <t>rxn5087</t>
  </si>
  <si>
    <t>rxn5090</t>
  </si>
  <si>
    <t>rxn5091</t>
  </si>
  <si>
    <t>rxn5109</t>
  </si>
  <si>
    <t>rxn5115</t>
  </si>
  <si>
    <t>rxn5119</t>
  </si>
  <si>
    <t>rxn5124</t>
  </si>
  <si>
    <t>rxn5126</t>
  </si>
  <si>
    <t>rxn5128</t>
  </si>
  <si>
    <t>rxn5129</t>
  </si>
  <si>
    <t>rxn5145</t>
  </si>
  <si>
    <t>rxn5152</t>
  </si>
  <si>
    <t>rxn5156</t>
  </si>
  <si>
    <t>rxn5163</t>
  </si>
  <si>
    <t>rxn5168</t>
  </si>
  <si>
    <t>rxn5170</t>
  </si>
  <si>
    <t>rxn5175</t>
  </si>
  <si>
    <t>rxn5181</t>
  </si>
  <si>
    <t>rxn5183</t>
  </si>
  <si>
    <t>rxn5185</t>
  </si>
  <si>
    <t>rxn5205</t>
  </si>
  <si>
    <t>rxn5220</t>
  </si>
  <si>
    <t>rxn5226</t>
  </si>
  <si>
    <t>rxn5232</t>
  </si>
  <si>
    <t>rxn5237</t>
  </si>
  <si>
    <t>rxn5239</t>
  </si>
  <si>
    <t>rxn5242</t>
  </si>
  <si>
    <t>rxn5271</t>
  </si>
  <si>
    <t>rxn5302</t>
  </si>
  <si>
    <t>rxn5305</t>
  </si>
  <si>
    <t>rxn5306</t>
  </si>
  <si>
    <t>rxn5308</t>
  </si>
  <si>
    <t>rxn5311</t>
  </si>
  <si>
    <t>rxn5312</t>
  </si>
  <si>
    <t>rxn5335</t>
  </si>
  <si>
    <t>rxn5339</t>
  </si>
  <si>
    <t>rxn5342</t>
  </si>
  <si>
    <t>rxn5355</t>
  </si>
  <si>
    <t>rxn5356</t>
  </si>
  <si>
    <t>rxn5376</t>
  </si>
  <si>
    <t>rxn5397</t>
  </si>
  <si>
    <t>rxn5400</t>
  </si>
  <si>
    <t>rxn5403</t>
  </si>
  <si>
    <t>rxn5405</t>
  </si>
  <si>
    <t>rxn5408</t>
  </si>
  <si>
    <t>rxn5412</t>
  </si>
  <si>
    <t>rxn5438</t>
  </si>
  <si>
    <t>rxn5456</t>
  </si>
  <si>
    <t>rxn5462</t>
  </si>
  <si>
    <t>rxn5469</t>
  </si>
  <si>
    <t>rxn5470</t>
  </si>
  <si>
    <t>rxn5499</t>
  </si>
  <si>
    <t>rxn5505</t>
  </si>
  <si>
    <t>rxn5523</t>
  </si>
  <si>
    <t>rxn5529</t>
  </si>
  <si>
    <t>rxn5531</t>
  </si>
  <si>
    <t>rxn5546</t>
  </si>
  <si>
    <t>rxn5549</t>
  </si>
  <si>
    <t>rxn5551</t>
  </si>
  <si>
    <t>rxn5556</t>
  </si>
  <si>
    <t>rxn5571</t>
  </si>
  <si>
    <t>rxn5584</t>
  </si>
  <si>
    <t>rxn5602</t>
  </si>
  <si>
    <t>rxn5603</t>
  </si>
  <si>
    <t>rxn5610</t>
  </si>
  <si>
    <t>rxn5611</t>
  </si>
  <si>
    <t>rxn5632</t>
  </si>
  <si>
    <t>rxn5644</t>
  </si>
  <si>
    <t>rxn5645</t>
  </si>
  <si>
    <t>rxn5659</t>
  </si>
  <si>
    <t>rxn5671</t>
  </si>
  <si>
    <t>rxn5679</t>
  </si>
  <si>
    <t>rxn5692</t>
  </si>
  <si>
    <t>rxn5694</t>
  </si>
  <si>
    <t>rxn5696</t>
  </si>
  <si>
    <t>rxn5698</t>
  </si>
  <si>
    <t>rxn5733</t>
  </si>
  <si>
    <t>rxn5757</t>
  </si>
  <si>
    <t>rxn5758</t>
  </si>
  <si>
    <t>rxn5775</t>
  </si>
  <si>
    <t>rxn5787</t>
  </si>
  <si>
    <t>rxn5797</t>
  </si>
  <si>
    <t>rxn5817</t>
  </si>
  <si>
    <t>rxn5823</t>
  </si>
  <si>
    <t>rxn5861</t>
  </si>
  <si>
    <t>rxn5863</t>
  </si>
  <si>
    <t>rxn5867</t>
  </si>
  <si>
    <t>rxn5906</t>
  </si>
  <si>
    <t>rxn5912</t>
  </si>
  <si>
    <t>rxn5913</t>
  </si>
  <si>
    <t>rxn5920</t>
  </si>
  <si>
    <t>rxn5922</t>
  </si>
  <si>
    <t>rxn5943</t>
  </si>
  <si>
    <t>rxn5948</t>
  </si>
  <si>
    <t>rxn5956</t>
  </si>
  <si>
    <t>rxn5958</t>
  </si>
  <si>
    <t>rxn5970</t>
  </si>
  <si>
    <t>rxn5982</t>
  </si>
  <si>
    <t>rxn5993</t>
  </si>
  <si>
    <t>rxn5996</t>
  </si>
  <si>
    <t>rxn5997</t>
  </si>
  <si>
    <t>rxn6009</t>
  </si>
  <si>
    <t>rxn6010</t>
  </si>
  <si>
    <t>rxn6016</t>
  </si>
  <si>
    <t>rxn6019</t>
  </si>
  <si>
    <t>rxn6028</t>
  </si>
  <si>
    <t>rxn6035</t>
  </si>
  <si>
    <t>rxn6051</t>
  </si>
  <si>
    <t>rxn6052</t>
  </si>
  <si>
    <t>rxn6055</t>
  </si>
  <si>
    <t>rxn6068</t>
  </si>
  <si>
    <t>rxn6072</t>
  </si>
  <si>
    <t>rxn6075</t>
  </si>
  <si>
    <t>rxn6081</t>
  </si>
  <si>
    <t>rxn6091</t>
  </si>
  <si>
    <t>rxn6095</t>
  </si>
  <si>
    <t>rxn6100</t>
  </si>
  <si>
    <t>rxn6131</t>
  </si>
  <si>
    <t>rxn6135</t>
  </si>
  <si>
    <t>rxn6150</t>
  </si>
  <si>
    <t>rxn6172</t>
  </si>
  <si>
    <t>rxn6177</t>
  </si>
  <si>
    <t>rxn6198</t>
  </si>
  <si>
    <t>rxn6209</t>
  </si>
  <si>
    <t>rxn6210</t>
  </si>
  <si>
    <t>rxn6223</t>
  </si>
  <si>
    <t>rxn6230</t>
  </si>
  <si>
    <t>rxn6237</t>
  </si>
  <si>
    <t>rxn6246</t>
  </si>
  <si>
    <t>rxn6251</t>
  </si>
  <si>
    <t>rxn6256</t>
  </si>
  <si>
    <t>rxn6265</t>
  </si>
  <si>
    <t>rxn6268</t>
  </si>
  <si>
    <t>rxn6269</t>
  </si>
  <si>
    <t>rxn6277</t>
  </si>
  <si>
    <t>rxn6281</t>
  </si>
  <si>
    <t>rxn6291</t>
  </si>
  <si>
    <t>rxn6315</t>
  </si>
  <si>
    <t>rxn6327</t>
  </si>
  <si>
    <t>rxn6336</t>
  </si>
  <si>
    <t>rxn6346</t>
  </si>
  <si>
    <t>rxn6348</t>
  </si>
  <si>
    <t>rxn6349</t>
  </si>
  <si>
    <t>rxn6365</t>
  </si>
  <si>
    <t>rxn6387</t>
  </si>
  <si>
    <t>rxn6392</t>
  </si>
  <si>
    <t>rxn6400</t>
  </si>
  <si>
    <t>rxn6418</t>
  </si>
  <si>
    <t>rxn6420</t>
  </si>
  <si>
    <t>rxn6423</t>
  </si>
  <si>
    <t>rxn6431</t>
  </si>
  <si>
    <t>rxn6437</t>
  </si>
  <si>
    <t>rxn6440</t>
  </si>
  <si>
    <t>rxn6460</t>
  </si>
  <si>
    <t>rxn6463</t>
  </si>
  <si>
    <t>rxn6487</t>
  </si>
  <si>
    <t>rxn6490</t>
  </si>
  <si>
    <t>rxn6491</t>
  </si>
  <si>
    <t>rxn6517</t>
  </si>
  <si>
    <t>rxn6521</t>
  </si>
  <si>
    <t>rxn6524</t>
  </si>
  <si>
    <t>rxn6526</t>
  </si>
  <si>
    <t>rxn6530</t>
  </si>
  <si>
    <t>rxn6537</t>
  </si>
  <si>
    <t>rxn6553</t>
  </si>
  <si>
    <t>rxn6557</t>
  </si>
  <si>
    <t>rxn6558</t>
  </si>
  <si>
    <t>rxn6577</t>
  </si>
  <si>
    <t>rxn6578</t>
  </si>
  <si>
    <t>rxn6579</t>
  </si>
  <si>
    <t>rxn6582</t>
  </si>
  <si>
    <t>rxn6613</t>
  </si>
  <si>
    <t>rxn6614</t>
  </si>
  <si>
    <t>rxn6615</t>
  </si>
  <si>
    <t>rxn6626</t>
  </si>
  <si>
    <t>rxn6649</t>
  </si>
  <si>
    <t>rxn6650</t>
  </si>
  <si>
    <t>rxn6664</t>
  </si>
  <si>
    <t>rxn6675</t>
  </si>
  <si>
    <t>rxn6676</t>
  </si>
  <si>
    <t>rxn6697</t>
  </si>
  <si>
    <t>rxn6700</t>
  </si>
  <si>
    <t>rxn6714</t>
  </si>
  <si>
    <t>rxn6718</t>
  </si>
  <si>
    <t>rxn6748</t>
  </si>
  <si>
    <t>rxn6749</t>
  </si>
  <si>
    <t>rxn6753</t>
  </si>
  <si>
    <t>rxn6755</t>
  </si>
  <si>
    <t>rxn6773</t>
  </si>
  <si>
    <t>rxn6780</t>
  </si>
  <si>
    <t>rxn6781</t>
  </si>
  <si>
    <t>rxn6797</t>
  </si>
  <si>
    <t>rxn6798</t>
  </si>
  <si>
    <t>rxn6823</t>
  </si>
  <si>
    <t>rxn6835</t>
  </si>
  <si>
    <t>rxn6838</t>
  </si>
  <si>
    <t>rxn6853</t>
  </si>
  <si>
    <t>rxn6854</t>
  </si>
  <si>
    <t>rxn6859</t>
  </si>
  <si>
    <t>rxn6875</t>
  </si>
  <si>
    <t>rxn6889</t>
  </si>
  <si>
    <t>rxn6906</t>
  </si>
  <si>
    <t>rxn6920</t>
  </si>
  <si>
    <t>rxn6927</t>
  </si>
  <si>
    <t>rxn6929</t>
  </si>
  <si>
    <t>rxn6952</t>
  </si>
  <si>
    <t>rxn6954</t>
  </si>
  <si>
    <t>rxn6972</t>
  </si>
  <si>
    <t>rxn6987</t>
  </si>
  <si>
    <t>rxn6995</t>
  </si>
  <si>
    <t>rxn7008</t>
  </si>
  <si>
    <t>rxn7030</t>
  </si>
  <si>
    <t>rxn7035</t>
  </si>
  <si>
    <t>rxn7045</t>
  </si>
  <si>
    <t>rxn7049</t>
  </si>
  <si>
    <t>rxn7055</t>
  </si>
  <si>
    <t>rxn7074</t>
  </si>
  <si>
    <t>rxn7087</t>
  </si>
  <si>
    <t>rxn7088</t>
  </si>
  <si>
    <t>rxn7108</t>
  </si>
  <si>
    <t>rxn7111</t>
  </si>
  <si>
    <t>rxn7115</t>
  </si>
  <si>
    <t>rxn7121</t>
  </si>
  <si>
    <t>rxn7141</t>
  </si>
  <si>
    <t>rxn7147</t>
  </si>
  <si>
    <t>rxn7153</t>
  </si>
  <si>
    <t>rxn7167</t>
  </si>
  <si>
    <t>rxn7169</t>
  </si>
  <si>
    <t>rxn7179</t>
  </si>
  <si>
    <t>rxn7186</t>
  </si>
  <si>
    <t>rxn7191</t>
  </si>
  <si>
    <t>rxn7217</t>
  </si>
  <si>
    <t>rxn7225</t>
  </si>
  <si>
    <t>rxn7239</t>
  </si>
  <si>
    <t>rxn7246</t>
  </si>
  <si>
    <t>rxn7263</t>
  </si>
  <si>
    <t>rxn7269</t>
  </si>
  <si>
    <t>rxn7306</t>
  </si>
  <si>
    <t>rxn7312</t>
  </si>
  <si>
    <t>rxn7322</t>
  </si>
  <si>
    <t>rxn7336</t>
  </si>
  <si>
    <t>rxn7356</t>
  </si>
  <si>
    <t>rxn7357</t>
  </si>
  <si>
    <t>rxn7360</t>
  </si>
  <si>
    <t>rxn7361</t>
  </si>
  <si>
    <t>rxn7367</t>
  </si>
  <si>
    <t>rxn7379</t>
  </si>
  <si>
    <t>rxn7394</t>
  </si>
  <si>
    <t>rxn7400</t>
  </si>
  <si>
    <t>rxn7405</t>
  </si>
  <si>
    <t>rxn7421</t>
  </si>
  <si>
    <t>rxn7425</t>
  </si>
  <si>
    <t>rxn7431</t>
  </si>
  <si>
    <t>rxn7457</t>
  </si>
  <si>
    <t>rxn7459</t>
  </si>
  <si>
    <t>rxn7461</t>
  </si>
  <si>
    <t>rxn7463</t>
  </si>
  <si>
    <t>rxn7480</t>
  </si>
  <si>
    <t>rxn7481</t>
  </si>
  <si>
    <t>rxn7496</t>
  </si>
  <si>
    <t>rxn7505</t>
  </si>
  <si>
    <t>rxn7507</t>
  </si>
  <si>
    <t>rxn7509</t>
  </si>
  <si>
    <t>rxn7524</t>
  </si>
  <si>
    <t>rxn7533</t>
  </si>
  <si>
    <t>rxn7538</t>
  </si>
  <si>
    <t>rxn7539</t>
  </si>
  <si>
    <t>rxn7561</t>
  </si>
  <si>
    <t>rxn7572</t>
  </si>
  <si>
    <t>rxn7584</t>
  </si>
  <si>
    <t>rxn7591</t>
  </si>
  <si>
    <t>rxn7596</t>
  </si>
  <si>
    <t>rxn7618</t>
  </si>
  <si>
    <t>rxn7639</t>
  </si>
  <si>
    <t>rxn7642</t>
  </si>
  <si>
    <t>rxn7646</t>
  </si>
  <si>
    <t>rxn7647</t>
  </si>
  <si>
    <t>rxn7655</t>
  </si>
  <si>
    <t>rxn7664</t>
  </si>
  <si>
    <t>rxn7673</t>
  </si>
  <si>
    <t>rxn7683</t>
  </si>
  <si>
    <t>rxn7703</t>
  </si>
  <si>
    <t>rxn7714</t>
  </si>
  <si>
    <t>rxn7724</t>
  </si>
  <si>
    <t>rxn7734</t>
  </si>
  <si>
    <t>rxn7735</t>
  </si>
  <si>
    <t>rxn7763</t>
  </si>
  <si>
    <t>rxn7767</t>
  </si>
  <si>
    <t>rxn7768</t>
  </si>
  <si>
    <t>rxn7772</t>
  </si>
  <si>
    <t>rxn7777</t>
  </si>
  <si>
    <t>rxn7831</t>
  </si>
  <si>
    <t>rxn7832</t>
  </si>
  <si>
    <t>rxn7842</t>
  </si>
  <si>
    <t>rxn7852</t>
  </si>
  <si>
    <t>rxn7856</t>
  </si>
  <si>
    <t>rxn7866</t>
  </si>
  <si>
    <t>rxn7867</t>
  </si>
  <si>
    <t>rxn7870</t>
  </si>
  <si>
    <t>rxn7882</t>
  </si>
  <si>
    <t>rxn7896</t>
  </si>
  <si>
    <t>rxn7930</t>
  </si>
  <si>
    <t>rxn7947</t>
  </si>
  <si>
    <t>rxn7963</t>
  </si>
  <si>
    <t>rxn7970</t>
  </si>
  <si>
    <t>rxn7976</t>
  </si>
  <si>
    <t>rxn7979</t>
  </si>
  <si>
    <t>rxn7989</t>
  </si>
  <si>
    <t>rxn8003</t>
  </si>
  <si>
    <t>rxn8014</t>
  </si>
  <si>
    <t>rxn8017</t>
  </si>
  <si>
    <t>rxn8020</t>
  </si>
  <si>
    <t>rxn8062</t>
  </si>
  <si>
    <t>rxn8089</t>
  </si>
  <si>
    <t>rxn8095</t>
  </si>
  <si>
    <t>rxn8118</t>
  </si>
  <si>
    <t>rxn8126</t>
  </si>
  <si>
    <t>rxn8133</t>
  </si>
  <si>
    <t>rxn8145</t>
  </si>
  <si>
    <t>rxn8167</t>
  </si>
  <si>
    <t>rxn8170</t>
  </si>
  <si>
    <t>rxn8178</t>
  </si>
  <si>
    <t>rxn8179</t>
  </si>
  <si>
    <t>rxn8195</t>
  </si>
  <si>
    <t>rxn8224</t>
  </si>
  <si>
    <t>rxn8262</t>
  </si>
  <si>
    <t>rxn8268</t>
  </si>
  <si>
    <t>rxn8279</t>
  </si>
  <si>
    <t>rxn8283</t>
  </si>
  <si>
    <t>rxn8305</t>
  </si>
  <si>
    <t>rxn8307</t>
  </si>
  <si>
    <t>rxn8335</t>
  </si>
  <si>
    <t>rxn8340</t>
  </si>
  <si>
    <t>rxn8346</t>
  </si>
  <si>
    <t>rxn8351</t>
  </si>
  <si>
    <t>rxn8362</t>
  </si>
  <si>
    <t>rxn8365</t>
  </si>
  <si>
    <t>rxn8367</t>
  </si>
  <si>
    <t>rxn8387</t>
  </si>
  <si>
    <t>rxn8388</t>
  </si>
  <si>
    <t>rxn8410</t>
  </si>
  <si>
    <t>rxn8414</t>
  </si>
  <si>
    <t>rxn8423</t>
  </si>
  <si>
    <t>rxn8426</t>
  </si>
  <si>
    <t>rxn8445</t>
  </si>
  <si>
    <t>rxn8446</t>
  </si>
  <si>
    <t>rxn8459</t>
  </si>
  <si>
    <t>rxn8461</t>
  </si>
  <si>
    <t>rxn8467</t>
  </si>
  <si>
    <t>rxn8469</t>
  </si>
  <si>
    <t>rxn8472</t>
  </si>
  <si>
    <t>rxn8492</t>
  </si>
  <si>
    <t>rxn8493</t>
  </si>
  <si>
    <t>rxn8502</t>
  </si>
  <si>
    <t>rxn8510</t>
  </si>
  <si>
    <t>rxn8515</t>
  </si>
  <si>
    <t>rxn8530</t>
  </si>
  <si>
    <t>rxn8564</t>
  </si>
  <si>
    <t>rxn8583</t>
  </si>
  <si>
    <t>rxn8602</t>
  </si>
  <si>
    <t>rxn8616</t>
  </si>
  <si>
    <t>rxn8646</t>
  </si>
  <si>
    <t>rxn8670</t>
  </si>
  <si>
    <t>rxn8685</t>
  </si>
  <si>
    <t>rxn8715</t>
  </si>
  <si>
    <t>rxn8717</t>
  </si>
  <si>
    <t>rxn8720</t>
  </si>
  <si>
    <t>rxn8721</t>
  </si>
  <si>
    <t>rxn8768</t>
  </si>
  <si>
    <t>rxn8776</t>
  </si>
  <si>
    <t>rxn8777</t>
  </si>
  <si>
    <t>rxn8785</t>
  </si>
  <si>
    <t>rxn8807</t>
  </si>
  <si>
    <t>rxn8812</t>
  </si>
  <si>
    <t>rxn8823</t>
  </si>
  <si>
    <t>rxn8828</t>
  </si>
  <si>
    <t>rxn8829</t>
  </si>
  <si>
    <t>rxn8863</t>
  </si>
  <si>
    <t>rxn8867</t>
  </si>
  <si>
    <t>rxn8877</t>
  </si>
  <si>
    <t>rxn8891</t>
  </si>
  <si>
    <t>rxn8895</t>
  </si>
  <si>
    <t>rxn8910</t>
  </si>
  <si>
    <t>rxn8911</t>
  </si>
  <si>
    <t>rxn8937</t>
  </si>
  <si>
    <t>rxn8960</t>
  </si>
  <si>
    <t>rxn8968</t>
  </si>
  <si>
    <t>rxn8980</t>
  </si>
  <si>
    <t>rxn8986</t>
  </si>
  <si>
    <t>rxn8987</t>
  </si>
  <si>
    <t>rxn8993</t>
  </si>
  <si>
    <t>rxn8994</t>
  </si>
  <si>
    <t>rxn8996</t>
  </si>
  <si>
    <t>rxn9013</t>
  </si>
  <si>
    <t>rxn9015</t>
  </si>
  <si>
    <t>rxn9036</t>
  </si>
  <si>
    <t>rxn9040</t>
  </si>
  <si>
    <t>rxn9047</t>
  </si>
  <si>
    <t>rxn9065</t>
  </si>
  <si>
    <t>rxn9070</t>
  </si>
  <si>
    <t>rxn9080</t>
  </si>
  <si>
    <t>rxn9086</t>
  </si>
  <si>
    <t>rxn9094</t>
  </si>
  <si>
    <t>rxn9095</t>
  </si>
  <si>
    <t>rxn9107</t>
  </si>
  <si>
    <t>rxn9116</t>
  </si>
  <si>
    <t>rxn9138</t>
  </si>
  <si>
    <t>rxn9142</t>
  </si>
  <si>
    <t>rxn9189</t>
  </si>
  <si>
    <t>rxn9211</t>
  </si>
  <si>
    <t>rxn9214</t>
  </si>
  <si>
    <t>rxn9221</t>
  </si>
  <si>
    <t>rxn9237</t>
  </si>
  <si>
    <t>rxn9249</t>
  </si>
  <si>
    <t>rxn9253</t>
  </si>
  <si>
    <t>rxn9269</t>
  </si>
  <si>
    <t>rxn9270</t>
  </si>
  <si>
    <t>rxn9277</t>
  </si>
  <si>
    <t>rxn9282</t>
  </si>
  <si>
    <t>rxn9296</t>
  </si>
  <si>
    <t>rxn9306</t>
  </si>
  <si>
    <t>rxn9318</t>
  </si>
  <si>
    <t>rxn9342</t>
  </si>
  <si>
    <t>rxn9360</t>
  </si>
  <si>
    <t>rxn9361</t>
  </si>
  <si>
    <t>rxn9369</t>
  </si>
  <si>
    <t>rxn9371</t>
  </si>
  <si>
    <t>rxn9401</t>
  </si>
  <si>
    <t>rxn9403</t>
  </si>
  <si>
    <t>rxn9429</t>
  </si>
  <si>
    <t>rxn9430</t>
  </si>
  <si>
    <t>rxn9440</t>
  </si>
  <si>
    <t>rxn9467</t>
  </si>
  <si>
    <t>rxn9485</t>
  </si>
  <si>
    <t>rxn9486</t>
  </si>
  <si>
    <t>rxn9496</t>
  </si>
  <si>
    <t>rxn9500</t>
  </si>
  <si>
    <t>rxn9507</t>
  </si>
  <si>
    <t>rxn9536</t>
  </si>
  <si>
    <t>rxn9546</t>
  </si>
  <si>
    <t>rxn9550</t>
  </si>
  <si>
    <t>rxn9557</t>
  </si>
  <si>
    <t>rxn9564</t>
  </si>
  <si>
    <t>rxn9579</t>
  </si>
  <si>
    <t>rxn9582</t>
  </si>
  <si>
    <t>rxn9587</t>
  </si>
  <si>
    <t>rxn9596</t>
  </si>
  <si>
    <t>rxn9599</t>
  </si>
  <si>
    <t>rxn9611</t>
  </si>
  <si>
    <t>rxn9632</t>
  </si>
  <si>
    <t>rxn9650</t>
  </si>
  <si>
    <t>rxn9659</t>
  </si>
  <si>
    <t>rxn9669</t>
  </si>
  <si>
    <t>rxn9675</t>
  </si>
  <si>
    <t>rxn9694</t>
  </si>
  <si>
    <t>rxn9723</t>
  </si>
  <si>
    <t>rxn9732</t>
  </si>
  <si>
    <t>rxn9762</t>
  </si>
  <si>
    <t>rxn9783</t>
  </si>
  <si>
    <t>rxn9784</t>
  </si>
  <si>
    <t>rxn9789</t>
  </si>
  <si>
    <t>rxn9816</t>
  </si>
  <si>
    <t>rxn9849</t>
  </si>
  <si>
    <t>rxn9870</t>
  </si>
  <si>
    <t>rxn9871</t>
  </si>
  <si>
    <t>rxn9893</t>
  </si>
  <si>
    <t>rxn9899</t>
  </si>
  <si>
    <t>rxn9933</t>
  </si>
  <si>
    <t>rxn9934</t>
  </si>
  <si>
    <t>rxn9957</t>
  </si>
  <si>
    <t>rxn9961</t>
  </si>
  <si>
    <t>rxn9984</t>
  </si>
  <si>
    <t>rxn9990</t>
  </si>
  <si>
    <t>rxn10001</t>
  </si>
  <si>
    <t>rxn10010</t>
  </si>
  <si>
    <t>rxn10038</t>
  </si>
  <si>
    <t>rxn10039</t>
  </si>
  <si>
    <t>rxn10045</t>
  </si>
  <si>
    <t>rxn10046</t>
  </si>
  <si>
    <t>rxn10052</t>
  </si>
  <si>
    <t>rxn10056</t>
  </si>
  <si>
    <t>rxn10072</t>
  </si>
  <si>
    <t>DeePEST-OS</t>
    <phoneticPr fontId="3" type="noConversion"/>
  </si>
  <si>
    <t>DFT</t>
    <phoneticPr fontId="3" type="noConversion"/>
  </si>
  <si>
    <t>E(eV)</t>
    <phoneticPr fontId="3" type="noConversion"/>
  </si>
  <si>
    <t>Fig.6(a)</t>
    <phoneticPr fontId="3" type="noConversion"/>
  </si>
  <si>
    <t>Fig.6(b)</t>
    <phoneticPr fontId="3" type="noConversion"/>
  </si>
  <si>
    <t>TS_1st</t>
    <phoneticPr fontId="3" type="noConversion"/>
  </si>
  <si>
    <t>React_1st</t>
    <phoneticPr fontId="3" type="noConversion"/>
  </si>
  <si>
    <t>INT_1st</t>
    <phoneticPr fontId="3" type="noConversion"/>
  </si>
  <si>
    <t>TS_2nd_1</t>
    <phoneticPr fontId="3" type="noConversion"/>
  </si>
  <si>
    <t>INT_2nd_1</t>
    <phoneticPr fontId="3" type="noConversion"/>
  </si>
  <si>
    <t>TS_2nd_2</t>
    <phoneticPr fontId="3" type="noConversion"/>
  </si>
  <si>
    <t>INT_2nd_2</t>
    <phoneticPr fontId="3" type="noConversion"/>
  </si>
  <si>
    <t>TS_3rd_1</t>
    <phoneticPr fontId="3" type="noConversion"/>
  </si>
  <si>
    <t>React_3rd</t>
    <phoneticPr fontId="3" type="noConversion"/>
  </si>
  <si>
    <t>TS_3rd_2</t>
    <phoneticPr fontId="3" type="noConversion"/>
  </si>
  <si>
    <t>INT_3rd_2</t>
    <phoneticPr fontId="3" type="noConversion"/>
  </si>
  <si>
    <t>TS_4th</t>
    <phoneticPr fontId="3" type="noConversion"/>
  </si>
  <si>
    <t>Zatosetron</t>
    <phoneticPr fontId="3" type="noConversion"/>
  </si>
  <si>
    <t>Hartree</t>
    <phoneticPr fontId="3" type="noConversion"/>
  </si>
  <si>
    <t>kcal/mol</t>
    <phoneticPr fontId="3" type="noConversion"/>
  </si>
  <si>
    <t>GFN2-xTB</t>
    <phoneticPr fontId="3" type="noConversion"/>
  </si>
  <si>
    <t>3-endo-s-cis_ts</t>
    <phoneticPr fontId="1" type="noConversion"/>
  </si>
  <si>
    <t>3-endo-s-trans_ts</t>
    <phoneticPr fontId="1" type="noConversion"/>
  </si>
  <si>
    <t>3-exo-s-cis_ts</t>
    <phoneticPr fontId="1" type="noConversion"/>
  </si>
  <si>
    <t>3-exo-s-trans_ts</t>
    <phoneticPr fontId="1" type="noConversion"/>
  </si>
  <si>
    <t>4-endo-s-cis_ts</t>
    <phoneticPr fontId="1" type="noConversion"/>
  </si>
  <si>
    <t>4-endo-s-trans_ts</t>
    <phoneticPr fontId="1" type="noConversion"/>
  </si>
  <si>
    <t>4-exo-s-cis_ts</t>
    <phoneticPr fontId="1" type="noConversion"/>
  </si>
  <si>
    <t>4-exo-s-trans_ts</t>
    <phoneticPr fontId="1" type="noConversion"/>
  </si>
  <si>
    <t>6-endo-s-cis_ts</t>
    <phoneticPr fontId="1" type="noConversion"/>
  </si>
  <si>
    <t>6-endo-s-trans_ts</t>
    <phoneticPr fontId="1" type="noConversion"/>
  </si>
  <si>
    <t>6-exo-s-cis_ts</t>
    <phoneticPr fontId="1" type="noConversion"/>
  </si>
  <si>
    <t>6-exo-s-trans_ts</t>
    <phoneticPr fontId="1" type="noConversion"/>
  </si>
  <si>
    <t>7-endo-s-cis_ts</t>
    <phoneticPr fontId="1" type="noConversion"/>
  </si>
  <si>
    <t>7-endo-s-trans_ts</t>
    <phoneticPr fontId="1" type="noConversion"/>
  </si>
  <si>
    <t>7-exo-s-cis_ts</t>
    <phoneticPr fontId="1" type="noConversion"/>
  </si>
  <si>
    <t>7-exo-s-trans_ts</t>
    <phoneticPr fontId="1" type="noConversion"/>
  </si>
  <si>
    <t>8-endo-s-cis_ts</t>
    <phoneticPr fontId="1" type="noConversion"/>
  </si>
  <si>
    <t>8-endo-s-trans_ts</t>
    <phoneticPr fontId="1" type="noConversion"/>
  </si>
  <si>
    <t>8-exo-s-cis_ts</t>
    <phoneticPr fontId="1" type="noConversion"/>
  </si>
  <si>
    <t>8-exo-s-trans_ts</t>
    <phoneticPr fontId="1" type="noConversion"/>
  </si>
  <si>
    <t>9-endo_ts</t>
    <phoneticPr fontId="1" type="noConversion"/>
  </si>
  <si>
    <t>9-exo_ts</t>
    <phoneticPr fontId="1" type="noConversion"/>
  </si>
  <si>
    <t>10-endo_ts</t>
    <phoneticPr fontId="1" type="noConversion"/>
  </si>
  <si>
    <t>10-exo_ts</t>
    <phoneticPr fontId="1" type="noConversion"/>
  </si>
  <si>
    <t>11-endo_ts</t>
    <phoneticPr fontId="1" type="noConversion"/>
  </si>
  <si>
    <t>11-exo_ts</t>
    <phoneticPr fontId="1" type="noConversion"/>
  </si>
  <si>
    <t>14-endo_ts</t>
    <phoneticPr fontId="1" type="noConversion"/>
  </si>
  <si>
    <t>14-exo_ts</t>
    <phoneticPr fontId="1" type="noConversion"/>
  </si>
  <si>
    <t>15-endo_ts</t>
    <phoneticPr fontId="1" type="noConversion"/>
  </si>
  <si>
    <t>15-exo_ts</t>
    <phoneticPr fontId="1" type="noConversion"/>
  </si>
  <si>
    <t>16-endo_ts</t>
    <phoneticPr fontId="1" type="noConversion"/>
  </si>
  <si>
    <t>16-exo_ts</t>
    <phoneticPr fontId="1" type="noConversion"/>
  </si>
  <si>
    <t>ref_time</t>
  </si>
  <si>
    <t>rxn0164</t>
  </si>
  <si>
    <t>rxn0659</t>
  </si>
  <si>
    <t>rxn5261</t>
  </si>
  <si>
    <t>rxn5268</t>
  </si>
  <si>
    <t>rxn8315</t>
  </si>
  <si>
    <t>E</t>
    <phoneticPr fontId="3" type="noConversion"/>
  </si>
  <si>
    <t>G</t>
    <phoneticPr fontId="3" type="noConversion"/>
  </si>
  <si>
    <t>React_3_b</t>
    <phoneticPr fontId="1" type="noConversion"/>
  </si>
  <si>
    <t>HCl</t>
    <phoneticPr fontId="1" type="noConversion"/>
  </si>
  <si>
    <t>eV</t>
    <phoneticPr fontId="3" type="noConversion"/>
  </si>
  <si>
    <t>Hartree</t>
    <phoneticPr fontId="1" type="noConversion"/>
  </si>
  <si>
    <t xml:space="preserve">Energy barrier absolute error(kcal/mol) </t>
    <phoneticPr fontId="1" type="noConversion"/>
  </si>
  <si>
    <t>geometric RMSD(Å)</t>
    <phoneticPr fontId="1" type="noConversion"/>
  </si>
  <si>
    <r>
      <t>ΔE</t>
    </r>
    <r>
      <rPr>
        <vertAlign val="subscript"/>
        <sz val="11"/>
        <color theme="1"/>
        <rFont val="Times New Roman"/>
        <family val="1"/>
      </rPr>
      <t>TS</t>
    </r>
    <r>
      <rPr>
        <sz val="11"/>
        <color theme="1"/>
        <rFont val="Times New Roman"/>
        <family val="1"/>
      </rPr>
      <t>(kcal/mol)</t>
    </r>
    <phoneticPr fontId="3" type="noConversion"/>
  </si>
  <si>
    <t>E(eV)</t>
    <phoneticPr fontId="1" type="noConversion"/>
  </si>
  <si>
    <t>G(eV)</t>
    <phoneticPr fontId="1" type="noConversion"/>
  </si>
  <si>
    <t>G(kcal/mol)</t>
    <phoneticPr fontId="1" type="noConversion"/>
  </si>
  <si>
    <t>ΔG(kcal/mol)</t>
    <phoneticPr fontId="1" type="noConversion"/>
  </si>
  <si>
    <t>ΔΔG(kcal/mol)</t>
    <phoneticPr fontId="1" type="noConversion"/>
  </si>
  <si>
    <t>E(Hartree)</t>
    <phoneticPr fontId="1" type="noConversion"/>
  </si>
  <si>
    <t>G(Hartree)</t>
    <phoneticPr fontId="1" type="noConversion"/>
  </si>
  <si>
    <t>de(%)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</si>
</sst>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6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Times New Roman"/>
      <family val="1"/>
    </font>
    <font>
      <vertAlign val="subscript"/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/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176" fontId="4" fillId="0" borderId="0" xfId="0" applyNumberFormat="1" applyFont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80"/>
  <sheetViews>
    <sheetView workbookViewId="0">
      <selection sqref="A1:E1048576"/>
    </sheetView>
  </sheetViews>
  <sheetFormatPr defaultColWidth="9" defaultRowHeight="14.4" x14ac:dyDescent="0.25"/>
  <cols>
    <col min="1" max="1" width="25.21875" style="6" customWidth="1"/>
    <col min="2" max="2" width="22.88671875" style="6" customWidth="1"/>
    <col min="3" max="4" width="15.109375" style="6" customWidth="1"/>
    <col min="5" max="5" width="14.33203125" style="6" customWidth="1"/>
    <col min="8" max="10" width="9" customWidth="1"/>
  </cols>
  <sheetData>
    <row r="1" spans="1:5" x14ac:dyDescent="0.25">
      <c r="A1" s="6" t="s">
        <v>748</v>
      </c>
      <c r="B1" s="6" t="s">
        <v>883</v>
      </c>
      <c r="C1" s="6" t="s">
        <v>749</v>
      </c>
      <c r="D1" s="6" t="s">
        <v>750</v>
      </c>
      <c r="E1" s="6" t="s">
        <v>751</v>
      </c>
    </row>
    <row r="2" spans="1:5" x14ac:dyDescent="0.25">
      <c r="A2" s="6" t="s">
        <v>395</v>
      </c>
      <c r="B2" s="6">
        <v>7.69</v>
      </c>
      <c r="C2" s="6">
        <v>27</v>
      </c>
      <c r="D2" s="6">
        <v>7.6</v>
      </c>
      <c r="E2" s="6">
        <v>40</v>
      </c>
    </row>
    <row r="3" spans="1:5" x14ac:dyDescent="0.25">
      <c r="A3" s="6" t="s">
        <v>82</v>
      </c>
      <c r="B3" s="6">
        <v>4.04</v>
      </c>
      <c r="C3" s="6">
        <v>47</v>
      </c>
      <c r="D3" s="6">
        <v>22.61</v>
      </c>
      <c r="E3" s="6">
        <v>222</v>
      </c>
    </row>
    <row r="4" spans="1:5" x14ac:dyDescent="0.25">
      <c r="A4" s="6" t="s">
        <v>698</v>
      </c>
      <c r="B4" s="6">
        <v>15.67</v>
      </c>
      <c r="C4" s="6">
        <v>138</v>
      </c>
      <c r="D4" s="6">
        <v>75.400000000000006</v>
      </c>
      <c r="E4" s="6">
        <v>482</v>
      </c>
    </row>
    <row r="5" spans="1:5" x14ac:dyDescent="0.25">
      <c r="A5" s="6" t="s">
        <v>417</v>
      </c>
      <c r="B5" s="6">
        <v>24.17</v>
      </c>
      <c r="C5" s="6">
        <v>186</v>
      </c>
      <c r="D5" s="6">
        <v>50.4</v>
      </c>
      <c r="E5" s="6">
        <v>301</v>
      </c>
    </row>
    <row r="6" spans="1:5" x14ac:dyDescent="0.25">
      <c r="A6" s="6" t="s">
        <v>534</v>
      </c>
      <c r="B6" s="6">
        <v>13.6</v>
      </c>
      <c r="C6" s="6">
        <v>119</v>
      </c>
      <c r="D6" s="6">
        <v>27.95</v>
      </c>
      <c r="E6" s="6">
        <v>196</v>
      </c>
    </row>
    <row r="7" spans="1:5" x14ac:dyDescent="0.25">
      <c r="A7" s="6" t="s">
        <v>752</v>
      </c>
      <c r="B7" s="6">
        <v>41.28</v>
      </c>
      <c r="C7" s="6">
        <v>347</v>
      </c>
      <c r="D7" s="6">
        <v>89.08</v>
      </c>
      <c r="E7" s="6">
        <v>491</v>
      </c>
    </row>
    <row r="8" spans="1:5" x14ac:dyDescent="0.25">
      <c r="A8" s="6" t="s">
        <v>517</v>
      </c>
      <c r="B8" s="6">
        <v>6.37</v>
      </c>
      <c r="C8" s="6">
        <v>72</v>
      </c>
      <c r="D8" s="6">
        <v>52.27</v>
      </c>
      <c r="E8" s="6">
        <v>401</v>
      </c>
    </row>
    <row r="9" spans="1:5" x14ac:dyDescent="0.25">
      <c r="A9" s="6" t="s">
        <v>557</v>
      </c>
      <c r="B9" s="6">
        <v>19.989999999999998</v>
      </c>
      <c r="C9" s="6">
        <v>120</v>
      </c>
      <c r="D9" s="6">
        <v>92.19</v>
      </c>
      <c r="E9" s="6">
        <v>532</v>
      </c>
    </row>
    <row r="10" spans="1:5" x14ac:dyDescent="0.25">
      <c r="A10" s="6" t="s">
        <v>48</v>
      </c>
      <c r="B10" s="6">
        <v>17.190000000000001</v>
      </c>
      <c r="C10" s="6">
        <v>149</v>
      </c>
      <c r="D10" s="6">
        <v>43.48</v>
      </c>
      <c r="E10" s="6">
        <v>251</v>
      </c>
    </row>
    <row r="11" spans="1:5" x14ac:dyDescent="0.25">
      <c r="A11" s="6" t="s">
        <v>40</v>
      </c>
      <c r="B11" s="6">
        <v>14</v>
      </c>
      <c r="C11" s="6">
        <v>135</v>
      </c>
      <c r="D11" s="6">
        <v>55.95</v>
      </c>
      <c r="E11" s="6">
        <v>324</v>
      </c>
    </row>
    <row r="12" spans="1:5" x14ac:dyDescent="0.25">
      <c r="A12" s="6" t="s">
        <v>472</v>
      </c>
      <c r="B12" s="6">
        <v>12.92</v>
      </c>
      <c r="C12" s="6">
        <v>169</v>
      </c>
      <c r="D12" s="6">
        <v>40.590000000000003</v>
      </c>
      <c r="E12" s="6">
        <v>347</v>
      </c>
    </row>
    <row r="13" spans="1:5" x14ac:dyDescent="0.25">
      <c r="A13" s="6" t="s">
        <v>654</v>
      </c>
      <c r="B13" s="6">
        <v>4.04</v>
      </c>
      <c r="C13" s="6">
        <v>62</v>
      </c>
      <c r="D13" s="6">
        <v>15.41</v>
      </c>
      <c r="E13" s="6">
        <v>105</v>
      </c>
    </row>
    <row r="14" spans="1:5" x14ac:dyDescent="0.25">
      <c r="A14" s="6" t="s">
        <v>100</v>
      </c>
      <c r="B14" s="6">
        <v>12.14</v>
      </c>
      <c r="C14" s="6">
        <v>160</v>
      </c>
      <c r="D14" s="6">
        <v>30</v>
      </c>
      <c r="E14" s="6">
        <v>272</v>
      </c>
    </row>
    <row r="15" spans="1:5" x14ac:dyDescent="0.25">
      <c r="A15" s="6" t="s">
        <v>508</v>
      </c>
      <c r="B15" s="6">
        <v>8.35</v>
      </c>
      <c r="C15" s="6">
        <v>81</v>
      </c>
      <c r="D15" s="6">
        <v>39.119999999999997</v>
      </c>
      <c r="E15" s="6">
        <v>249</v>
      </c>
    </row>
    <row r="16" spans="1:5" x14ac:dyDescent="0.25">
      <c r="A16" s="6" t="s">
        <v>473</v>
      </c>
      <c r="B16" s="6">
        <v>2.76</v>
      </c>
      <c r="C16" s="6">
        <v>40</v>
      </c>
      <c r="D16" s="6">
        <v>9.84</v>
      </c>
      <c r="E16" s="6">
        <v>53</v>
      </c>
    </row>
    <row r="17" spans="1:5" x14ac:dyDescent="0.25">
      <c r="A17" s="6" t="s">
        <v>546</v>
      </c>
      <c r="B17" s="6">
        <v>19.11</v>
      </c>
      <c r="C17" s="6">
        <v>194</v>
      </c>
      <c r="D17" s="6">
        <v>40.270000000000003</v>
      </c>
      <c r="E17" s="6">
        <v>258</v>
      </c>
    </row>
    <row r="18" spans="1:5" x14ac:dyDescent="0.25">
      <c r="A18" s="6" t="s">
        <v>270</v>
      </c>
      <c r="B18" s="6">
        <v>13.82</v>
      </c>
      <c r="C18" s="6">
        <v>136</v>
      </c>
      <c r="D18" s="6">
        <v>63.06</v>
      </c>
      <c r="E18" s="6">
        <v>332</v>
      </c>
    </row>
    <row r="19" spans="1:5" x14ac:dyDescent="0.25">
      <c r="A19" s="6" t="s">
        <v>62</v>
      </c>
      <c r="B19" s="6">
        <v>7.66</v>
      </c>
      <c r="C19" s="6">
        <v>112</v>
      </c>
      <c r="D19" s="6">
        <v>11.37</v>
      </c>
      <c r="E19" s="6">
        <v>76</v>
      </c>
    </row>
    <row r="20" spans="1:5" x14ac:dyDescent="0.25">
      <c r="A20" s="6" t="s">
        <v>636</v>
      </c>
      <c r="B20" s="6">
        <v>4.03</v>
      </c>
      <c r="C20" s="6">
        <v>61</v>
      </c>
      <c r="D20" s="6">
        <v>21.37</v>
      </c>
      <c r="E20" s="6">
        <v>181</v>
      </c>
    </row>
    <row r="21" spans="1:5" x14ac:dyDescent="0.25">
      <c r="A21" s="6" t="s">
        <v>413</v>
      </c>
      <c r="B21" s="6">
        <v>8.8800000000000008</v>
      </c>
      <c r="C21" s="6">
        <v>96</v>
      </c>
      <c r="D21" s="6">
        <v>29.18</v>
      </c>
      <c r="E21" s="6">
        <v>205</v>
      </c>
    </row>
    <row r="22" spans="1:5" x14ac:dyDescent="0.25">
      <c r="A22" s="6" t="s">
        <v>683</v>
      </c>
      <c r="B22" s="6">
        <v>36.97</v>
      </c>
      <c r="C22" s="6">
        <v>290</v>
      </c>
      <c r="D22" s="6">
        <v>41.02</v>
      </c>
      <c r="E22" s="6">
        <v>239</v>
      </c>
    </row>
    <row r="23" spans="1:5" x14ac:dyDescent="0.25">
      <c r="A23" s="6" t="s">
        <v>171</v>
      </c>
      <c r="B23" s="6">
        <v>18.54</v>
      </c>
      <c r="C23" s="6">
        <v>177</v>
      </c>
      <c r="D23" s="6">
        <v>62.14</v>
      </c>
      <c r="E23" s="6">
        <v>338</v>
      </c>
    </row>
    <row r="24" spans="1:5" x14ac:dyDescent="0.25">
      <c r="A24" s="6" t="s">
        <v>753</v>
      </c>
      <c r="B24" s="6">
        <v>13.39</v>
      </c>
      <c r="C24" s="6">
        <v>230</v>
      </c>
      <c r="D24" s="6">
        <v>28.57</v>
      </c>
      <c r="E24" s="6">
        <v>288</v>
      </c>
    </row>
    <row r="25" spans="1:5" x14ac:dyDescent="0.25">
      <c r="A25" s="6" t="s">
        <v>590</v>
      </c>
      <c r="B25" s="6">
        <v>4.67</v>
      </c>
      <c r="C25" s="6">
        <v>63</v>
      </c>
      <c r="D25" s="6">
        <v>20.36</v>
      </c>
      <c r="E25" s="6">
        <v>213</v>
      </c>
    </row>
    <row r="26" spans="1:5" x14ac:dyDescent="0.25">
      <c r="A26" s="6" t="s">
        <v>462</v>
      </c>
      <c r="B26" s="6">
        <v>5.12</v>
      </c>
      <c r="C26" s="6">
        <v>85</v>
      </c>
      <c r="D26" s="6">
        <v>38.03</v>
      </c>
      <c r="E26" s="6">
        <v>323</v>
      </c>
    </row>
    <row r="27" spans="1:5" x14ac:dyDescent="0.25">
      <c r="A27" s="6" t="s">
        <v>380</v>
      </c>
      <c r="B27" s="6">
        <v>6.94</v>
      </c>
      <c r="C27" s="6">
        <v>75</v>
      </c>
      <c r="D27" s="6">
        <v>52.12</v>
      </c>
      <c r="E27" s="6">
        <v>375</v>
      </c>
    </row>
    <row r="28" spans="1:5" x14ac:dyDescent="0.25">
      <c r="A28" s="6" t="s">
        <v>358</v>
      </c>
      <c r="B28" s="6">
        <v>6.92</v>
      </c>
      <c r="C28" s="6">
        <v>81</v>
      </c>
      <c r="D28" s="6">
        <v>39.729999999999997</v>
      </c>
      <c r="E28" s="6">
        <v>297</v>
      </c>
    </row>
    <row r="29" spans="1:5" x14ac:dyDescent="0.25">
      <c r="A29" s="6" t="s">
        <v>645</v>
      </c>
      <c r="B29" s="6">
        <v>6.5</v>
      </c>
      <c r="C29" s="6">
        <v>104</v>
      </c>
      <c r="D29" s="6">
        <v>51.86</v>
      </c>
      <c r="E29" s="6">
        <v>484</v>
      </c>
    </row>
    <row r="30" spans="1:5" x14ac:dyDescent="0.25">
      <c r="A30" s="6" t="s">
        <v>620</v>
      </c>
      <c r="B30" s="6">
        <v>6.68</v>
      </c>
      <c r="C30" s="6">
        <v>81</v>
      </c>
      <c r="D30" s="6">
        <v>27.27</v>
      </c>
      <c r="E30" s="6">
        <v>148</v>
      </c>
    </row>
    <row r="31" spans="1:5" x14ac:dyDescent="0.25">
      <c r="A31" s="6" t="s">
        <v>232</v>
      </c>
      <c r="B31" s="6">
        <v>8.14</v>
      </c>
      <c r="C31" s="6">
        <v>77</v>
      </c>
      <c r="D31" s="6">
        <v>62.32</v>
      </c>
      <c r="E31" s="6">
        <v>394</v>
      </c>
    </row>
    <row r="32" spans="1:5" x14ac:dyDescent="0.25">
      <c r="A32" s="6" t="s">
        <v>389</v>
      </c>
      <c r="B32" s="6">
        <v>6.05</v>
      </c>
      <c r="C32" s="6">
        <v>79</v>
      </c>
      <c r="D32" s="6">
        <v>21.4</v>
      </c>
      <c r="E32" s="6">
        <v>233</v>
      </c>
    </row>
    <row r="33" spans="1:5" x14ac:dyDescent="0.25">
      <c r="A33" s="6" t="s">
        <v>207</v>
      </c>
      <c r="B33" s="6">
        <v>5.95</v>
      </c>
      <c r="C33" s="6">
        <v>68</v>
      </c>
      <c r="D33" s="6">
        <v>30.41</v>
      </c>
      <c r="E33" s="6">
        <v>241</v>
      </c>
    </row>
    <row r="34" spans="1:5" x14ac:dyDescent="0.25">
      <c r="A34" s="6" t="s">
        <v>651</v>
      </c>
      <c r="B34" s="6">
        <v>17.670000000000002</v>
      </c>
      <c r="C34" s="6">
        <v>114</v>
      </c>
      <c r="D34" s="6">
        <v>31.35</v>
      </c>
      <c r="E34" s="6">
        <v>104</v>
      </c>
    </row>
    <row r="35" spans="1:5" x14ac:dyDescent="0.25">
      <c r="A35" s="6" t="s">
        <v>410</v>
      </c>
      <c r="B35" s="6">
        <v>14.04</v>
      </c>
      <c r="C35" s="6">
        <v>125</v>
      </c>
      <c r="D35" s="6">
        <v>29.26</v>
      </c>
      <c r="E35" s="6">
        <v>125</v>
      </c>
    </row>
    <row r="36" spans="1:5" x14ac:dyDescent="0.25">
      <c r="A36" s="6" t="s">
        <v>754</v>
      </c>
      <c r="B36" s="6">
        <v>13.35</v>
      </c>
      <c r="C36" s="6">
        <v>127</v>
      </c>
      <c r="D36" s="6">
        <v>44.78</v>
      </c>
      <c r="E36" s="6">
        <v>324</v>
      </c>
    </row>
    <row r="37" spans="1:5" x14ac:dyDescent="0.25">
      <c r="A37" s="6" t="s">
        <v>755</v>
      </c>
      <c r="B37" s="6">
        <v>40.479999999999997</v>
      </c>
      <c r="C37" s="6">
        <v>592</v>
      </c>
      <c r="D37" s="6">
        <v>72.94</v>
      </c>
      <c r="E37" s="6">
        <v>664</v>
      </c>
    </row>
    <row r="38" spans="1:5" x14ac:dyDescent="0.25">
      <c r="A38" s="6" t="s">
        <v>668</v>
      </c>
      <c r="B38" s="6">
        <v>5.63</v>
      </c>
      <c r="C38" s="6">
        <v>67</v>
      </c>
      <c r="D38" s="6">
        <v>16.18</v>
      </c>
      <c r="E38" s="6">
        <v>63</v>
      </c>
    </row>
    <row r="39" spans="1:5" x14ac:dyDescent="0.25">
      <c r="A39" s="6" t="s">
        <v>167</v>
      </c>
      <c r="B39" s="6">
        <v>5.94</v>
      </c>
      <c r="C39" s="6">
        <v>81</v>
      </c>
      <c r="D39" s="6">
        <v>26.42</v>
      </c>
      <c r="E39" s="6">
        <v>241</v>
      </c>
    </row>
    <row r="40" spans="1:5" x14ac:dyDescent="0.25">
      <c r="A40" s="6" t="s">
        <v>756</v>
      </c>
      <c r="B40" s="6">
        <v>4.4400000000000004</v>
      </c>
      <c r="C40" s="6">
        <v>58</v>
      </c>
      <c r="D40" s="6">
        <v>21.67</v>
      </c>
      <c r="E40" s="6">
        <v>133</v>
      </c>
    </row>
    <row r="41" spans="1:5" x14ac:dyDescent="0.25">
      <c r="A41" s="6" t="s">
        <v>343</v>
      </c>
      <c r="B41" s="6">
        <v>13.46</v>
      </c>
      <c r="C41" s="6">
        <v>132</v>
      </c>
      <c r="D41" s="6">
        <v>34.46</v>
      </c>
      <c r="E41" s="6">
        <v>204</v>
      </c>
    </row>
    <row r="42" spans="1:5" x14ac:dyDescent="0.25">
      <c r="A42" s="6" t="s">
        <v>334</v>
      </c>
      <c r="B42" s="6">
        <v>4.71</v>
      </c>
      <c r="C42" s="6">
        <v>55</v>
      </c>
      <c r="D42" s="6">
        <v>25.66</v>
      </c>
      <c r="E42" s="6">
        <v>238</v>
      </c>
    </row>
    <row r="43" spans="1:5" x14ac:dyDescent="0.25">
      <c r="A43" s="6" t="s">
        <v>725</v>
      </c>
      <c r="B43" s="6">
        <v>5.53</v>
      </c>
      <c r="C43" s="6">
        <v>79</v>
      </c>
      <c r="D43" s="6">
        <v>20.93</v>
      </c>
      <c r="E43" s="6">
        <v>208</v>
      </c>
    </row>
    <row r="44" spans="1:5" x14ac:dyDescent="0.25">
      <c r="A44" s="6" t="s">
        <v>72</v>
      </c>
      <c r="B44" s="6">
        <v>13.01</v>
      </c>
      <c r="C44" s="6">
        <v>128</v>
      </c>
      <c r="D44" s="6">
        <v>51.64</v>
      </c>
      <c r="E44" s="6">
        <v>324</v>
      </c>
    </row>
    <row r="45" spans="1:5" x14ac:dyDescent="0.25">
      <c r="A45" s="6" t="s">
        <v>248</v>
      </c>
      <c r="B45" s="6">
        <v>5.25</v>
      </c>
      <c r="C45" s="6">
        <v>97</v>
      </c>
      <c r="D45" s="6">
        <v>26.55</v>
      </c>
      <c r="E45" s="6">
        <v>176</v>
      </c>
    </row>
    <row r="46" spans="1:5" x14ac:dyDescent="0.25">
      <c r="A46" s="6" t="s">
        <v>721</v>
      </c>
      <c r="B46" s="6">
        <v>5.14</v>
      </c>
      <c r="C46" s="6">
        <v>77</v>
      </c>
      <c r="D46" s="6">
        <v>26.96</v>
      </c>
      <c r="E46" s="6">
        <v>247</v>
      </c>
    </row>
    <row r="47" spans="1:5" x14ac:dyDescent="0.25">
      <c r="A47" s="6" t="s">
        <v>453</v>
      </c>
      <c r="B47" s="6">
        <v>2.95</v>
      </c>
      <c r="C47" s="6">
        <v>47</v>
      </c>
      <c r="D47" s="6">
        <v>23.1</v>
      </c>
      <c r="E47" s="6">
        <v>271</v>
      </c>
    </row>
    <row r="48" spans="1:5" x14ac:dyDescent="0.25">
      <c r="A48" s="6" t="s">
        <v>507</v>
      </c>
      <c r="B48" s="6">
        <v>7.9</v>
      </c>
      <c r="C48" s="6">
        <v>99</v>
      </c>
      <c r="D48" s="6">
        <v>41.07</v>
      </c>
      <c r="E48" s="6">
        <v>261</v>
      </c>
    </row>
    <row r="49" spans="1:5" x14ac:dyDescent="0.25">
      <c r="A49" s="6" t="s">
        <v>407</v>
      </c>
      <c r="B49" s="6">
        <v>9.2200000000000006</v>
      </c>
      <c r="C49" s="6">
        <v>100</v>
      </c>
      <c r="D49" s="6">
        <v>38.659999999999997</v>
      </c>
      <c r="E49" s="6">
        <v>257</v>
      </c>
    </row>
    <row r="50" spans="1:5" x14ac:dyDescent="0.25">
      <c r="A50" s="6" t="s">
        <v>694</v>
      </c>
      <c r="B50" s="6">
        <v>3.8</v>
      </c>
      <c r="C50" s="6">
        <v>72</v>
      </c>
      <c r="D50" s="6">
        <v>27.14</v>
      </c>
      <c r="E50" s="6">
        <v>202</v>
      </c>
    </row>
    <row r="51" spans="1:5" x14ac:dyDescent="0.25">
      <c r="A51" s="6" t="s">
        <v>757</v>
      </c>
      <c r="B51" s="6">
        <v>18.13</v>
      </c>
      <c r="C51" s="6">
        <v>173</v>
      </c>
      <c r="D51" s="6">
        <v>48.2</v>
      </c>
      <c r="E51" s="6">
        <v>268</v>
      </c>
    </row>
    <row r="52" spans="1:5" x14ac:dyDescent="0.25">
      <c r="A52" s="6" t="s">
        <v>697</v>
      </c>
      <c r="B52" s="6">
        <v>3.3</v>
      </c>
      <c r="C52" s="6">
        <v>48</v>
      </c>
      <c r="D52" s="6">
        <v>21.23</v>
      </c>
      <c r="E52" s="6">
        <v>157</v>
      </c>
    </row>
    <row r="53" spans="1:5" x14ac:dyDescent="0.25">
      <c r="A53" s="6" t="s">
        <v>401</v>
      </c>
      <c r="B53" s="6">
        <v>11.07</v>
      </c>
      <c r="C53" s="6">
        <v>152</v>
      </c>
      <c r="D53" s="6">
        <v>42.56</v>
      </c>
      <c r="E53" s="6">
        <v>262</v>
      </c>
    </row>
    <row r="54" spans="1:5" x14ac:dyDescent="0.25">
      <c r="A54" s="6" t="s">
        <v>267</v>
      </c>
      <c r="B54" s="6">
        <v>8.83</v>
      </c>
      <c r="C54" s="6">
        <v>93</v>
      </c>
      <c r="D54" s="6">
        <v>30.79</v>
      </c>
      <c r="E54" s="6">
        <v>243</v>
      </c>
    </row>
    <row r="55" spans="1:5" x14ac:dyDescent="0.25">
      <c r="A55" s="6" t="s">
        <v>61</v>
      </c>
      <c r="B55" s="6">
        <v>14.9</v>
      </c>
      <c r="C55" s="6">
        <v>141</v>
      </c>
      <c r="D55" s="6">
        <v>43.85</v>
      </c>
      <c r="E55" s="6">
        <v>294</v>
      </c>
    </row>
    <row r="56" spans="1:5" x14ac:dyDescent="0.25">
      <c r="A56" s="6" t="s">
        <v>497</v>
      </c>
      <c r="B56" s="6">
        <v>6.45</v>
      </c>
      <c r="C56" s="6">
        <v>89</v>
      </c>
      <c r="D56" s="6">
        <v>37.93</v>
      </c>
      <c r="E56" s="6">
        <v>271</v>
      </c>
    </row>
    <row r="57" spans="1:5" x14ac:dyDescent="0.25">
      <c r="A57" s="6" t="s">
        <v>758</v>
      </c>
      <c r="B57" s="6">
        <v>25.74</v>
      </c>
      <c r="C57" s="6">
        <v>331</v>
      </c>
      <c r="D57" s="6">
        <v>48.1</v>
      </c>
      <c r="E57" s="6">
        <v>342</v>
      </c>
    </row>
    <row r="58" spans="1:5" x14ac:dyDescent="0.25">
      <c r="A58" s="6" t="s">
        <v>137</v>
      </c>
      <c r="B58" s="6">
        <v>13.34</v>
      </c>
      <c r="C58" s="6">
        <v>133</v>
      </c>
      <c r="D58" s="6">
        <v>59.39</v>
      </c>
      <c r="E58" s="6">
        <v>356</v>
      </c>
    </row>
    <row r="59" spans="1:5" x14ac:dyDescent="0.25">
      <c r="A59" s="6" t="s">
        <v>259</v>
      </c>
      <c r="B59" s="6">
        <v>26.18</v>
      </c>
      <c r="C59" s="6">
        <v>222</v>
      </c>
      <c r="D59" s="6">
        <v>26.77</v>
      </c>
      <c r="E59" s="6">
        <v>238</v>
      </c>
    </row>
    <row r="60" spans="1:5" x14ac:dyDescent="0.25">
      <c r="A60" s="6" t="s">
        <v>119</v>
      </c>
      <c r="B60" s="6">
        <v>6.24</v>
      </c>
      <c r="C60" s="6">
        <v>80</v>
      </c>
      <c r="D60" s="6">
        <v>19.62</v>
      </c>
      <c r="E60" s="6">
        <v>151</v>
      </c>
    </row>
    <row r="61" spans="1:5" x14ac:dyDescent="0.25">
      <c r="A61" s="6" t="s">
        <v>759</v>
      </c>
      <c r="B61" s="6">
        <v>6.83</v>
      </c>
      <c r="C61" s="6">
        <v>90</v>
      </c>
      <c r="D61" s="6">
        <v>28.32</v>
      </c>
      <c r="E61" s="6">
        <v>247</v>
      </c>
    </row>
    <row r="62" spans="1:5" x14ac:dyDescent="0.25">
      <c r="A62" s="6" t="s">
        <v>616</v>
      </c>
      <c r="B62" s="6">
        <v>7.68</v>
      </c>
      <c r="C62" s="6">
        <v>109</v>
      </c>
      <c r="D62" s="6">
        <v>25.26</v>
      </c>
      <c r="E62" s="6">
        <v>207</v>
      </c>
    </row>
    <row r="63" spans="1:5" x14ac:dyDescent="0.25">
      <c r="A63" s="6" t="s">
        <v>744</v>
      </c>
      <c r="B63" s="6">
        <v>14.07</v>
      </c>
      <c r="C63" s="6">
        <v>146</v>
      </c>
      <c r="D63" s="6">
        <v>46.16</v>
      </c>
      <c r="E63" s="6">
        <v>397</v>
      </c>
    </row>
    <row r="64" spans="1:5" x14ac:dyDescent="0.25">
      <c r="A64" s="6" t="s">
        <v>32</v>
      </c>
      <c r="B64" s="6">
        <v>8.9600000000000009</v>
      </c>
      <c r="C64" s="6">
        <v>98</v>
      </c>
      <c r="D64" s="6">
        <v>25.09</v>
      </c>
      <c r="E64" s="6">
        <v>139</v>
      </c>
    </row>
    <row r="65" spans="1:5" x14ac:dyDescent="0.25">
      <c r="A65" s="6" t="s">
        <v>118</v>
      </c>
      <c r="B65" s="6">
        <v>21.99</v>
      </c>
      <c r="C65" s="6">
        <v>161</v>
      </c>
      <c r="D65" s="6">
        <v>56.6</v>
      </c>
      <c r="E65" s="6">
        <v>238</v>
      </c>
    </row>
    <row r="66" spans="1:5" x14ac:dyDescent="0.25">
      <c r="A66" s="6" t="s">
        <v>635</v>
      </c>
      <c r="B66" s="6">
        <v>6.39</v>
      </c>
      <c r="C66" s="6">
        <v>90</v>
      </c>
      <c r="D66" s="6">
        <v>11.64</v>
      </c>
      <c r="E66" s="6">
        <v>73</v>
      </c>
    </row>
    <row r="67" spans="1:5" x14ac:dyDescent="0.25">
      <c r="A67" s="6" t="s">
        <v>52</v>
      </c>
      <c r="B67" s="6">
        <v>4.49</v>
      </c>
      <c r="C67" s="6">
        <v>65</v>
      </c>
      <c r="D67" s="6">
        <v>37.6</v>
      </c>
      <c r="E67" s="6">
        <v>306</v>
      </c>
    </row>
    <row r="68" spans="1:5" x14ac:dyDescent="0.25">
      <c r="A68" s="6" t="s">
        <v>237</v>
      </c>
      <c r="B68" s="6">
        <v>2.92</v>
      </c>
      <c r="C68" s="6">
        <v>43</v>
      </c>
      <c r="D68" s="6">
        <v>16.39</v>
      </c>
      <c r="E68" s="6">
        <v>135</v>
      </c>
    </row>
    <row r="69" spans="1:5" x14ac:dyDescent="0.25">
      <c r="A69" s="6" t="s">
        <v>54</v>
      </c>
      <c r="B69" s="6">
        <v>11.76</v>
      </c>
      <c r="C69" s="6">
        <v>124</v>
      </c>
      <c r="D69" s="6">
        <v>35.79</v>
      </c>
      <c r="E69" s="6">
        <v>288</v>
      </c>
    </row>
    <row r="70" spans="1:5" x14ac:dyDescent="0.25">
      <c r="A70" s="6" t="s">
        <v>245</v>
      </c>
      <c r="B70" s="6">
        <v>10.16</v>
      </c>
      <c r="C70" s="6">
        <v>115</v>
      </c>
      <c r="D70" s="6">
        <v>37.64</v>
      </c>
      <c r="E70" s="6">
        <v>263</v>
      </c>
    </row>
    <row r="71" spans="1:5" x14ac:dyDescent="0.25">
      <c r="A71" s="6" t="s">
        <v>544</v>
      </c>
      <c r="B71" s="6">
        <v>2.85</v>
      </c>
      <c r="C71" s="6">
        <v>60</v>
      </c>
      <c r="D71" s="6">
        <v>28.28</v>
      </c>
      <c r="E71" s="6">
        <v>246</v>
      </c>
    </row>
    <row r="72" spans="1:5" x14ac:dyDescent="0.25">
      <c r="A72" s="6" t="s">
        <v>164</v>
      </c>
      <c r="B72" s="6">
        <v>19.260000000000002</v>
      </c>
      <c r="C72" s="6">
        <v>189</v>
      </c>
      <c r="D72" s="6">
        <v>78.13</v>
      </c>
      <c r="E72" s="6">
        <v>547</v>
      </c>
    </row>
    <row r="73" spans="1:5" x14ac:dyDescent="0.25">
      <c r="A73" s="6" t="s">
        <v>381</v>
      </c>
      <c r="B73" s="6">
        <v>15.59</v>
      </c>
      <c r="C73" s="6">
        <v>152</v>
      </c>
      <c r="D73" s="6">
        <v>72.91</v>
      </c>
      <c r="E73" s="6">
        <v>514</v>
      </c>
    </row>
    <row r="74" spans="1:5" x14ac:dyDescent="0.25">
      <c r="A74" s="6" t="s">
        <v>155</v>
      </c>
      <c r="B74" s="6">
        <v>5.59</v>
      </c>
      <c r="C74" s="6">
        <v>71</v>
      </c>
      <c r="D74" s="6">
        <v>99.22</v>
      </c>
      <c r="E74" s="6">
        <v>659</v>
      </c>
    </row>
    <row r="75" spans="1:5" x14ac:dyDescent="0.25">
      <c r="A75" s="6" t="s">
        <v>573</v>
      </c>
      <c r="B75" s="6">
        <v>4.47</v>
      </c>
      <c r="C75" s="6">
        <v>67</v>
      </c>
      <c r="D75" s="6">
        <v>16.61</v>
      </c>
      <c r="E75" s="6">
        <v>173</v>
      </c>
    </row>
    <row r="76" spans="1:5" x14ac:dyDescent="0.25">
      <c r="A76" s="6" t="s">
        <v>22</v>
      </c>
      <c r="B76" s="6">
        <v>7.63</v>
      </c>
      <c r="C76" s="6">
        <v>83</v>
      </c>
      <c r="D76" s="6">
        <v>28.07</v>
      </c>
      <c r="E76" s="6">
        <v>163</v>
      </c>
    </row>
    <row r="77" spans="1:5" x14ac:dyDescent="0.25">
      <c r="A77" s="6" t="s">
        <v>372</v>
      </c>
      <c r="B77" s="6">
        <v>11.3</v>
      </c>
      <c r="C77" s="6">
        <v>111</v>
      </c>
      <c r="D77" s="6">
        <v>61.84</v>
      </c>
      <c r="E77" s="6">
        <v>324</v>
      </c>
    </row>
    <row r="78" spans="1:5" x14ac:dyDescent="0.25">
      <c r="A78" s="6" t="s">
        <v>283</v>
      </c>
      <c r="B78" s="6">
        <v>11.83</v>
      </c>
      <c r="C78" s="6">
        <v>113</v>
      </c>
      <c r="D78" s="6">
        <v>43.54</v>
      </c>
      <c r="E78" s="6">
        <v>374</v>
      </c>
    </row>
    <row r="79" spans="1:5" x14ac:dyDescent="0.25">
      <c r="A79" s="6" t="s">
        <v>409</v>
      </c>
      <c r="B79" s="6">
        <v>20.420000000000002</v>
      </c>
      <c r="C79" s="6">
        <v>180</v>
      </c>
      <c r="D79" s="6">
        <v>55.41</v>
      </c>
      <c r="E79" s="6">
        <v>302</v>
      </c>
    </row>
    <row r="80" spans="1:5" x14ac:dyDescent="0.25">
      <c r="A80" s="6" t="s">
        <v>16</v>
      </c>
      <c r="B80" s="6">
        <v>7.33</v>
      </c>
      <c r="C80" s="6">
        <v>93</v>
      </c>
      <c r="D80" s="6">
        <v>43.48</v>
      </c>
      <c r="E80" s="6">
        <v>361</v>
      </c>
    </row>
    <row r="81" spans="1:5" x14ac:dyDescent="0.25">
      <c r="A81" s="6" t="s">
        <v>512</v>
      </c>
      <c r="B81" s="6">
        <v>17.920000000000002</v>
      </c>
      <c r="C81" s="6">
        <v>141</v>
      </c>
      <c r="D81" s="6">
        <v>67.239999999999995</v>
      </c>
      <c r="E81" s="6">
        <v>416</v>
      </c>
    </row>
    <row r="82" spans="1:5" x14ac:dyDescent="0.25">
      <c r="A82" s="6" t="s">
        <v>233</v>
      </c>
      <c r="B82" s="6">
        <v>20.61</v>
      </c>
      <c r="C82" s="6">
        <v>167</v>
      </c>
      <c r="D82" s="6">
        <v>42.04</v>
      </c>
      <c r="E82" s="6">
        <v>305</v>
      </c>
    </row>
    <row r="83" spans="1:5" x14ac:dyDescent="0.25">
      <c r="A83" s="6" t="s">
        <v>382</v>
      </c>
      <c r="B83" s="6">
        <v>5.71</v>
      </c>
      <c r="C83" s="6">
        <v>73</v>
      </c>
      <c r="D83" s="6">
        <v>39.79</v>
      </c>
      <c r="E83" s="6">
        <v>356</v>
      </c>
    </row>
    <row r="84" spans="1:5" x14ac:dyDescent="0.25">
      <c r="A84" s="6" t="s">
        <v>679</v>
      </c>
      <c r="B84" s="6">
        <v>6.55</v>
      </c>
      <c r="C84" s="6">
        <v>97</v>
      </c>
      <c r="D84" s="6">
        <v>29.96</v>
      </c>
      <c r="E84" s="6">
        <v>185</v>
      </c>
    </row>
    <row r="85" spans="1:5" x14ac:dyDescent="0.25">
      <c r="A85" s="6" t="s">
        <v>482</v>
      </c>
      <c r="B85" s="6">
        <v>4.55</v>
      </c>
      <c r="C85" s="6">
        <v>72</v>
      </c>
      <c r="D85" s="6">
        <v>16.7</v>
      </c>
      <c r="E85" s="6">
        <v>165</v>
      </c>
    </row>
    <row r="86" spans="1:5" x14ac:dyDescent="0.25">
      <c r="A86" s="6" t="s">
        <v>680</v>
      </c>
      <c r="B86" s="6">
        <v>22.14</v>
      </c>
      <c r="C86" s="6">
        <v>162</v>
      </c>
      <c r="D86" s="6">
        <v>62.58</v>
      </c>
      <c r="E86" s="6">
        <v>335</v>
      </c>
    </row>
    <row r="87" spans="1:5" x14ac:dyDescent="0.25">
      <c r="A87" s="6" t="s">
        <v>581</v>
      </c>
      <c r="B87" s="6">
        <v>4.17</v>
      </c>
      <c r="C87" s="6">
        <v>63</v>
      </c>
      <c r="D87" s="6">
        <v>32.729999999999997</v>
      </c>
      <c r="E87" s="6">
        <v>269</v>
      </c>
    </row>
    <row r="88" spans="1:5" x14ac:dyDescent="0.25">
      <c r="A88" s="6" t="s">
        <v>760</v>
      </c>
      <c r="B88" s="6">
        <v>17.3</v>
      </c>
      <c r="C88" s="6">
        <v>191</v>
      </c>
      <c r="D88" s="6">
        <v>43.63</v>
      </c>
      <c r="E88" s="6">
        <v>337</v>
      </c>
    </row>
    <row r="89" spans="1:5" x14ac:dyDescent="0.25">
      <c r="A89" s="6" t="s">
        <v>761</v>
      </c>
      <c r="B89" s="6">
        <v>15.22</v>
      </c>
      <c r="C89" s="6">
        <v>202</v>
      </c>
      <c r="D89" s="6">
        <v>1.83</v>
      </c>
      <c r="E89" s="6">
        <v>3</v>
      </c>
    </row>
    <row r="90" spans="1:5" x14ac:dyDescent="0.25">
      <c r="A90" s="6" t="s">
        <v>304</v>
      </c>
      <c r="B90" s="6">
        <v>4.67</v>
      </c>
      <c r="C90" s="6">
        <v>73</v>
      </c>
      <c r="D90" s="6">
        <v>36.799999999999997</v>
      </c>
      <c r="E90" s="6">
        <v>261</v>
      </c>
    </row>
    <row r="91" spans="1:5" x14ac:dyDescent="0.25">
      <c r="A91" s="6" t="s">
        <v>179</v>
      </c>
      <c r="B91" s="6">
        <v>11.32</v>
      </c>
      <c r="C91" s="6">
        <v>105</v>
      </c>
      <c r="D91" s="6">
        <v>39.65</v>
      </c>
      <c r="E91" s="6">
        <v>325</v>
      </c>
    </row>
    <row r="92" spans="1:5" x14ac:dyDescent="0.25">
      <c r="A92" s="6" t="s">
        <v>316</v>
      </c>
      <c r="B92" s="6">
        <v>11.7</v>
      </c>
      <c r="C92" s="6">
        <v>131</v>
      </c>
      <c r="D92" s="6">
        <v>52.39</v>
      </c>
      <c r="E92" s="6">
        <v>383</v>
      </c>
    </row>
    <row r="93" spans="1:5" x14ac:dyDescent="0.25">
      <c r="A93" s="6" t="s">
        <v>762</v>
      </c>
      <c r="B93" s="6">
        <v>24.41</v>
      </c>
      <c r="C93" s="6">
        <v>229</v>
      </c>
      <c r="D93" s="6">
        <v>101.98</v>
      </c>
      <c r="E93" s="6">
        <v>610</v>
      </c>
    </row>
    <row r="94" spans="1:5" x14ac:dyDescent="0.25">
      <c r="A94" s="6" t="s">
        <v>502</v>
      </c>
      <c r="B94" s="6">
        <v>2.94</v>
      </c>
      <c r="C94" s="6">
        <v>49</v>
      </c>
      <c r="D94" s="6">
        <v>9.77</v>
      </c>
      <c r="E94" s="6">
        <v>50</v>
      </c>
    </row>
    <row r="95" spans="1:5" x14ac:dyDescent="0.25">
      <c r="A95" s="6" t="s">
        <v>246</v>
      </c>
      <c r="B95" s="6">
        <v>12.14</v>
      </c>
      <c r="C95" s="6">
        <v>128</v>
      </c>
      <c r="D95" s="6">
        <v>28.59</v>
      </c>
      <c r="E95" s="6">
        <v>199</v>
      </c>
    </row>
    <row r="96" spans="1:5" x14ac:dyDescent="0.25">
      <c r="A96" s="6" t="s">
        <v>763</v>
      </c>
      <c r="B96" s="6">
        <v>26.95</v>
      </c>
      <c r="C96" s="6">
        <v>212</v>
      </c>
      <c r="D96" s="6">
        <v>48.18</v>
      </c>
      <c r="E96" s="6">
        <v>364</v>
      </c>
    </row>
    <row r="97" spans="1:5" x14ac:dyDescent="0.25">
      <c r="A97" s="6" t="s">
        <v>575</v>
      </c>
      <c r="B97" s="6">
        <v>14.49</v>
      </c>
      <c r="C97" s="6">
        <v>154</v>
      </c>
      <c r="D97" s="6">
        <v>33.68</v>
      </c>
      <c r="E97" s="6">
        <v>165</v>
      </c>
    </row>
    <row r="98" spans="1:5" x14ac:dyDescent="0.25">
      <c r="A98" s="6" t="s">
        <v>320</v>
      </c>
      <c r="B98" s="6">
        <v>15.54</v>
      </c>
      <c r="C98" s="6">
        <v>145</v>
      </c>
      <c r="D98" s="6">
        <v>46.25</v>
      </c>
      <c r="E98" s="6">
        <v>288</v>
      </c>
    </row>
    <row r="99" spans="1:5" x14ac:dyDescent="0.25">
      <c r="A99" s="6" t="s">
        <v>764</v>
      </c>
      <c r="B99" s="6">
        <v>15.86</v>
      </c>
      <c r="C99" s="6">
        <v>159</v>
      </c>
      <c r="D99" s="6">
        <v>43.51</v>
      </c>
      <c r="E99" s="6">
        <v>334</v>
      </c>
    </row>
    <row r="100" spans="1:5" x14ac:dyDescent="0.25">
      <c r="A100" s="6" t="s">
        <v>629</v>
      </c>
      <c r="B100" s="6">
        <v>11.44</v>
      </c>
      <c r="C100" s="6">
        <v>110</v>
      </c>
      <c r="D100" s="6">
        <v>44.79</v>
      </c>
      <c r="E100" s="6">
        <v>279</v>
      </c>
    </row>
    <row r="101" spans="1:5" x14ac:dyDescent="0.25">
      <c r="A101" s="6" t="s">
        <v>187</v>
      </c>
      <c r="B101" s="6">
        <v>5.19</v>
      </c>
      <c r="C101" s="6">
        <v>79</v>
      </c>
      <c r="D101" s="6">
        <v>21.24</v>
      </c>
      <c r="E101" s="6">
        <v>119</v>
      </c>
    </row>
    <row r="102" spans="1:5" x14ac:dyDescent="0.25">
      <c r="A102" s="6" t="s">
        <v>326</v>
      </c>
      <c r="B102" s="6">
        <v>22.92</v>
      </c>
      <c r="C102" s="6">
        <v>142</v>
      </c>
      <c r="D102" s="6">
        <v>67.7</v>
      </c>
      <c r="E102" s="6">
        <v>427</v>
      </c>
    </row>
    <row r="103" spans="1:5" x14ac:dyDescent="0.25">
      <c r="A103" s="6" t="s">
        <v>501</v>
      </c>
      <c r="B103" s="6">
        <v>12.33</v>
      </c>
      <c r="C103" s="6">
        <v>109</v>
      </c>
      <c r="D103" s="6">
        <v>27.75</v>
      </c>
      <c r="E103" s="6">
        <v>148</v>
      </c>
    </row>
    <row r="104" spans="1:5" x14ac:dyDescent="0.25">
      <c r="A104" s="6" t="s">
        <v>418</v>
      </c>
      <c r="B104" s="6">
        <v>7.91</v>
      </c>
      <c r="C104" s="6">
        <v>114</v>
      </c>
      <c r="D104" s="6">
        <v>41.46</v>
      </c>
      <c r="E104" s="6">
        <v>289</v>
      </c>
    </row>
    <row r="105" spans="1:5" x14ac:dyDescent="0.25">
      <c r="A105" s="6" t="s">
        <v>144</v>
      </c>
      <c r="B105" s="6">
        <v>10.35</v>
      </c>
      <c r="C105" s="6">
        <v>121</v>
      </c>
      <c r="D105" s="6">
        <v>39.090000000000003</v>
      </c>
      <c r="E105" s="6">
        <v>232</v>
      </c>
    </row>
    <row r="106" spans="1:5" x14ac:dyDescent="0.25">
      <c r="A106" s="6" t="s">
        <v>765</v>
      </c>
      <c r="B106" s="6">
        <v>17.27</v>
      </c>
      <c r="C106" s="6">
        <v>173</v>
      </c>
      <c r="D106" s="6">
        <v>46.65</v>
      </c>
      <c r="E106" s="6">
        <v>364</v>
      </c>
    </row>
    <row r="107" spans="1:5" x14ac:dyDescent="0.25">
      <c r="A107" s="6" t="s">
        <v>732</v>
      </c>
      <c r="B107" s="6">
        <v>9.24</v>
      </c>
      <c r="C107" s="6">
        <v>114</v>
      </c>
      <c r="D107" s="6">
        <v>69.569999999999993</v>
      </c>
      <c r="E107" s="6">
        <v>463</v>
      </c>
    </row>
    <row r="108" spans="1:5" x14ac:dyDescent="0.25">
      <c r="A108" s="6" t="s">
        <v>121</v>
      </c>
      <c r="B108" s="6">
        <v>18.47</v>
      </c>
      <c r="C108" s="6">
        <v>169</v>
      </c>
      <c r="D108" s="6">
        <v>47.14</v>
      </c>
      <c r="E108" s="6">
        <v>264</v>
      </c>
    </row>
    <row r="109" spans="1:5" x14ac:dyDescent="0.25">
      <c r="A109" s="6" t="s">
        <v>174</v>
      </c>
      <c r="B109" s="6">
        <v>15.39</v>
      </c>
      <c r="C109" s="6">
        <v>128</v>
      </c>
      <c r="D109" s="6">
        <v>86.3</v>
      </c>
      <c r="E109" s="6">
        <v>558</v>
      </c>
    </row>
    <row r="110" spans="1:5" x14ac:dyDescent="0.25">
      <c r="A110" s="6" t="s">
        <v>690</v>
      </c>
      <c r="B110" s="6">
        <v>6.2</v>
      </c>
      <c r="C110" s="6">
        <v>88</v>
      </c>
      <c r="D110" s="6">
        <v>20.82</v>
      </c>
      <c r="E110" s="6">
        <v>159</v>
      </c>
    </row>
    <row r="111" spans="1:5" x14ac:dyDescent="0.25">
      <c r="A111" s="6" t="s">
        <v>536</v>
      </c>
      <c r="B111" s="6">
        <v>7.58</v>
      </c>
      <c r="C111" s="6">
        <v>107</v>
      </c>
      <c r="D111" s="6">
        <v>47.31</v>
      </c>
      <c r="E111" s="6">
        <v>357</v>
      </c>
    </row>
    <row r="112" spans="1:5" x14ac:dyDescent="0.25">
      <c r="A112" s="6" t="s">
        <v>450</v>
      </c>
      <c r="B112" s="6">
        <v>5.4</v>
      </c>
      <c r="C112" s="6">
        <v>79</v>
      </c>
      <c r="D112" s="6">
        <v>28.6</v>
      </c>
      <c r="E112" s="6">
        <v>256</v>
      </c>
    </row>
    <row r="113" spans="1:5" x14ac:dyDescent="0.25">
      <c r="A113" s="6" t="s">
        <v>238</v>
      </c>
      <c r="B113" s="6">
        <v>4.6500000000000004</v>
      </c>
      <c r="C113" s="6">
        <v>83</v>
      </c>
      <c r="D113" s="6">
        <v>10.98</v>
      </c>
      <c r="E113" s="6">
        <v>79</v>
      </c>
    </row>
    <row r="114" spans="1:5" x14ac:dyDescent="0.25">
      <c r="A114" s="6" t="s">
        <v>535</v>
      </c>
      <c r="B114" s="6">
        <v>6.24</v>
      </c>
      <c r="C114" s="6">
        <v>90</v>
      </c>
      <c r="D114" s="6">
        <v>40.71</v>
      </c>
      <c r="E114" s="6">
        <v>252</v>
      </c>
    </row>
    <row r="115" spans="1:5" x14ac:dyDescent="0.25">
      <c r="A115" s="6" t="s">
        <v>29</v>
      </c>
      <c r="B115" s="6">
        <v>16.12</v>
      </c>
      <c r="C115" s="6">
        <v>142</v>
      </c>
      <c r="D115" s="6">
        <v>97.05</v>
      </c>
      <c r="E115" s="6">
        <v>539</v>
      </c>
    </row>
    <row r="116" spans="1:5" x14ac:dyDescent="0.25">
      <c r="A116" s="6" t="s">
        <v>766</v>
      </c>
      <c r="B116" s="6">
        <v>16.97</v>
      </c>
      <c r="C116" s="6">
        <v>160</v>
      </c>
      <c r="D116" s="6">
        <v>70.739999999999995</v>
      </c>
      <c r="E116" s="6">
        <v>382</v>
      </c>
    </row>
    <row r="117" spans="1:5" x14ac:dyDescent="0.25">
      <c r="A117" s="6" t="s">
        <v>643</v>
      </c>
      <c r="B117" s="6">
        <v>8.7100000000000009</v>
      </c>
      <c r="C117" s="6">
        <v>129</v>
      </c>
      <c r="D117" s="6">
        <v>42.86</v>
      </c>
      <c r="E117" s="6">
        <v>283</v>
      </c>
    </row>
    <row r="118" spans="1:5" x14ac:dyDescent="0.25">
      <c r="A118" s="6" t="s">
        <v>291</v>
      </c>
      <c r="B118" s="6">
        <v>9.5299999999999994</v>
      </c>
      <c r="C118" s="6">
        <v>115</v>
      </c>
      <c r="D118" s="6">
        <v>32.81</v>
      </c>
      <c r="E118" s="6">
        <v>370</v>
      </c>
    </row>
    <row r="119" spans="1:5" x14ac:dyDescent="0.25">
      <c r="A119" s="6" t="s">
        <v>520</v>
      </c>
      <c r="B119" s="6">
        <v>18.670000000000002</v>
      </c>
      <c r="C119" s="6">
        <v>159</v>
      </c>
      <c r="D119" s="6">
        <v>50.03</v>
      </c>
      <c r="E119" s="6">
        <v>314</v>
      </c>
    </row>
    <row r="120" spans="1:5" x14ac:dyDescent="0.25">
      <c r="A120" s="6" t="s">
        <v>745</v>
      </c>
      <c r="B120" s="6">
        <v>20.7</v>
      </c>
      <c r="C120" s="6">
        <v>166</v>
      </c>
      <c r="D120" s="6">
        <v>30.29</v>
      </c>
      <c r="E120" s="6">
        <v>197</v>
      </c>
    </row>
    <row r="121" spans="1:5" x14ac:dyDescent="0.25">
      <c r="A121" s="6" t="s">
        <v>226</v>
      </c>
      <c r="B121" s="6">
        <v>13.09</v>
      </c>
      <c r="C121" s="6">
        <v>97</v>
      </c>
      <c r="D121" s="6">
        <v>53.29</v>
      </c>
      <c r="E121" s="6">
        <v>276</v>
      </c>
    </row>
    <row r="122" spans="1:5" x14ac:dyDescent="0.25">
      <c r="A122" s="6" t="s">
        <v>84</v>
      </c>
      <c r="B122" s="6">
        <v>2.88</v>
      </c>
      <c r="C122" s="6">
        <v>40</v>
      </c>
      <c r="D122" s="6">
        <v>15.2</v>
      </c>
      <c r="E122" s="6">
        <v>87</v>
      </c>
    </row>
    <row r="123" spans="1:5" x14ac:dyDescent="0.25">
      <c r="A123" s="6" t="s">
        <v>34</v>
      </c>
      <c r="B123" s="6">
        <v>9.83</v>
      </c>
      <c r="C123" s="6">
        <v>107</v>
      </c>
      <c r="D123" s="6">
        <v>28.29</v>
      </c>
      <c r="E123" s="6">
        <v>173</v>
      </c>
    </row>
    <row r="124" spans="1:5" x14ac:dyDescent="0.25">
      <c r="A124" s="6" t="s">
        <v>319</v>
      </c>
      <c r="B124" s="6">
        <v>3.79</v>
      </c>
      <c r="C124" s="6">
        <v>45</v>
      </c>
      <c r="D124" s="6">
        <v>22.91</v>
      </c>
      <c r="E124" s="6">
        <v>218</v>
      </c>
    </row>
    <row r="125" spans="1:5" x14ac:dyDescent="0.25">
      <c r="A125" s="6" t="s">
        <v>168</v>
      </c>
      <c r="B125" s="6">
        <v>12.26</v>
      </c>
      <c r="C125" s="6">
        <v>132</v>
      </c>
      <c r="D125" s="6">
        <v>38.68</v>
      </c>
      <c r="E125" s="6">
        <v>292</v>
      </c>
    </row>
    <row r="126" spans="1:5" x14ac:dyDescent="0.25">
      <c r="A126" s="6" t="s">
        <v>240</v>
      </c>
      <c r="B126" s="6">
        <v>9.15</v>
      </c>
      <c r="C126" s="6">
        <v>96</v>
      </c>
      <c r="D126" s="6">
        <v>56.2</v>
      </c>
      <c r="E126" s="6">
        <v>429</v>
      </c>
    </row>
    <row r="127" spans="1:5" x14ac:dyDescent="0.25">
      <c r="A127" s="6" t="s">
        <v>374</v>
      </c>
      <c r="B127" s="6">
        <v>5.12</v>
      </c>
      <c r="C127" s="6">
        <v>60</v>
      </c>
      <c r="D127" s="6">
        <v>46.25</v>
      </c>
      <c r="E127" s="6">
        <v>296</v>
      </c>
    </row>
    <row r="128" spans="1:5" x14ac:dyDescent="0.25">
      <c r="A128" s="6" t="s">
        <v>767</v>
      </c>
      <c r="B128" s="6">
        <v>24.44</v>
      </c>
      <c r="C128" s="6">
        <v>153</v>
      </c>
      <c r="D128" s="6">
        <v>98.48</v>
      </c>
      <c r="E128" s="6">
        <v>748</v>
      </c>
    </row>
    <row r="129" spans="1:5" x14ac:dyDescent="0.25">
      <c r="A129" s="6" t="s">
        <v>768</v>
      </c>
      <c r="B129" s="6">
        <v>35.25</v>
      </c>
      <c r="C129" s="6">
        <v>329</v>
      </c>
      <c r="D129" s="6">
        <v>55.39</v>
      </c>
      <c r="E129" s="6">
        <v>311</v>
      </c>
    </row>
    <row r="130" spans="1:5" x14ac:dyDescent="0.25">
      <c r="A130" s="6" t="s">
        <v>571</v>
      </c>
      <c r="B130" s="6">
        <v>4.37</v>
      </c>
      <c r="C130" s="6">
        <v>65</v>
      </c>
      <c r="D130" s="6">
        <v>17.91</v>
      </c>
      <c r="E130" s="6">
        <v>99</v>
      </c>
    </row>
    <row r="131" spans="1:5" x14ac:dyDescent="0.25">
      <c r="A131" s="6" t="s">
        <v>252</v>
      </c>
      <c r="B131" s="6">
        <v>8.64</v>
      </c>
      <c r="C131" s="6">
        <v>95</v>
      </c>
      <c r="D131" s="6">
        <v>50.96</v>
      </c>
      <c r="E131" s="6">
        <v>251</v>
      </c>
    </row>
    <row r="132" spans="1:5" x14ac:dyDescent="0.25">
      <c r="A132" s="6" t="s">
        <v>376</v>
      </c>
      <c r="B132" s="6">
        <v>7.56</v>
      </c>
      <c r="C132" s="6">
        <v>115</v>
      </c>
      <c r="D132" s="6">
        <v>46.71</v>
      </c>
      <c r="E132" s="6">
        <v>354</v>
      </c>
    </row>
    <row r="133" spans="1:5" x14ac:dyDescent="0.25">
      <c r="A133" s="6" t="s">
        <v>742</v>
      </c>
      <c r="B133" s="6">
        <v>8.99</v>
      </c>
      <c r="C133" s="6">
        <v>89</v>
      </c>
      <c r="D133" s="6">
        <v>82.1</v>
      </c>
      <c r="E133" s="6">
        <v>447</v>
      </c>
    </row>
    <row r="134" spans="1:5" x14ac:dyDescent="0.25">
      <c r="A134" s="6" t="s">
        <v>342</v>
      </c>
      <c r="B134" s="6">
        <v>30.96</v>
      </c>
      <c r="C134" s="6">
        <v>201</v>
      </c>
      <c r="D134" s="6">
        <v>120.58</v>
      </c>
      <c r="E134" s="6">
        <v>685</v>
      </c>
    </row>
    <row r="135" spans="1:5" x14ac:dyDescent="0.25">
      <c r="A135" s="6" t="s">
        <v>313</v>
      </c>
      <c r="B135" s="6">
        <v>3.68</v>
      </c>
      <c r="C135" s="6">
        <v>53</v>
      </c>
      <c r="D135" s="6">
        <v>29.95</v>
      </c>
      <c r="E135" s="6">
        <v>326</v>
      </c>
    </row>
    <row r="136" spans="1:5" x14ac:dyDescent="0.25">
      <c r="A136" s="6" t="s">
        <v>218</v>
      </c>
      <c r="B136" s="6">
        <v>8.65</v>
      </c>
      <c r="C136" s="6">
        <v>106</v>
      </c>
      <c r="D136" s="6">
        <v>50.37</v>
      </c>
      <c r="E136" s="6">
        <v>572</v>
      </c>
    </row>
    <row r="137" spans="1:5" x14ac:dyDescent="0.25">
      <c r="A137" s="6" t="s">
        <v>639</v>
      </c>
      <c r="B137" s="6">
        <v>12.82</v>
      </c>
      <c r="C137" s="6">
        <v>109</v>
      </c>
      <c r="D137" s="6">
        <v>58.95</v>
      </c>
      <c r="E137" s="6">
        <v>349</v>
      </c>
    </row>
    <row r="138" spans="1:5" x14ac:dyDescent="0.25">
      <c r="A138" s="6" t="s">
        <v>531</v>
      </c>
      <c r="B138" s="6">
        <v>3.49</v>
      </c>
      <c r="C138" s="6">
        <v>54</v>
      </c>
      <c r="D138" s="6">
        <v>32.56</v>
      </c>
      <c r="E138" s="6">
        <v>269</v>
      </c>
    </row>
    <row r="139" spans="1:5" x14ac:dyDescent="0.25">
      <c r="A139" s="6" t="s">
        <v>428</v>
      </c>
      <c r="B139" s="6">
        <v>5.0199999999999996</v>
      </c>
      <c r="C139" s="6">
        <v>70</v>
      </c>
      <c r="D139" s="6">
        <v>47.57</v>
      </c>
      <c r="E139" s="6">
        <v>379</v>
      </c>
    </row>
    <row r="140" spans="1:5" x14ac:dyDescent="0.25">
      <c r="A140" s="6" t="s">
        <v>769</v>
      </c>
      <c r="B140" s="6">
        <v>26.9</v>
      </c>
      <c r="C140" s="6">
        <v>243</v>
      </c>
      <c r="D140" s="6">
        <v>61.83</v>
      </c>
      <c r="E140" s="6">
        <v>411</v>
      </c>
    </row>
    <row r="141" spans="1:5" x14ac:dyDescent="0.25">
      <c r="A141" s="6" t="s">
        <v>670</v>
      </c>
      <c r="B141" s="6">
        <v>6.11</v>
      </c>
      <c r="C141" s="6">
        <v>76</v>
      </c>
      <c r="D141" s="6">
        <v>30.15</v>
      </c>
      <c r="E141" s="6">
        <v>213</v>
      </c>
    </row>
    <row r="142" spans="1:5" x14ac:dyDescent="0.25">
      <c r="A142" s="6" t="s">
        <v>258</v>
      </c>
      <c r="B142" s="6">
        <v>1.39</v>
      </c>
      <c r="C142" s="6">
        <v>26</v>
      </c>
      <c r="D142" s="6">
        <v>9.09</v>
      </c>
      <c r="E142" s="6">
        <v>55</v>
      </c>
    </row>
    <row r="143" spans="1:5" x14ac:dyDescent="0.25">
      <c r="A143" s="6" t="s">
        <v>727</v>
      </c>
      <c r="B143" s="6">
        <v>8.23</v>
      </c>
      <c r="C143" s="6">
        <v>103</v>
      </c>
      <c r="D143" s="6">
        <v>40.19</v>
      </c>
      <c r="E143" s="6">
        <v>275</v>
      </c>
    </row>
    <row r="144" spans="1:5" x14ac:dyDescent="0.25">
      <c r="A144" s="6" t="s">
        <v>632</v>
      </c>
      <c r="B144" s="6">
        <v>6.62</v>
      </c>
      <c r="C144" s="6">
        <v>84</v>
      </c>
      <c r="D144" s="6">
        <v>43.91</v>
      </c>
      <c r="E144" s="6">
        <v>367</v>
      </c>
    </row>
    <row r="145" spans="1:5" x14ac:dyDescent="0.25">
      <c r="A145" s="6" t="s">
        <v>567</v>
      </c>
      <c r="B145" s="6">
        <v>24.86</v>
      </c>
      <c r="C145" s="6">
        <v>169</v>
      </c>
      <c r="D145" s="6">
        <v>40.270000000000003</v>
      </c>
      <c r="E145" s="6">
        <v>220</v>
      </c>
    </row>
    <row r="146" spans="1:5" x14ac:dyDescent="0.25">
      <c r="A146" s="6" t="s">
        <v>728</v>
      </c>
      <c r="B146" s="6">
        <v>15.71</v>
      </c>
      <c r="C146" s="6">
        <v>119</v>
      </c>
      <c r="D146" s="6">
        <v>95.16</v>
      </c>
      <c r="E146" s="6">
        <v>431</v>
      </c>
    </row>
    <row r="147" spans="1:5" x14ac:dyDescent="0.25">
      <c r="A147" s="6" t="s">
        <v>770</v>
      </c>
      <c r="B147" s="6">
        <v>15.47</v>
      </c>
      <c r="C147" s="6">
        <v>145</v>
      </c>
      <c r="D147" s="6">
        <v>67.44</v>
      </c>
      <c r="E147" s="6">
        <v>405</v>
      </c>
    </row>
    <row r="148" spans="1:5" x14ac:dyDescent="0.25">
      <c r="A148" s="6" t="s">
        <v>301</v>
      </c>
      <c r="B148" s="6">
        <v>10.86</v>
      </c>
      <c r="C148" s="6">
        <v>130</v>
      </c>
      <c r="D148" s="6">
        <v>42.25</v>
      </c>
      <c r="E148" s="6">
        <v>253</v>
      </c>
    </row>
    <row r="149" spans="1:5" x14ac:dyDescent="0.25">
      <c r="A149" s="6" t="s">
        <v>145</v>
      </c>
      <c r="B149" s="6">
        <v>21.72</v>
      </c>
      <c r="C149" s="6">
        <v>247</v>
      </c>
      <c r="D149" s="6">
        <v>42.82</v>
      </c>
      <c r="E149" s="6">
        <v>260</v>
      </c>
    </row>
    <row r="150" spans="1:5" x14ac:dyDescent="0.25">
      <c r="A150" s="6" t="s">
        <v>716</v>
      </c>
      <c r="B150" s="6">
        <v>12.31</v>
      </c>
      <c r="C150" s="6">
        <v>180</v>
      </c>
      <c r="D150" s="6">
        <v>12.38</v>
      </c>
      <c r="E150" s="6">
        <v>70</v>
      </c>
    </row>
    <row r="151" spans="1:5" x14ac:dyDescent="0.25">
      <c r="A151" s="6" t="s">
        <v>217</v>
      </c>
      <c r="B151" s="6">
        <v>4.12</v>
      </c>
      <c r="C151" s="6">
        <v>59</v>
      </c>
      <c r="D151" s="6">
        <v>20.91</v>
      </c>
      <c r="E151" s="6">
        <v>122</v>
      </c>
    </row>
    <row r="152" spans="1:5" x14ac:dyDescent="0.25">
      <c r="A152" s="6" t="s">
        <v>375</v>
      </c>
      <c r="B152" s="6">
        <v>10.18</v>
      </c>
      <c r="C152" s="6">
        <v>108</v>
      </c>
      <c r="D152" s="6">
        <v>46.56</v>
      </c>
      <c r="E152" s="6">
        <v>320</v>
      </c>
    </row>
    <row r="153" spans="1:5" x14ac:dyDescent="0.25">
      <c r="A153" s="6" t="s">
        <v>723</v>
      </c>
      <c r="B153" s="6">
        <v>5.09</v>
      </c>
      <c r="C153" s="6">
        <v>78</v>
      </c>
      <c r="D153" s="6">
        <v>22.58</v>
      </c>
      <c r="E153" s="6">
        <v>165</v>
      </c>
    </row>
    <row r="154" spans="1:5" x14ac:dyDescent="0.25">
      <c r="A154" s="6" t="s">
        <v>108</v>
      </c>
      <c r="B154" s="6">
        <v>11.05</v>
      </c>
      <c r="C154" s="6">
        <v>102</v>
      </c>
      <c r="D154" s="6">
        <v>94.96</v>
      </c>
      <c r="E154" s="6">
        <v>558</v>
      </c>
    </row>
    <row r="155" spans="1:5" x14ac:dyDescent="0.25">
      <c r="A155" s="6" t="s">
        <v>504</v>
      </c>
      <c r="B155" s="6">
        <v>9.8000000000000007</v>
      </c>
      <c r="C155" s="6">
        <v>106</v>
      </c>
      <c r="D155" s="6">
        <v>46.26</v>
      </c>
      <c r="E155" s="6">
        <v>469</v>
      </c>
    </row>
    <row r="156" spans="1:5" x14ac:dyDescent="0.25">
      <c r="A156" s="6" t="s">
        <v>68</v>
      </c>
      <c r="B156" s="6">
        <v>12.95</v>
      </c>
      <c r="C156" s="6">
        <v>123</v>
      </c>
      <c r="D156" s="6">
        <v>52.42</v>
      </c>
      <c r="E156" s="6">
        <v>310</v>
      </c>
    </row>
    <row r="157" spans="1:5" x14ac:dyDescent="0.25">
      <c r="A157" s="6" t="s">
        <v>175</v>
      </c>
      <c r="B157" s="6">
        <v>6.68</v>
      </c>
      <c r="C157" s="6">
        <v>87</v>
      </c>
      <c r="D157" s="6">
        <v>35.979999999999997</v>
      </c>
      <c r="E157" s="6">
        <v>300</v>
      </c>
    </row>
    <row r="158" spans="1:5" x14ac:dyDescent="0.25">
      <c r="A158" s="6" t="s">
        <v>332</v>
      </c>
      <c r="B158" s="6">
        <v>6.3</v>
      </c>
      <c r="C158" s="6">
        <v>75</v>
      </c>
      <c r="D158" s="6">
        <v>45.5</v>
      </c>
      <c r="E158" s="6">
        <v>344</v>
      </c>
    </row>
    <row r="159" spans="1:5" x14ac:dyDescent="0.25">
      <c r="A159" s="6" t="s">
        <v>256</v>
      </c>
      <c r="B159" s="6">
        <v>12.79</v>
      </c>
      <c r="C159" s="6">
        <v>121</v>
      </c>
      <c r="D159" s="6">
        <v>47.13</v>
      </c>
      <c r="E159" s="6">
        <v>195</v>
      </c>
    </row>
    <row r="160" spans="1:5" x14ac:dyDescent="0.25">
      <c r="A160" s="6" t="s">
        <v>408</v>
      </c>
      <c r="B160" s="6">
        <v>11.73</v>
      </c>
      <c r="C160" s="6">
        <v>109</v>
      </c>
      <c r="D160" s="6">
        <v>39.19</v>
      </c>
      <c r="E160" s="6">
        <v>254</v>
      </c>
    </row>
    <row r="161" spans="1:5" x14ac:dyDescent="0.25">
      <c r="A161" s="6" t="s">
        <v>123</v>
      </c>
      <c r="B161" s="6">
        <v>8.15</v>
      </c>
      <c r="C161" s="6">
        <v>118</v>
      </c>
      <c r="D161" s="6">
        <v>65.33</v>
      </c>
      <c r="E161" s="6">
        <v>420</v>
      </c>
    </row>
    <row r="162" spans="1:5" x14ac:dyDescent="0.25">
      <c r="A162" s="6" t="s">
        <v>184</v>
      </c>
      <c r="B162" s="6">
        <v>13.11</v>
      </c>
      <c r="C162" s="6">
        <v>148</v>
      </c>
      <c r="D162" s="6">
        <v>57.01</v>
      </c>
      <c r="E162" s="6">
        <v>502</v>
      </c>
    </row>
    <row r="163" spans="1:5" x14ac:dyDescent="0.25">
      <c r="A163" s="6" t="s">
        <v>618</v>
      </c>
      <c r="B163" s="6">
        <v>3.68</v>
      </c>
      <c r="C163" s="6">
        <v>55</v>
      </c>
      <c r="D163" s="6">
        <v>17.78</v>
      </c>
      <c r="E163" s="6">
        <v>135</v>
      </c>
    </row>
    <row r="164" spans="1:5" x14ac:dyDescent="0.25">
      <c r="A164" s="6" t="s">
        <v>158</v>
      </c>
      <c r="B164" s="6">
        <v>3.16</v>
      </c>
      <c r="C164" s="6">
        <v>46</v>
      </c>
      <c r="D164" s="6">
        <v>25.78</v>
      </c>
      <c r="E164" s="6">
        <v>199</v>
      </c>
    </row>
    <row r="165" spans="1:5" x14ac:dyDescent="0.25">
      <c r="A165" s="6" t="s">
        <v>330</v>
      </c>
      <c r="B165" s="6">
        <v>16.559999999999999</v>
      </c>
      <c r="C165" s="6">
        <v>137</v>
      </c>
      <c r="D165" s="6">
        <v>42.78</v>
      </c>
      <c r="E165" s="6">
        <v>262</v>
      </c>
    </row>
    <row r="166" spans="1:5" x14ac:dyDescent="0.25">
      <c r="A166" s="6" t="s">
        <v>180</v>
      </c>
      <c r="B166" s="6">
        <v>14.41</v>
      </c>
      <c r="C166" s="6">
        <v>133</v>
      </c>
      <c r="D166" s="6">
        <v>60.92</v>
      </c>
      <c r="E166" s="6">
        <v>294</v>
      </c>
    </row>
    <row r="167" spans="1:5" x14ac:dyDescent="0.25">
      <c r="A167" s="6" t="s">
        <v>199</v>
      </c>
      <c r="B167" s="6">
        <v>6.82</v>
      </c>
      <c r="C167" s="6">
        <v>73</v>
      </c>
      <c r="D167" s="6">
        <v>50.63</v>
      </c>
      <c r="E167" s="6">
        <v>387</v>
      </c>
    </row>
    <row r="168" spans="1:5" x14ac:dyDescent="0.25">
      <c r="A168" s="6" t="s">
        <v>337</v>
      </c>
      <c r="B168" s="6">
        <v>13.23</v>
      </c>
      <c r="C168" s="6">
        <v>124</v>
      </c>
      <c r="D168" s="6">
        <v>50.5</v>
      </c>
      <c r="E168" s="6">
        <v>421</v>
      </c>
    </row>
    <row r="169" spans="1:5" x14ac:dyDescent="0.25">
      <c r="A169" s="6" t="s">
        <v>771</v>
      </c>
      <c r="B169" s="6">
        <v>23.33</v>
      </c>
      <c r="C169" s="6">
        <v>276</v>
      </c>
      <c r="D169" s="6">
        <v>75.75</v>
      </c>
      <c r="E169" s="6">
        <v>626</v>
      </c>
    </row>
    <row r="170" spans="1:5" x14ac:dyDescent="0.25">
      <c r="A170" s="6" t="s">
        <v>466</v>
      </c>
      <c r="B170" s="6">
        <v>12</v>
      </c>
      <c r="C170" s="6">
        <v>128</v>
      </c>
      <c r="D170" s="6">
        <v>33.42</v>
      </c>
      <c r="E170" s="6">
        <v>244</v>
      </c>
    </row>
    <row r="171" spans="1:5" x14ac:dyDescent="0.25">
      <c r="A171" s="6" t="s">
        <v>338</v>
      </c>
      <c r="B171" s="6">
        <v>14.61</v>
      </c>
      <c r="C171" s="6">
        <v>148</v>
      </c>
      <c r="D171" s="6">
        <v>49.92</v>
      </c>
      <c r="E171" s="6">
        <v>358</v>
      </c>
    </row>
    <row r="172" spans="1:5" x14ac:dyDescent="0.25">
      <c r="A172" s="6" t="s">
        <v>602</v>
      </c>
      <c r="B172" s="6">
        <v>6.98</v>
      </c>
      <c r="C172" s="6">
        <v>93</v>
      </c>
      <c r="D172" s="6">
        <v>15.27</v>
      </c>
      <c r="E172" s="6">
        <v>77</v>
      </c>
    </row>
    <row r="173" spans="1:5" x14ac:dyDescent="0.25">
      <c r="A173" s="6" t="s">
        <v>599</v>
      </c>
      <c r="B173" s="6">
        <v>6.77</v>
      </c>
      <c r="C173" s="6">
        <v>78</v>
      </c>
      <c r="D173" s="6">
        <v>46.12</v>
      </c>
      <c r="E173" s="6">
        <v>336</v>
      </c>
    </row>
    <row r="174" spans="1:5" x14ac:dyDescent="0.25">
      <c r="A174" s="6" t="s">
        <v>772</v>
      </c>
      <c r="B174" s="6">
        <v>13.99</v>
      </c>
      <c r="C174" s="6">
        <v>121</v>
      </c>
      <c r="D174" s="6">
        <v>68.930000000000007</v>
      </c>
      <c r="E174" s="6">
        <v>384</v>
      </c>
    </row>
    <row r="175" spans="1:5" x14ac:dyDescent="0.25">
      <c r="A175" s="6" t="s">
        <v>426</v>
      </c>
      <c r="B175" s="6">
        <v>8.58</v>
      </c>
      <c r="C175" s="6">
        <v>96</v>
      </c>
      <c r="D175" s="6">
        <v>29.62</v>
      </c>
      <c r="E175" s="6">
        <v>242</v>
      </c>
    </row>
    <row r="176" spans="1:5" x14ac:dyDescent="0.25">
      <c r="A176" s="6" t="s">
        <v>46</v>
      </c>
      <c r="B176" s="6">
        <v>9.7100000000000009</v>
      </c>
      <c r="C176" s="6">
        <v>93</v>
      </c>
      <c r="D176" s="6">
        <v>61.58</v>
      </c>
      <c r="E176" s="6">
        <v>365</v>
      </c>
    </row>
    <row r="177" spans="1:5" x14ac:dyDescent="0.25">
      <c r="A177" s="6" t="s">
        <v>605</v>
      </c>
      <c r="B177" s="6">
        <v>18.41</v>
      </c>
      <c r="C177" s="6">
        <v>148</v>
      </c>
      <c r="D177" s="6">
        <v>52.52</v>
      </c>
      <c r="E177" s="6">
        <v>258</v>
      </c>
    </row>
    <row r="178" spans="1:5" x14ac:dyDescent="0.25">
      <c r="A178" s="6" t="s">
        <v>486</v>
      </c>
      <c r="B178" s="6">
        <v>10.55</v>
      </c>
      <c r="C178" s="6">
        <v>120</v>
      </c>
      <c r="D178" s="6">
        <v>21.85</v>
      </c>
      <c r="E178" s="6">
        <v>93</v>
      </c>
    </row>
    <row r="179" spans="1:5" x14ac:dyDescent="0.25">
      <c r="A179" s="6" t="s">
        <v>773</v>
      </c>
      <c r="B179" s="6">
        <v>27.11</v>
      </c>
      <c r="C179" s="6">
        <v>197</v>
      </c>
      <c r="D179" s="6">
        <v>77.02</v>
      </c>
      <c r="E179" s="6">
        <v>413</v>
      </c>
    </row>
    <row r="180" spans="1:5" x14ac:dyDescent="0.25">
      <c r="A180" s="6" t="s">
        <v>533</v>
      </c>
      <c r="B180" s="6">
        <v>8.32</v>
      </c>
      <c r="C180" s="6">
        <v>116</v>
      </c>
      <c r="D180" s="6">
        <v>34.229999999999997</v>
      </c>
      <c r="E180" s="6">
        <v>198</v>
      </c>
    </row>
    <row r="181" spans="1:5" x14ac:dyDescent="0.25">
      <c r="A181" s="6" t="s">
        <v>13</v>
      </c>
      <c r="B181" s="6">
        <v>19.05</v>
      </c>
      <c r="C181" s="6">
        <v>184</v>
      </c>
      <c r="D181" s="6">
        <v>69.22</v>
      </c>
      <c r="E181" s="6">
        <v>653</v>
      </c>
    </row>
    <row r="182" spans="1:5" x14ac:dyDescent="0.25">
      <c r="A182" s="6" t="s">
        <v>774</v>
      </c>
      <c r="B182" s="6">
        <v>16.579999999999998</v>
      </c>
      <c r="C182" s="6">
        <v>144</v>
      </c>
      <c r="D182" s="6">
        <v>110.11</v>
      </c>
      <c r="E182" s="6">
        <v>711</v>
      </c>
    </row>
    <row r="183" spans="1:5" x14ac:dyDescent="0.25">
      <c r="A183" s="6" t="s">
        <v>406</v>
      </c>
      <c r="B183" s="6">
        <v>30.3</v>
      </c>
      <c r="C183" s="6">
        <v>278</v>
      </c>
      <c r="D183" s="6">
        <v>48.86</v>
      </c>
      <c r="E183" s="6">
        <v>319</v>
      </c>
    </row>
    <row r="184" spans="1:5" x14ac:dyDescent="0.25">
      <c r="A184" s="6" t="s">
        <v>212</v>
      </c>
      <c r="B184" s="6">
        <v>4.91</v>
      </c>
      <c r="C184" s="6">
        <v>66</v>
      </c>
      <c r="D184" s="6">
        <v>12.19</v>
      </c>
      <c r="E184" s="6">
        <v>57</v>
      </c>
    </row>
    <row r="185" spans="1:5" x14ac:dyDescent="0.25">
      <c r="A185" s="6" t="s">
        <v>775</v>
      </c>
      <c r="B185" s="6">
        <v>18.149999999999999</v>
      </c>
      <c r="C185" s="6">
        <v>200</v>
      </c>
      <c r="D185" s="6">
        <v>87.89</v>
      </c>
      <c r="E185" s="6">
        <v>554</v>
      </c>
    </row>
    <row r="186" spans="1:5" x14ac:dyDescent="0.25">
      <c r="A186" s="6" t="s">
        <v>776</v>
      </c>
      <c r="B186" s="6">
        <v>37.35</v>
      </c>
      <c r="C186" s="6">
        <v>431</v>
      </c>
      <c r="D186" s="6">
        <v>44.58</v>
      </c>
      <c r="E186" s="6">
        <v>299</v>
      </c>
    </row>
    <row r="187" spans="1:5" x14ac:dyDescent="0.25">
      <c r="A187" s="6" t="s">
        <v>6</v>
      </c>
      <c r="B187" s="6">
        <v>7.95</v>
      </c>
      <c r="C187" s="6">
        <v>80</v>
      </c>
      <c r="D187" s="6">
        <v>30.86</v>
      </c>
      <c r="E187" s="6">
        <v>199</v>
      </c>
    </row>
    <row r="188" spans="1:5" x14ac:dyDescent="0.25">
      <c r="A188" s="6" t="s">
        <v>279</v>
      </c>
      <c r="B188" s="6">
        <v>12.18</v>
      </c>
      <c r="C188" s="6">
        <v>127</v>
      </c>
      <c r="D188" s="6">
        <v>33.22</v>
      </c>
      <c r="E188" s="6">
        <v>235</v>
      </c>
    </row>
    <row r="189" spans="1:5" x14ac:dyDescent="0.25">
      <c r="A189" s="6" t="s">
        <v>610</v>
      </c>
      <c r="B189" s="6">
        <v>5.88</v>
      </c>
      <c r="C189" s="6">
        <v>80</v>
      </c>
      <c r="D189" s="6">
        <v>60.91</v>
      </c>
      <c r="E189" s="6">
        <v>495</v>
      </c>
    </row>
    <row r="190" spans="1:5" x14ac:dyDescent="0.25">
      <c r="A190" s="6" t="s">
        <v>307</v>
      </c>
      <c r="B190" s="6">
        <v>3.8</v>
      </c>
      <c r="C190" s="6">
        <v>62</v>
      </c>
      <c r="D190" s="6">
        <v>23.4</v>
      </c>
      <c r="E190" s="6">
        <v>171</v>
      </c>
    </row>
    <row r="191" spans="1:5" x14ac:dyDescent="0.25">
      <c r="A191" s="6" t="s">
        <v>385</v>
      </c>
      <c r="B191" s="6">
        <v>19.18</v>
      </c>
      <c r="C191" s="6">
        <v>167</v>
      </c>
      <c r="D191" s="6">
        <v>96.04</v>
      </c>
      <c r="E191" s="6">
        <v>684</v>
      </c>
    </row>
    <row r="192" spans="1:5" x14ac:dyDescent="0.25">
      <c r="A192" s="6" t="s">
        <v>101</v>
      </c>
      <c r="B192" s="6">
        <v>12.44</v>
      </c>
      <c r="C192" s="6">
        <v>156</v>
      </c>
      <c r="D192" s="6">
        <v>59.27</v>
      </c>
      <c r="E192" s="6">
        <v>450</v>
      </c>
    </row>
    <row r="193" spans="1:5" x14ac:dyDescent="0.25">
      <c r="A193" s="6" t="s">
        <v>719</v>
      </c>
      <c r="B193" s="6">
        <v>3.12</v>
      </c>
      <c r="C193" s="6">
        <v>54</v>
      </c>
      <c r="D193" s="6">
        <v>15.81</v>
      </c>
      <c r="E193" s="6">
        <v>140</v>
      </c>
    </row>
    <row r="194" spans="1:5" x14ac:dyDescent="0.25">
      <c r="A194" s="6" t="s">
        <v>173</v>
      </c>
      <c r="B194" s="6">
        <v>6.21</v>
      </c>
      <c r="C194" s="6">
        <v>97</v>
      </c>
      <c r="D194" s="6">
        <v>42.21</v>
      </c>
      <c r="E194" s="6">
        <v>305</v>
      </c>
    </row>
    <row r="195" spans="1:5" x14ac:dyDescent="0.25">
      <c r="A195" s="6" t="s">
        <v>484</v>
      </c>
      <c r="B195" s="6">
        <v>10.17</v>
      </c>
      <c r="C195" s="6">
        <v>95</v>
      </c>
      <c r="D195" s="6">
        <v>30.98</v>
      </c>
      <c r="E195" s="6">
        <v>183</v>
      </c>
    </row>
    <row r="196" spans="1:5" x14ac:dyDescent="0.25">
      <c r="A196" s="6" t="s">
        <v>445</v>
      </c>
      <c r="B196" s="6">
        <v>5.15</v>
      </c>
      <c r="C196" s="6">
        <v>68</v>
      </c>
      <c r="D196" s="6">
        <v>20.41</v>
      </c>
      <c r="E196" s="6">
        <v>169</v>
      </c>
    </row>
    <row r="197" spans="1:5" x14ac:dyDescent="0.25">
      <c r="A197" s="6" t="s">
        <v>576</v>
      </c>
      <c r="B197" s="6">
        <v>7.31</v>
      </c>
      <c r="C197" s="6">
        <v>96</v>
      </c>
      <c r="D197" s="6">
        <v>54.84</v>
      </c>
      <c r="E197" s="6">
        <v>378</v>
      </c>
    </row>
    <row r="198" spans="1:5" x14ac:dyDescent="0.25">
      <c r="A198" s="6" t="s">
        <v>611</v>
      </c>
      <c r="B198" s="6">
        <v>8.44</v>
      </c>
      <c r="C198" s="6">
        <v>119</v>
      </c>
      <c r="D198" s="6">
        <v>21.51</v>
      </c>
      <c r="E198" s="6">
        <v>192</v>
      </c>
    </row>
    <row r="199" spans="1:5" x14ac:dyDescent="0.25">
      <c r="A199" s="6" t="s">
        <v>186</v>
      </c>
      <c r="B199" s="6">
        <v>5.83</v>
      </c>
      <c r="C199" s="6">
        <v>72</v>
      </c>
      <c r="D199" s="6">
        <v>22.75</v>
      </c>
      <c r="E199" s="6">
        <v>195</v>
      </c>
    </row>
    <row r="200" spans="1:5" x14ac:dyDescent="0.25">
      <c r="A200" s="6" t="s">
        <v>86</v>
      </c>
      <c r="B200" s="6">
        <v>9.9</v>
      </c>
      <c r="C200" s="6">
        <v>95</v>
      </c>
      <c r="D200" s="6">
        <v>42.05</v>
      </c>
      <c r="E200" s="6">
        <v>226</v>
      </c>
    </row>
    <row r="201" spans="1:5" x14ac:dyDescent="0.25">
      <c r="A201" s="6" t="s">
        <v>558</v>
      </c>
      <c r="B201" s="6">
        <v>10.94</v>
      </c>
      <c r="C201" s="6">
        <v>117</v>
      </c>
      <c r="D201" s="6">
        <v>37.94</v>
      </c>
      <c r="E201" s="6">
        <v>303</v>
      </c>
    </row>
    <row r="202" spans="1:5" x14ac:dyDescent="0.25">
      <c r="A202" s="6" t="s">
        <v>447</v>
      </c>
      <c r="B202" s="6">
        <v>4.3099999999999996</v>
      </c>
      <c r="C202" s="6">
        <v>60</v>
      </c>
      <c r="D202" s="6">
        <v>26.81</v>
      </c>
      <c r="E202" s="6">
        <v>192</v>
      </c>
    </row>
    <row r="203" spans="1:5" x14ac:dyDescent="0.25">
      <c r="A203" s="6" t="s">
        <v>465</v>
      </c>
      <c r="B203" s="6">
        <v>11.75</v>
      </c>
      <c r="C203" s="6">
        <v>109</v>
      </c>
      <c r="D203" s="6">
        <v>33.36</v>
      </c>
      <c r="E203" s="6">
        <v>231</v>
      </c>
    </row>
    <row r="204" spans="1:5" x14ac:dyDescent="0.25">
      <c r="A204" s="6" t="s">
        <v>457</v>
      </c>
      <c r="B204" s="6">
        <v>5.15</v>
      </c>
      <c r="C204" s="6">
        <v>85</v>
      </c>
      <c r="D204" s="6">
        <v>27.29</v>
      </c>
      <c r="E204" s="6">
        <v>196</v>
      </c>
    </row>
    <row r="205" spans="1:5" x14ac:dyDescent="0.25">
      <c r="A205" s="6" t="s">
        <v>339</v>
      </c>
      <c r="B205" s="6">
        <v>7.73</v>
      </c>
      <c r="C205" s="6">
        <v>90</v>
      </c>
      <c r="D205" s="6">
        <v>36.5</v>
      </c>
      <c r="E205" s="6">
        <v>308</v>
      </c>
    </row>
    <row r="206" spans="1:5" x14ac:dyDescent="0.25">
      <c r="A206" s="6" t="s">
        <v>8</v>
      </c>
      <c r="B206" s="6">
        <v>10.3</v>
      </c>
      <c r="C206" s="6">
        <v>111</v>
      </c>
      <c r="D206" s="6">
        <v>63.82</v>
      </c>
      <c r="E206" s="6">
        <v>507</v>
      </c>
    </row>
    <row r="207" spans="1:5" x14ac:dyDescent="0.25">
      <c r="A207" s="6" t="s">
        <v>44</v>
      </c>
      <c r="B207" s="6">
        <v>10.83</v>
      </c>
      <c r="C207" s="6">
        <v>117</v>
      </c>
      <c r="D207" s="6">
        <v>77.400000000000006</v>
      </c>
      <c r="E207" s="6">
        <v>518</v>
      </c>
    </row>
    <row r="208" spans="1:5" x14ac:dyDescent="0.25">
      <c r="A208" s="6" t="s">
        <v>206</v>
      </c>
      <c r="B208" s="6">
        <v>13.73</v>
      </c>
      <c r="C208" s="6">
        <v>121</v>
      </c>
      <c r="D208" s="6">
        <v>69.98</v>
      </c>
      <c r="E208" s="6">
        <v>623</v>
      </c>
    </row>
    <row r="209" spans="1:5" x14ac:dyDescent="0.25">
      <c r="A209" s="6" t="s">
        <v>71</v>
      </c>
      <c r="B209" s="6">
        <v>6.36</v>
      </c>
      <c r="C209" s="6">
        <v>79</v>
      </c>
      <c r="D209" s="6">
        <v>28.17</v>
      </c>
      <c r="E209" s="6">
        <v>261</v>
      </c>
    </row>
    <row r="210" spans="1:5" x14ac:dyDescent="0.25">
      <c r="A210" s="6" t="s">
        <v>722</v>
      </c>
      <c r="B210" s="6">
        <v>10.18</v>
      </c>
      <c r="C210" s="6">
        <v>135</v>
      </c>
      <c r="D210" s="6">
        <v>17.39</v>
      </c>
      <c r="E210" s="6">
        <v>129</v>
      </c>
    </row>
    <row r="211" spans="1:5" x14ac:dyDescent="0.25">
      <c r="A211" s="6" t="s">
        <v>203</v>
      </c>
      <c r="B211" s="6">
        <v>18.45</v>
      </c>
      <c r="C211" s="6">
        <v>170</v>
      </c>
      <c r="D211" s="6">
        <v>34.83</v>
      </c>
      <c r="E211" s="6">
        <v>221</v>
      </c>
    </row>
    <row r="212" spans="1:5" x14ac:dyDescent="0.25">
      <c r="A212" s="6" t="s">
        <v>777</v>
      </c>
      <c r="B212" s="6">
        <v>32.46</v>
      </c>
      <c r="C212" s="6">
        <v>251</v>
      </c>
      <c r="D212" s="6">
        <v>59.3</v>
      </c>
      <c r="E212" s="6">
        <v>371</v>
      </c>
    </row>
    <row r="213" spans="1:5" x14ac:dyDescent="0.25">
      <c r="A213" s="6" t="s">
        <v>451</v>
      </c>
      <c r="B213" s="6">
        <v>19.2</v>
      </c>
      <c r="C213" s="6">
        <v>154</v>
      </c>
      <c r="D213" s="6">
        <v>59.16</v>
      </c>
      <c r="E213" s="6">
        <v>355</v>
      </c>
    </row>
    <row r="214" spans="1:5" x14ac:dyDescent="0.25">
      <c r="A214" s="6" t="s">
        <v>210</v>
      </c>
      <c r="B214" s="6">
        <v>4.51</v>
      </c>
      <c r="C214" s="6">
        <v>62</v>
      </c>
      <c r="D214" s="6">
        <v>18.87</v>
      </c>
      <c r="E214" s="6">
        <v>102</v>
      </c>
    </row>
    <row r="215" spans="1:5" x14ac:dyDescent="0.25">
      <c r="A215" s="6" t="s">
        <v>778</v>
      </c>
      <c r="B215" s="6">
        <v>41.17</v>
      </c>
      <c r="C215" s="6">
        <v>396</v>
      </c>
      <c r="D215" s="6">
        <v>46.24</v>
      </c>
      <c r="E215" s="6">
        <v>354</v>
      </c>
    </row>
    <row r="216" spans="1:5" x14ac:dyDescent="0.25">
      <c r="A216" s="6" t="s">
        <v>91</v>
      </c>
      <c r="B216" s="6">
        <v>3.41</v>
      </c>
      <c r="C216" s="6">
        <v>59</v>
      </c>
      <c r="D216" s="6">
        <v>28.44</v>
      </c>
      <c r="E216" s="6">
        <v>257</v>
      </c>
    </row>
    <row r="217" spans="1:5" x14ac:dyDescent="0.25">
      <c r="A217" s="6" t="s">
        <v>152</v>
      </c>
      <c r="B217" s="6">
        <v>8.26</v>
      </c>
      <c r="C217" s="6">
        <v>93</v>
      </c>
      <c r="D217" s="6">
        <v>39.68</v>
      </c>
      <c r="E217" s="6">
        <v>456</v>
      </c>
    </row>
    <row r="218" spans="1:5" x14ac:dyDescent="0.25">
      <c r="A218" s="6" t="s">
        <v>672</v>
      </c>
      <c r="B218" s="6">
        <v>2.46</v>
      </c>
      <c r="C218" s="6">
        <v>40</v>
      </c>
      <c r="D218" s="6">
        <v>20.73</v>
      </c>
      <c r="E218" s="6">
        <v>175</v>
      </c>
    </row>
    <row r="219" spans="1:5" x14ac:dyDescent="0.25">
      <c r="A219" s="6" t="s">
        <v>70</v>
      </c>
      <c r="B219" s="6">
        <v>25.87</v>
      </c>
      <c r="C219" s="6">
        <v>160</v>
      </c>
      <c r="D219" s="6">
        <v>66.63</v>
      </c>
      <c r="E219" s="6">
        <v>236</v>
      </c>
    </row>
    <row r="220" spans="1:5" x14ac:dyDescent="0.25">
      <c r="A220" s="6" t="s">
        <v>779</v>
      </c>
      <c r="B220" s="6">
        <v>6.47</v>
      </c>
      <c r="C220" s="6">
        <v>96</v>
      </c>
      <c r="D220" s="6">
        <v>46.55</v>
      </c>
      <c r="E220" s="6">
        <v>431</v>
      </c>
    </row>
    <row r="221" spans="1:5" x14ac:dyDescent="0.25">
      <c r="A221" s="6" t="s">
        <v>356</v>
      </c>
      <c r="B221" s="6">
        <v>38.78</v>
      </c>
      <c r="C221" s="6">
        <v>374</v>
      </c>
      <c r="D221" s="6">
        <v>34.369999999999997</v>
      </c>
      <c r="E221" s="6">
        <v>188</v>
      </c>
    </row>
    <row r="222" spans="1:5" x14ac:dyDescent="0.25">
      <c r="A222" s="6" t="s">
        <v>656</v>
      </c>
      <c r="B222" s="6">
        <v>18.38</v>
      </c>
      <c r="C222" s="6">
        <v>93</v>
      </c>
      <c r="D222" s="6">
        <v>45.35</v>
      </c>
      <c r="E222" s="6">
        <v>299</v>
      </c>
    </row>
    <row r="223" spans="1:5" x14ac:dyDescent="0.25">
      <c r="A223" s="6" t="s">
        <v>220</v>
      </c>
      <c r="B223" s="6">
        <v>34.22</v>
      </c>
      <c r="C223" s="6">
        <v>246</v>
      </c>
      <c r="D223" s="6">
        <v>52.54</v>
      </c>
      <c r="E223" s="6">
        <v>362</v>
      </c>
    </row>
    <row r="224" spans="1:5" x14ac:dyDescent="0.25">
      <c r="A224" s="6" t="s">
        <v>780</v>
      </c>
      <c r="B224" s="6">
        <v>41.97</v>
      </c>
      <c r="C224" s="6">
        <v>293</v>
      </c>
      <c r="D224" s="6">
        <v>74.709999999999994</v>
      </c>
      <c r="E224" s="6">
        <v>435</v>
      </c>
    </row>
    <row r="225" spans="1:5" x14ac:dyDescent="0.25">
      <c r="A225" s="6" t="s">
        <v>388</v>
      </c>
      <c r="B225" s="6">
        <v>4.26</v>
      </c>
      <c r="C225" s="6">
        <v>62</v>
      </c>
      <c r="D225" s="6">
        <v>38.659999999999997</v>
      </c>
      <c r="E225" s="6">
        <v>360</v>
      </c>
    </row>
    <row r="226" spans="1:5" x14ac:dyDescent="0.25">
      <c r="A226" s="6" t="s">
        <v>110</v>
      </c>
      <c r="B226" s="6">
        <v>5.3</v>
      </c>
      <c r="C226" s="6">
        <v>76</v>
      </c>
      <c r="D226" s="6">
        <v>54.32</v>
      </c>
      <c r="E226" s="6">
        <v>469</v>
      </c>
    </row>
    <row r="227" spans="1:5" x14ac:dyDescent="0.25">
      <c r="A227" s="6" t="s">
        <v>292</v>
      </c>
      <c r="B227" s="6">
        <v>22.06</v>
      </c>
      <c r="C227" s="6">
        <v>141</v>
      </c>
      <c r="D227" s="6">
        <v>129.25</v>
      </c>
      <c r="E227" s="6">
        <v>842</v>
      </c>
    </row>
    <row r="228" spans="1:5" x14ac:dyDescent="0.25">
      <c r="A228" s="6" t="s">
        <v>781</v>
      </c>
      <c r="B228" s="6">
        <v>18.239999999999998</v>
      </c>
      <c r="C228" s="6">
        <v>221</v>
      </c>
      <c r="D228" s="6">
        <v>40.22</v>
      </c>
      <c r="E228" s="6">
        <v>299</v>
      </c>
    </row>
    <row r="229" spans="1:5" x14ac:dyDescent="0.25">
      <c r="A229" s="6" t="s">
        <v>663</v>
      </c>
      <c r="B229" s="6">
        <v>31.09</v>
      </c>
      <c r="C229" s="6">
        <v>236</v>
      </c>
      <c r="D229" s="6">
        <v>44.34</v>
      </c>
      <c r="E229" s="6">
        <v>267</v>
      </c>
    </row>
    <row r="230" spans="1:5" x14ac:dyDescent="0.25">
      <c r="A230" s="6" t="s">
        <v>734</v>
      </c>
      <c r="B230" s="6">
        <v>4.72</v>
      </c>
      <c r="C230" s="6">
        <v>62</v>
      </c>
      <c r="D230" s="6">
        <v>23.22</v>
      </c>
      <c r="E230" s="6">
        <v>150</v>
      </c>
    </row>
    <row r="231" spans="1:5" x14ac:dyDescent="0.25">
      <c r="A231" s="6" t="s">
        <v>613</v>
      </c>
      <c r="B231" s="6">
        <v>6.71</v>
      </c>
      <c r="C231" s="6">
        <v>80</v>
      </c>
      <c r="D231" s="6">
        <v>49.36</v>
      </c>
      <c r="E231" s="6">
        <v>495</v>
      </c>
    </row>
    <row r="232" spans="1:5" x14ac:dyDescent="0.25">
      <c r="A232" s="6" t="s">
        <v>569</v>
      </c>
      <c r="B232" s="6">
        <v>4.71</v>
      </c>
      <c r="C232" s="6">
        <v>67</v>
      </c>
      <c r="D232" s="6">
        <v>24.56</v>
      </c>
      <c r="E232" s="6">
        <v>215</v>
      </c>
    </row>
    <row r="233" spans="1:5" x14ac:dyDescent="0.25">
      <c r="A233" s="6" t="s">
        <v>671</v>
      </c>
      <c r="B233" s="6">
        <v>7.29</v>
      </c>
      <c r="C233" s="6">
        <v>84</v>
      </c>
      <c r="D233" s="6">
        <v>32.31</v>
      </c>
      <c r="E233" s="6">
        <v>222</v>
      </c>
    </row>
    <row r="234" spans="1:5" x14ac:dyDescent="0.25">
      <c r="A234" s="6" t="s">
        <v>255</v>
      </c>
      <c r="B234" s="6">
        <v>14.86</v>
      </c>
      <c r="C234" s="6">
        <v>133</v>
      </c>
      <c r="D234" s="6">
        <v>58.39</v>
      </c>
      <c r="E234" s="6">
        <v>333</v>
      </c>
    </row>
    <row r="235" spans="1:5" x14ac:dyDescent="0.25">
      <c r="A235" s="6" t="s">
        <v>432</v>
      </c>
      <c r="B235" s="6">
        <v>8.17</v>
      </c>
      <c r="C235" s="6">
        <v>98</v>
      </c>
      <c r="D235" s="6">
        <v>24.07</v>
      </c>
      <c r="E235" s="6">
        <v>173</v>
      </c>
    </row>
    <row r="236" spans="1:5" x14ac:dyDescent="0.25">
      <c r="A236" s="6" t="s">
        <v>782</v>
      </c>
      <c r="B236" s="6">
        <v>28.32</v>
      </c>
      <c r="C236" s="6">
        <v>276</v>
      </c>
      <c r="D236" s="6">
        <v>63.55</v>
      </c>
      <c r="E236" s="6">
        <v>427</v>
      </c>
    </row>
    <row r="237" spans="1:5" x14ac:dyDescent="0.25">
      <c r="A237" s="6" t="s">
        <v>223</v>
      </c>
      <c r="B237" s="6">
        <v>21.08</v>
      </c>
      <c r="C237" s="6">
        <v>172</v>
      </c>
      <c r="D237" s="6">
        <v>32.56</v>
      </c>
      <c r="E237" s="6">
        <v>123</v>
      </c>
    </row>
    <row r="238" spans="1:5" x14ac:dyDescent="0.25">
      <c r="A238" s="6" t="s">
        <v>294</v>
      </c>
      <c r="B238" s="6">
        <v>15.69</v>
      </c>
      <c r="C238" s="6">
        <v>145</v>
      </c>
      <c r="D238" s="6">
        <v>46.65</v>
      </c>
      <c r="E238" s="6">
        <v>242</v>
      </c>
    </row>
    <row r="239" spans="1:5" x14ac:dyDescent="0.25">
      <c r="A239" s="6" t="s">
        <v>783</v>
      </c>
      <c r="B239" s="6">
        <v>31.58</v>
      </c>
      <c r="C239" s="6">
        <v>324</v>
      </c>
      <c r="D239" s="6">
        <v>54.35</v>
      </c>
      <c r="E239" s="6">
        <v>357</v>
      </c>
    </row>
    <row r="240" spans="1:5" x14ac:dyDescent="0.25">
      <c r="A240" s="6" t="s">
        <v>726</v>
      </c>
      <c r="B240" s="6">
        <v>11.12</v>
      </c>
      <c r="C240" s="6">
        <v>123</v>
      </c>
      <c r="D240" s="6">
        <v>25.73</v>
      </c>
      <c r="E240" s="6">
        <v>153</v>
      </c>
    </row>
    <row r="241" spans="1:5" x14ac:dyDescent="0.25">
      <c r="A241" s="6" t="s">
        <v>303</v>
      </c>
      <c r="B241" s="6">
        <v>19.440000000000001</v>
      </c>
      <c r="C241" s="6">
        <v>154</v>
      </c>
      <c r="D241" s="6">
        <v>76.58</v>
      </c>
      <c r="E241" s="6">
        <v>451</v>
      </c>
    </row>
    <row r="242" spans="1:5" x14ac:dyDescent="0.25">
      <c r="A242" s="6" t="s">
        <v>657</v>
      </c>
      <c r="B242" s="6">
        <v>12.41</v>
      </c>
      <c r="C242" s="6">
        <v>140</v>
      </c>
      <c r="D242" s="6">
        <v>42.52</v>
      </c>
      <c r="E242" s="6">
        <v>328</v>
      </c>
    </row>
    <row r="243" spans="1:5" x14ac:dyDescent="0.25">
      <c r="A243" s="6" t="s">
        <v>601</v>
      </c>
      <c r="B243" s="6">
        <v>6.51</v>
      </c>
      <c r="C243" s="6">
        <v>88</v>
      </c>
      <c r="D243" s="6">
        <v>35.74</v>
      </c>
      <c r="E243" s="6">
        <v>351</v>
      </c>
    </row>
    <row r="244" spans="1:5" x14ac:dyDescent="0.25">
      <c r="A244" s="6" t="s">
        <v>365</v>
      </c>
      <c r="B244" s="6">
        <v>10.5</v>
      </c>
      <c r="C244" s="6">
        <v>113</v>
      </c>
      <c r="D244" s="6">
        <v>25.32</v>
      </c>
      <c r="E244" s="6">
        <v>194</v>
      </c>
    </row>
    <row r="245" spans="1:5" x14ac:dyDescent="0.25">
      <c r="A245" s="6" t="s">
        <v>298</v>
      </c>
      <c r="B245" s="6">
        <v>10.67</v>
      </c>
      <c r="C245" s="6">
        <v>118</v>
      </c>
      <c r="D245" s="6">
        <v>34.270000000000003</v>
      </c>
      <c r="E245" s="6">
        <v>251</v>
      </c>
    </row>
    <row r="246" spans="1:5" x14ac:dyDescent="0.25">
      <c r="A246" s="6" t="s">
        <v>154</v>
      </c>
      <c r="B246" s="6">
        <v>14.44</v>
      </c>
      <c r="C246" s="6">
        <v>155</v>
      </c>
      <c r="D246" s="6">
        <v>51.22</v>
      </c>
      <c r="E246" s="6">
        <v>530</v>
      </c>
    </row>
    <row r="247" spans="1:5" x14ac:dyDescent="0.25">
      <c r="A247" s="6" t="s">
        <v>542</v>
      </c>
      <c r="B247" s="6">
        <v>4.57</v>
      </c>
      <c r="C247" s="6">
        <v>59</v>
      </c>
      <c r="D247" s="6">
        <v>28.4</v>
      </c>
      <c r="E247" s="6">
        <v>401</v>
      </c>
    </row>
    <row r="248" spans="1:5" x14ac:dyDescent="0.25">
      <c r="A248" s="6" t="s">
        <v>784</v>
      </c>
      <c r="B248" s="6">
        <v>23.71</v>
      </c>
      <c r="C248" s="6">
        <v>256</v>
      </c>
      <c r="D248" s="6">
        <v>22.59</v>
      </c>
      <c r="E248" s="6">
        <v>126</v>
      </c>
    </row>
    <row r="249" spans="1:5" x14ac:dyDescent="0.25">
      <c r="A249" s="6" t="s">
        <v>10</v>
      </c>
      <c r="B249" s="6">
        <v>8.3000000000000007</v>
      </c>
      <c r="C249" s="6">
        <v>110</v>
      </c>
      <c r="D249" s="6">
        <v>37.92</v>
      </c>
      <c r="E249" s="6">
        <v>415</v>
      </c>
    </row>
    <row r="250" spans="1:5" x14ac:dyDescent="0.25">
      <c r="A250" s="6" t="s">
        <v>594</v>
      </c>
      <c r="B250" s="6">
        <v>6.37</v>
      </c>
      <c r="C250" s="6">
        <v>70</v>
      </c>
      <c r="D250" s="6">
        <v>62.4</v>
      </c>
      <c r="E250" s="6">
        <v>634</v>
      </c>
    </row>
    <row r="251" spans="1:5" x14ac:dyDescent="0.25">
      <c r="A251" s="6" t="s">
        <v>627</v>
      </c>
      <c r="B251" s="6">
        <v>3.02</v>
      </c>
      <c r="C251" s="6">
        <v>61</v>
      </c>
      <c r="D251" s="6">
        <v>37.229999999999997</v>
      </c>
      <c r="E251" s="6">
        <v>305</v>
      </c>
    </row>
    <row r="252" spans="1:5" x14ac:dyDescent="0.25">
      <c r="A252" s="6" t="s">
        <v>353</v>
      </c>
      <c r="B252" s="6">
        <v>3.48</v>
      </c>
      <c r="C252" s="6">
        <v>52</v>
      </c>
      <c r="D252" s="6">
        <v>18.899999999999999</v>
      </c>
      <c r="E252" s="6">
        <v>164</v>
      </c>
    </row>
    <row r="253" spans="1:5" x14ac:dyDescent="0.25">
      <c r="A253" s="6" t="s">
        <v>181</v>
      </c>
      <c r="B253" s="6">
        <v>17.29</v>
      </c>
      <c r="C253" s="6">
        <v>114</v>
      </c>
      <c r="D253" s="6">
        <v>74.94</v>
      </c>
      <c r="E253" s="6">
        <v>472</v>
      </c>
    </row>
    <row r="254" spans="1:5" x14ac:dyDescent="0.25">
      <c r="A254" s="6" t="s">
        <v>785</v>
      </c>
      <c r="B254" s="6">
        <v>33.5</v>
      </c>
      <c r="C254" s="6">
        <v>197</v>
      </c>
      <c r="D254" s="6">
        <v>89.89</v>
      </c>
      <c r="E254" s="6">
        <v>528</v>
      </c>
    </row>
    <row r="255" spans="1:5" x14ac:dyDescent="0.25">
      <c r="A255" s="6" t="s">
        <v>434</v>
      </c>
      <c r="B255" s="6">
        <v>5.99</v>
      </c>
      <c r="C255" s="6">
        <v>81</v>
      </c>
      <c r="D255" s="6">
        <v>33.08</v>
      </c>
      <c r="E255" s="6">
        <v>289</v>
      </c>
    </row>
    <row r="256" spans="1:5" x14ac:dyDescent="0.25">
      <c r="A256" s="6" t="s">
        <v>139</v>
      </c>
      <c r="B256" s="6">
        <v>11.11</v>
      </c>
      <c r="C256" s="6">
        <v>112</v>
      </c>
      <c r="D256" s="6">
        <v>45.85</v>
      </c>
      <c r="E256" s="6">
        <v>378</v>
      </c>
    </row>
    <row r="257" spans="1:5" x14ac:dyDescent="0.25">
      <c r="A257" s="6" t="s">
        <v>596</v>
      </c>
      <c r="B257" s="6">
        <v>21.66</v>
      </c>
      <c r="C257" s="6">
        <v>140</v>
      </c>
      <c r="D257" s="6">
        <v>75.400000000000006</v>
      </c>
      <c r="E257" s="6">
        <v>466</v>
      </c>
    </row>
    <row r="258" spans="1:5" x14ac:dyDescent="0.25">
      <c r="A258" s="6" t="s">
        <v>393</v>
      </c>
      <c r="B258" s="6">
        <v>5.91</v>
      </c>
      <c r="C258" s="6">
        <v>81</v>
      </c>
      <c r="D258" s="6">
        <v>40.58</v>
      </c>
      <c r="E258" s="6">
        <v>210</v>
      </c>
    </row>
    <row r="259" spans="1:5" x14ac:dyDescent="0.25">
      <c r="A259" s="6" t="s">
        <v>631</v>
      </c>
      <c r="B259" s="6">
        <v>19.71</v>
      </c>
      <c r="C259" s="6">
        <v>177</v>
      </c>
      <c r="D259" s="6">
        <v>45.32</v>
      </c>
      <c r="E259" s="6">
        <v>374</v>
      </c>
    </row>
    <row r="260" spans="1:5" x14ac:dyDescent="0.25">
      <c r="A260" s="6" t="s">
        <v>1</v>
      </c>
      <c r="B260" s="6">
        <v>9.06</v>
      </c>
      <c r="C260" s="6">
        <v>115</v>
      </c>
      <c r="D260" s="6">
        <v>37.56</v>
      </c>
      <c r="E260" s="6">
        <v>292</v>
      </c>
    </row>
    <row r="261" spans="1:5" x14ac:dyDescent="0.25">
      <c r="A261" s="6" t="s">
        <v>321</v>
      </c>
      <c r="B261" s="6">
        <v>20.78</v>
      </c>
      <c r="C261" s="6">
        <v>134</v>
      </c>
      <c r="D261" s="6">
        <v>85.63</v>
      </c>
      <c r="E261" s="6">
        <v>434</v>
      </c>
    </row>
    <row r="262" spans="1:5" x14ac:dyDescent="0.25">
      <c r="A262" s="6" t="s">
        <v>296</v>
      </c>
      <c r="B262" s="6">
        <v>13.9</v>
      </c>
      <c r="C262" s="6">
        <v>125</v>
      </c>
      <c r="D262" s="6">
        <v>62.94</v>
      </c>
      <c r="E262" s="6">
        <v>493</v>
      </c>
    </row>
    <row r="263" spans="1:5" x14ac:dyDescent="0.25">
      <c r="A263" s="6" t="s">
        <v>786</v>
      </c>
      <c r="B263" s="6">
        <v>5.85</v>
      </c>
      <c r="C263" s="6">
        <v>82</v>
      </c>
      <c r="D263" s="6">
        <v>37.9</v>
      </c>
      <c r="E263" s="6">
        <v>304</v>
      </c>
    </row>
    <row r="264" spans="1:5" x14ac:dyDescent="0.25">
      <c r="A264" s="6" t="s">
        <v>649</v>
      </c>
      <c r="B264" s="6">
        <v>6.15</v>
      </c>
      <c r="C264" s="6">
        <v>94</v>
      </c>
      <c r="D264" s="6">
        <v>25.94</v>
      </c>
      <c r="E264" s="6">
        <v>168</v>
      </c>
    </row>
    <row r="265" spans="1:5" x14ac:dyDescent="0.25">
      <c r="A265" s="6" t="s">
        <v>693</v>
      </c>
      <c r="B265" s="6">
        <v>9.74</v>
      </c>
      <c r="C265" s="6">
        <v>118</v>
      </c>
      <c r="D265" s="6">
        <v>32.840000000000003</v>
      </c>
      <c r="E265" s="6">
        <v>285</v>
      </c>
    </row>
    <row r="266" spans="1:5" x14ac:dyDescent="0.25">
      <c r="A266" s="6" t="s">
        <v>494</v>
      </c>
      <c r="B266" s="6">
        <v>4.8</v>
      </c>
      <c r="C266" s="6">
        <v>89</v>
      </c>
      <c r="D266" s="6">
        <v>18.82</v>
      </c>
      <c r="E266" s="6">
        <v>139</v>
      </c>
    </row>
    <row r="267" spans="1:5" x14ac:dyDescent="0.25">
      <c r="A267" s="6" t="s">
        <v>787</v>
      </c>
      <c r="B267" s="6">
        <v>9.51</v>
      </c>
      <c r="C267" s="6">
        <v>96</v>
      </c>
      <c r="D267" s="6">
        <v>75.41</v>
      </c>
      <c r="E267" s="6">
        <v>403</v>
      </c>
    </row>
    <row r="268" spans="1:5" x14ac:dyDescent="0.25">
      <c r="A268" s="6" t="s">
        <v>7</v>
      </c>
      <c r="B268" s="6">
        <v>14.45</v>
      </c>
      <c r="C268" s="6">
        <v>184</v>
      </c>
      <c r="D268" s="6">
        <v>35.22</v>
      </c>
      <c r="E268" s="6">
        <v>336</v>
      </c>
    </row>
    <row r="269" spans="1:5" x14ac:dyDescent="0.25">
      <c r="A269" s="6" t="s">
        <v>493</v>
      </c>
      <c r="B269" s="6">
        <v>18.5</v>
      </c>
      <c r="C269" s="6">
        <v>138</v>
      </c>
      <c r="D269" s="6">
        <v>48.62</v>
      </c>
      <c r="E269" s="6">
        <v>257</v>
      </c>
    </row>
    <row r="270" spans="1:5" x14ac:dyDescent="0.25">
      <c r="A270" s="6" t="s">
        <v>460</v>
      </c>
      <c r="B270" s="6">
        <v>5.63</v>
      </c>
      <c r="C270" s="6">
        <v>65</v>
      </c>
      <c r="D270" s="6">
        <v>18.670000000000002</v>
      </c>
      <c r="E270" s="6">
        <v>105</v>
      </c>
    </row>
    <row r="271" spans="1:5" x14ac:dyDescent="0.25">
      <c r="A271" s="6" t="s">
        <v>318</v>
      </c>
      <c r="B271" s="6">
        <v>8.86</v>
      </c>
      <c r="C271" s="6">
        <v>103</v>
      </c>
      <c r="D271" s="6">
        <v>48.24</v>
      </c>
      <c r="E271" s="6">
        <v>364</v>
      </c>
    </row>
    <row r="272" spans="1:5" x14ac:dyDescent="0.25">
      <c r="A272" s="6" t="s">
        <v>150</v>
      </c>
      <c r="B272" s="6">
        <v>8.9600000000000009</v>
      </c>
      <c r="C272" s="6">
        <v>112</v>
      </c>
      <c r="D272" s="6">
        <v>58.85</v>
      </c>
      <c r="E272" s="6">
        <v>476</v>
      </c>
    </row>
    <row r="273" spans="1:5" x14ac:dyDescent="0.25">
      <c r="A273" s="6" t="s">
        <v>147</v>
      </c>
      <c r="B273" s="6">
        <v>13.15</v>
      </c>
      <c r="C273" s="6">
        <v>130</v>
      </c>
      <c r="D273" s="6">
        <v>40.1</v>
      </c>
      <c r="E273" s="6">
        <v>332</v>
      </c>
    </row>
    <row r="274" spans="1:5" x14ac:dyDescent="0.25">
      <c r="A274" s="6" t="s">
        <v>483</v>
      </c>
      <c r="B274" s="6">
        <v>10.52</v>
      </c>
      <c r="C274" s="6">
        <v>101</v>
      </c>
      <c r="D274" s="6">
        <v>51.8</v>
      </c>
      <c r="E274" s="6">
        <v>311</v>
      </c>
    </row>
    <row r="275" spans="1:5" x14ac:dyDescent="0.25">
      <c r="A275" s="6" t="s">
        <v>308</v>
      </c>
      <c r="B275" s="6">
        <v>9.9499999999999993</v>
      </c>
      <c r="C275" s="6">
        <v>125</v>
      </c>
      <c r="D275" s="6">
        <v>28.38</v>
      </c>
      <c r="E275" s="6">
        <v>205</v>
      </c>
    </row>
    <row r="276" spans="1:5" x14ac:dyDescent="0.25">
      <c r="A276" s="6" t="s">
        <v>788</v>
      </c>
      <c r="B276" s="6">
        <v>11.89</v>
      </c>
      <c r="C276" s="6">
        <v>121</v>
      </c>
      <c r="D276" s="6">
        <v>105.83</v>
      </c>
      <c r="E276" s="6">
        <v>743</v>
      </c>
    </row>
    <row r="277" spans="1:5" x14ac:dyDescent="0.25">
      <c r="A277" s="6" t="s">
        <v>664</v>
      </c>
      <c r="B277" s="6">
        <v>12.42</v>
      </c>
      <c r="C277" s="6">
        <v>153</v>
      </c>
      <c r="D277" s="6">
        <v>32.64</v>
      </c>
      <c r="E277" s="6">
        <v>273</v>
      </c>
    </row>
    <row r="278" spans="1:5" x14ac:dyDescent="0.25">
      <c r="A278" s="6" t="s">
        <v>214</v>
      </c>
      <c r="B278" s="6">
        <v>29.27</v>
      </c>
      <c r="C278" s="6">
        <v>271</v>
      </c>
      <c r="D278" s="6">
        <v>44.94</v>
      </c>
      <c r="E278" s="6">
        <v>358</v>
      </c>
    </row>
    <row r="279" spans="1:5" x14ac:dyDescent="0.25">
      <c r="A279" s="6" t="s">
        <v>404</v>
      </c>
      <c r="B279" s="6">
        <v>3.24</v>
      </c>
      <c r="C279" s="6">
        <v>50</v>
      </c>
      <c r="D279" s="6">
        <v>31.35</v>
      </c>
      <c r="E279" s="6">
        <v>225</v>
      </c>
    </row>
    <row r="280" spans="1:5" x14ac:dyDescent="0.25">
      <c r="A280" s="6" t="s">
        <v>117</v>
      </c>
      <c r="B280" s="6">
        <v>5.03</v>
      </c>
      <c r="C280" s="6">
        <v>81</v>
      </c>
      <c r="D280" s="6">
        <v>20.79</v>
      </c>
      <c r="E280" s="6">
        <v>154</v>
      </c>
    </row>
    <row r="281" spans="1:5" x14ac:dyDescent="0.25">
      <c r="A281" s="6" t="s">
        <v>789</v>
      </c>
      <c r="B281" s="6">
        <v>15.97</v>
      </c>
      <c r="C281" s="6">
        <v>192</v>
      </c>
      <c r="D281" s="6">
        <v>14.63</v>
      </c>
      <c r="E281" s="6">
        <v>62</v>
      </c>
    </row>
    <row r="282" spans="1:5" x14ac:dyDescent="0.25">
      <c r="A282" s="6" t="s">
        <v>90</v>
      </c>
      <c r="B282" s="6">
        <v>14.76</v>
      </c>
      <c r="C282" s="6">
        <v>121</v>
      </c>
      <c r="D282" s="6">
        <v>47.52</v>
      </c>
      <c r="E282" s="6">
        <v>304</v>
      </c>
    </row>
    <row r="283" spans="1:5" x14ac:dyDescent="0.25">
      <c r="A283" s="6" t="s">
        <v>286</v>
      </c>
      <c r="B283" s="6">
        <v>18.77</v>
      </c>
      <c r="C283" s="6">
        <v>121</v>
      </c>
      <c r="D283" s="6">
        <v>103.14</v>
      </c>
      <c r="E283" s="6">
        <v>654</v>
      </c>
    </row>
    <row r="284" spans="1:5" x14ac:dyDescent="0.25">
      <c r="A284" s="6" t="s">
        <v>290</v>
      </c>
      <c r="B284" s="6">
        <v>7.78</v>
      </c>
      <c r="C284" s="6">
        <v>119</v>
      </c>
      <c r="D284" s="6">
        <v>34.94</v>
      </c>
      <c r="E284" s="6">
        <v>292</v>
      </c>
    </row>
    <row r="285" spans="1:5" x14ac:dyDescent="0.25">
      <c r="A285" s="6" t="s">
        <v>127</v>
      </c>
      <c r="B285" s="6">
        <v>15.5</v>
      </c>
      <c r="C285" s="6">
        <v>133</v>
      </c>
      <c r="D285" s="6">
        <v>38.46</v>
      </c>
      <c r="E285" s="6">
        <v>193</v>
      </c>
    </row>
    <row r="286" spans="1:5" x14ac:dyDescent="0.25">
      <c r="A286" s="6" t="s">
        <v>566</v>
      </c>
      <c r="B286" s="6">
        <v>10.44</v>
      </c>
      <c r="C286" s="6">
        <v>86</v>
      </c>
      <c r="D286" s="6">
        <v>55.37</v>
      </c>
      <c r="E286" s="6">
        <v>317</v>
      </c>
    </row>
    <row r="287" spans="1:5" x14ac:dyDescent="0.25">
      <c r="A287" s="6" t="s">
        <v>790</v>
      </c>
      <c r="B287" s="6">
        <v>3.1</v>
      </c>
      <c r="C287" s="6">
        <v>66</v>
      </c>
      <c r="D287" s="6">
        <v>36.909999999999997</v>
      </c>
      <c r="E287" s="6">
        <v>277</v>
      </c>
    </row>
    <row r="288" spans="1:5" x14ac:dyDescent="0.25">
      <c r="A288" s="6" t="s">
        <v>791</v>
      </c>
      <c r="B288" s="6">
        <v>10.37</v>
      </c>
      <c r="C288" s="6">
        <v>113</v>
      </c>
      <c r="D288" s="6">
        <v>72.33</v>
      </c>
      <c r="E288" s="6">
        <v>556</v>
      </c>
    </row>
    <row r="289" spans="1:5" x14ac:dyDescent="0.25">
      <c r="A289" s="6" t="s">
        <v>266</v>
      </c>
      <c r="B289" s="6">
        <v>14.38</v>
      </c>
      <c r="C289" s="6">
        <v>201</v>
      </c>
      <c r="D289" s="6">
        <v>29.96</v>
      </c>
      <c r="E289" s="6">
        <v>232</v>
      </c>
    </row>
    <row r="290" spans="1:5" x14ac:dyDescent="0.25">
      <c r="A290" s="6" t="s">
        <v>523</v>
      </c>
      <c r="B290" s="6">
        <v>12.13</v>
      </c>
      <c r="C290" s="6">
        <v>144</v>
      </c>
      <c r="D290" s="6">
        <v>34.93</v>
      </c>
      <c r="E290" s="6">
        <v>210</v>
      </c>
    </row>
    <row r="291" spans="1:5" x14ac:dyDescent="0.25">
      <c r="A291" s="6" t="s">
        <v>730</v>
      </c>
      <c r="B291" s="6">
        <v>1.31</v>
      </c>
      <c r="C291" s="6">
        <v>22</v>
      </c>
      <c r="D291" s="6">
        <v>17.579999999999998</v>
      </c>
      <c r="E291" s="6">
        <v>98</v>
      </c>
    </row>
    <row r="292" spans="1:5" x14ac:dyDescent="0.25">
      <c r="A292" s="6" t="s">
        <v>9</v>
      </c>
      <c r="B292" s="6">
        <v>4.93</v>
      </c>
      <c r="C292" s="6">
        <v>77</v>
      </c>
      <c r="D292" s="6">
        <v>36.76</v>
      </c>
      <c r="E292" s="6">
        <v>236</v>
      </c>
    </row>
    <row r="293" spans="1:5" x14ac:dyDescent="0.25">
      <c r="A293" s="6" t="s">
        <v>249</v>
      </c>
      <c r="B293" s="6">
        <v>23.64</v>
      </c>
      <c r="C293" s="6">
        <v>192</v>
      </c>
      <c r="D293" s="6">
        <v>29.82</v>
      </c>
      <c r="E293" s="6">
        <v>139</v>
      </c>
    </row>
    <row r="294" spans="1:5" x14ac:dyDescent="0.25">
      <c r="A294" s="6" t="s">
        <v>287</v>
      </c>
      <c r="B294" s="6">
        <v>12.85</v>
      </c>
      <c r="C294" s="6">
        <v>125</v>
      </c>
      <c r="D294" s="6">
        <v>48.86</v>
      </c>
      <c r="E294" s="6">
        <v>307</v>
      </c>
    </row>
    <row r="295" spans="1:5" x14ac:dyDescent="0.25">
      <c r="A295" s="6" t="s">
        <v>477</v>
      </c>
      <c r="B295" s="6">
        <v>11.88</v>
      </c>
      <c r="C295" s="6">
        <v>111</v>
      </c>
      <c r="D295" s="6">
        <v>33.5</v>
      </c>
      <c r="E295" s="6">
        <v>225</v>
      </c>
    </row>
    <row r="296" spans="1:5" x14ac:dyDescent="0.25">
      <c r="A296" s="6" t="s">
        <v>234</v>
      </c>
      <c r="B296" s="6">
        <v>5.77</v>
      </c>
      <c r="C296" s="6">
        <v>70</v>
      </c>
      <c r="D296" s="6">
        <v>42.92</v>
      </c>
      <c r="E296" s="6">
        <v>271</v>
      </c>
    </row>
    <row r="297" spans="1:5" x14ac:dyDescent="0.25">
      <c r="A297" s="6" t="s">
        <v>276</v>
      </c>
      <c r="B297" s="6">
        <v>4.3600000000000003</v>
      </c>
      <c r="C297" s="6">
        <v>60</v>
      </c>
      <c r="D297" s="6">
        <v>22.26</v>
      </c>
      <c r="E297" s="6">
        <v>160</v>
      </c>
    </row>
    <row r="298" spans="1:5" x14ac:dyDescent="0.25">
      <c r="A298" s="6" t="s">
        <v>792</v>
      </c>
      <c r="B298" s="6">
        <v>46.06</v>
      </c>
      <c r="C298" s="6">
        <v>329</v>
      </c>
      <c r="D298" s="6">
        <v>94.11</v>
      </c>
      <c r="E298" s="6">
        <v>660</v>
      </c>
    </row>
    <row r="299" spans="1:5" x14ac:dyDescent="0.25">
      <c r="A299" s="6" t="s">
        <v>609</v>
      </c>
      <c r="B299" s="6">
        <v>15.46</v>
      </c>
      <c r="C299" s="6">
        <v>201</v>
      </c>
      <c r="D299" s="6">
        <v>28.84</v>
      </c>
      <c r="E299" s="6">
        <v>200</v>
      </c>
    </row>
    <row r="300" spans="1:5" x14ac:dyDescent="0.25">
      <c r="A300" s="6" t="s">
        <v>109</v>
      </c>
      <c r="B300" s="6">
        <v>6.33</v>
      </c>
      <c r="C300" s="6">
        <v>77</v>
      </c>
      <c r="D300" s="6">
        <v>30.61</v>
      </c>
      <c r="E300" s="6">
        <v>230</v>
      </c>
    </row>
    <row r="301" spans="1:5" x14ac:dyDescent="0.25">
      <c r="A301" s="6" t="s">
        <v>692</v>
      </c>
      <c r="B301" s="6">
        <v>2.87</v>
      </c>
      <c r="C301" s="6">
        <v>38</v>
      </c>
      <c r="D301" s="6">
        <v>20.39</v>
      </c>
      <c r="E301" s="6">
        <v>235</v>
      </c>
    </row>
    <row r="302" spans="1:5" x14ac:dyDescent="0.25">
      <c r="A302" s="6" t="s">
        <v>160</v>
      </c>
      <c r="B302" s="6">
        <v>3.91</v>
      </c>
      <c r="C302" s="6">
        <v>56</v>
      </c>
      <c r="D302" s="6">
        <v>17.68</v>
      </c>
      <c r="E302" s="6">
        <v>142</v>
      </c>
    </row>
    <row r="303" spans="1:5" x14ac:dyDescent="0.25">
      <c r="A303" s="6" t="s">
        <v>666</v>
      </c>
      <c r="B303" s="6">
        <v>7.94</v>
      </c>
      <c r="C303" s="6">
        <v>136</v>
      </c>
      <c r="D303" s="6">
        <v>27.77</v>
      </c>
      <c r="E303" s="6">
        <v>211</v>
      </c>
    </row>
    <row r="304" spans="1:5" x14ac:dyDescent="0.25">
      <c r="A304" s="6" t="s">
        <v>200</v>
      </c>
      <c r="B304" s="6">
        <v>20.22</v>
      </c>
      <c r="C304" s="6">
        <v>190</v>
      </c>
      <c r="D304" s="6">
        <v>35.159999999999997</v>
      </c>
      <c r="E304" s="6">
        <v>195</v>
      </c>
    </row>
    <row r="305" spans="1:5" x14ac:dyDescent="0.25">
      <c r="A305" s="6" t="s">
        <v>336</v>
      </c>
      <c r="B305" s="6">
        <v>8.2200000000000006</v>
      </c>
      <c r="C305" s="6">
        <v>102</v>
      </c>
      <c r="D305" s="6">
        <v>47.22</v>
      </c>
      <c r="E305" s="6">
        <v>316</v>
      </c>
    </row>
    <row r="306" spans="1:5" x14ac:dyDescent="0.25">
      <c r="A306" s="6" t="s">
        <v>614</v>
      </c>
      <c r="B306" s="6">
        <v>3.52</v>
      </c>
      <c r="C306" s="6">
        <v>53</v>
      </c>
      <c r="D306" s="6">
        <v>24.58</v>
      </c>
      <c r="E306" s="6">
        <v>208</v>
      </c>
    </row>
    <row r="307" spans="1:5" x14ac:dyDescent="0.25">
      <c r="A307" s="6" t="s">
        <v>392</v>
      </c>
      <c r="B307" s="6">
        <v>16.23</v>
      </c>
      <c r="C307" s="6">
        <v>154</v>
      </c>
      <c r="D307" s="6">
        <v>68.55</v>
      </c>
      <c r="E307" s="6">
        <v>400</v>
      </c>
    </row>
    <row r="308" spans="1:5" x14ac:dyDescent="0.25">
      <c r="A308" s="6" t="s">
        <v>102</v>
      </c>
      <c r="B308" s="6">
        <v>10.43</v>
      </c>
      <c r="C308" s="6">
        <v>113</v>
      </c>
      <c r="D308" s="6">
        <v>20.329999999999998</v>
      </c>
      <c r="E308" s="6">
        <v>112</v>
      </c>
    </row>
    <row r="309" spans="1:5" x14ac:dyDescent="0.25">
      <c r="A309" s="6" t="s">
        <v>519</v>
      </c>
      <c r="B309" s="6">
        <v>3.61</v>
      </c>
      <c r="C309" s="6">
        <v>59</v>
      </c>
      <c r="D309" s="6">
        <v>14.79</v>
      </c>
      <c r="E309" s="6">
        <v>94</v>
      </c>
    </row>
    <row r="310" spans="1:5" x14ac:dyDescent="0.25">
      <c r="A310" s="6" t="s">
        <v>793</v>
      </c>
      <c r="B310" s="6">
        <v>14.11</v>
      </c>
      <c r="C310" s="6">
        <v>117</v>
      </c>
      <c r="D310" s="6">
        <v>64.16</v>
      </c>
      <c r="E310" s="6">
        <v>325</v>
      </c>
    </row>
    <row r="311" spans="1:5" x14ac:dyDescent="0.25">
      <c r="A311" s="6" t="s">
        <v>77</v>
      </c>
      <c r="B311" s="6">
        <v>11.2</v>
      </c>
      <c r="C311" s="6">
        <v>129</v>
      </c>
      <c r="D311" s="6">
        <v>23.81</v>
      </c>
      <c r="E311" s="6">
        <v>187</v>
      </c>
    </row>
    <row r="312" spans="1:5" x14ac:dyDescent="0.25">
      <c r="A312" s="6" t="s">
        <v>325</v>
      </c>
      <c r="B312" s="6">
        <v>14.06</v>
      </c>
      <c r="C312" s="6">
        <v>124</v>
      </c>
      <c r="D312" s="6">
        <v>62.91</v>
      </c>
      <c r="E312" s="6">
        <v>313</v>
      </c>
    </row>
    <row r="313" spans="1:5" x14ac:dyDescent="0.25">
      <c r="A313" s="6" t="s">
        <v>592</v>
      </c>
      <c r="B313" s="6">
        <v>17.72</v>
      </c>
      <c r="C313" s="6">
        <v>181</v>
      </c>
      <c r="D313" s="6">
        <v>62.84</v>
      </c>
      <c r="E313" s="6">
        <v>371</v>
      </c>
    </row>
    <row r="314" spans="1:5" x14ac:dyDescent="0.25">
      <c r="A314" s="6" t="s">
        <v>429</v>
      </c>
      <c r="B314" s="6">
        <v>1.92</v>
      </c>
      <c r="C314" s="6">
        <v>36</v>
      </c>
      <c r="D314" s="6">
        <v>21.84</v>
      </c>
      <c r="E314" s="6">
        <v>192</v>
      </c>
    </row>
    <row r="315" spans="1:5" x14ac:dyDescent="0.25">
      <c r="A315" s="6" t="s">
        <v>78</v>
      </c>
      <c r="B315" s="6">
        <v>24.47</v>
      </c>
      <c r="C315" s="6">
        <v>207</v>
      </c>
      <c r="D315" s="6">
        <v>93.49</v>
      </c>
      <c r="E315" s="6">
        <v>577</v>
      </c>
    </row>
    <row r="316" spans="1:5" x14ac:dyDescent="0.25">
      <c r="A316" s="6" t="s">
        <v>468</v>
      </c>
      <c r="B316" s="6">
        <v>6.23</v>
      </c>
      <c r="C316" s="6">
        <v>74</v>
      </c>
      <c r="D316" s="6">
        <v>45.07</v>
      </c>
      <c r="E316" s="6">
        <v>372</v>
      </c>
    </row>
    <row r="317" spans="1:5" x14ac:dyDescent="0.25">
      <c r="A317" s="6" t="s">
        <v>603</v>
      </c>
      <c r="B317" s="6">
        <v>17.7</v>
      </c>
      <c r="C317" s="6">
        <v>162</v>
      </c>
      <c r="D317" s="6">
        <v>44.23</v>
      </c>
      <c r="E317" s="6">
        <v>309</v>
      </c>
    </row>
    <row r="318" spans="1:5" x14ac:dyDescent="0.25">
      <c r="A318" s="6" t="s">
        <v>740</v>
      </c>
      <c r="B318" s="6">
        <v>6.51</v>
      </c>
      <c r="C318" s="6">
        <v>75</v>
      </c>
      <c r="D318" s="6">
        <v>69.59</v>
      </c>
      <c r="E318" s="6">
        <v>463</v>
      </c>
    </row>
    <row r="319" spans="1:5" x14ac:dyDescent="0.25">
      <c r="A319" s="6" t="s">
        <v>362</v>
      </c>
      <c r="B319" s="6">
        <v>18.149999999999999</v>
      </c>
      <c r="C319" s="6">
        <v>166</v>
      </c>
      <c r="D319" s="6">
        <v>42.11</v>
      </c>
      <c r="E319" s="6">
        <v>262</v>
      </c>
    </row>
    <row r="320" spans="1:5" x14ac:dyDescent="0.25">
      <c r="A320" s="6" t="s">
        <v>38</v>
      </c>
      <c r="B320" s="6">
        <v>13.34</v>
      </c>
      <c r="C320" s="6">
        <v>144</v>
      </c>
      <c r="D320" s="6">
        <v>43.72</v>
      </c>
      <c r="E320" s="6">
        <v>344</v>
      </c>
    </row>
    <row r="321" spans="1:5" x14ac:dyDescent="0.25">
      <c r="A321" s="6" t="s">
        <v>182</v>
      </c>
      <c r="B321" s="6">
        <v>3.43</v>
      </c>
      <c r="C321" s="6">
        <v>57</v>
      </c>
      <c r="D321" s="6">
        <v>15.38</v>
      </c>
      <c r="E321" s="6">
        <v>93</v>
      </c>
    </row>
    <row r="322" spans="1:5" x14ac:dyDescent="0.25">
      <c r="A322" s="6" t="s">
        <v>43</v>
      </c>
      <c r="B322" s="6">
        <v>14.28</v>
      </c>
      <c r="C322" s="6">
        <v>142</v>
      </c>
      <c r="D322" s="6">
        <v>36.979999999999997</v>
      </c>
      <c r="E322" s="6">
        <v>259</v>
      </c>
    </row>
    <row r="323" spans="1:5" x14ac:dyDescent="0.25">
      <c r="A323" s="6" t="s">
        <v>696</v>
      </c>
      <c r="B323" s="6">
        <v>7.37</v>
      </c>
      <c r="C323" s="6">
        <v>82</v>
      </c>
      <c r="D323" s="6">
        <v>41.75</v>
      </c>
      <c r="E323" s="6">
        <v>302</v>
      </c>
    </row>
    <row r="324" spans="1:5" x14ac:dyDescent="0.25">
      <c r="A324" s="6" t="s">
        <v>638</v>
      </c>
      <c r="B324" s="6">
        <v>3.45</v>
      </c>
      <c r="C324" s="6">
        <v>50</v>
      </c>
      <c r="D324" s="6">
        <v>17.399999999999999</v>
      </c>
      <c r="E324" s="6">
        <v>178</v>
      </c>
    </row>
    <row r="325" spans="1:5" x14ac:dyDescent="0.25">
      <c r="A325" s="6" t="s">
        <v>264</v>
      </c>
      <c r="B325" s="6">
        <v>3.88</v>
      </c>
      <c r="C325" s="6">
        <v>46</v>
      </c>
      <c r="D325" s="6">
        <v>26.85</v>
      </c>
      <c r="E325" s="6">
        <v>205</v>
      </c>
    </row>
    <row r="326" spans="1:5" x14ac:dyDescent="0.25">
      <c r="A326" s="6" t="s">
        <v>553</v>
      </c>
      <c r="B326" s="6">
        <v>5.93</v>
      </c>
      <c r="C326" s="6">
        <v>72</v>
      </c>
      <c r="D326" s="6">
        <v>20.99</v>
      </c>
      <c r="E326" s="6">
        <v>143</v>
      </c>
    </row>
    <row r="327" spans="1:5" x14ac:dyDescent="0.25">
      <c r="A327" s="6" t="s">
        <v>398</v>
      </c>
      <c r="B327" s="6">
        <v>6.48</v>
      </c>
      <c r="C327" s="6">
        <v>68</v>
      </c>
      <c r="D327" s="6">
        <v>60.58</v>
      </c>
      <c r="E327" s="6">
        <v>419</v>
      </c>
    </row>
    <row r="328" spans="1:5" x14ac:dyDescent="0.25">
      <c r="A328" s="6" t="s">
        <v>612</v>
      </c>
      <c r="B328" s="6">
        <v>9.06</v>
      </c>
      <c r="C328" s="6">
        <v>100</v>
      </c>
      <c r="D328" s="6">
        <v>44.92</v>
      </c>
      <c r="E328" s="6">
        <v>372</v>
      </c>
    </row>
    <row r="329" spans="1:5" x14ac:dyDescent="0.25">
      <c r="A329" s="6" t="s">
        <v>244</v>
      </c>
      <c r="B329" s="6">
        <v>10.02</v>
      </c>
      <c r="C329" s="6">
        <v>113</v>
      </c>
      <c r="D329" s="6">
        <v>39.92</v>
      </c>
      <c r="E329" s="6">
        <v>351</v>
      </c>
    </row>
    <row r="330" spans="1:5" x14ac:dyDescent="0.25">
      <c r="A330" s="6" t="s">
        <v>794</v>
      </c>
      <c r="B330" s="6">
        <v>14.34</v>
      </c>
      <c r="C330" s="6">
        <v>148</v>
      </c>
      <c r="D330" s="6">
        <v>42.2</v>
      </c>
      <c r="E330" s="6">
        <v>270</v>
      </c>
    </row>
    <row r="331" spans="1:5" x14ac:dyDescent="0.25">
      <c r="A331" s="6" t="s">
        <v>348</v>
      </c>
      <c r="B331" s="6">
        <v>19.96</v>
      </c>
      <c r="C331" s="6">
        <v>119</v>
      </c>
      <c r="D331" s="6">
        <v>115.2</v>
      </c>
      <c r="E331" s="6">
        <v>428</v>
      </c>
    </row>
    <row r="332" spans="1:5" x14ac:dyDescent="0.25">
      <c r="A332" s="6" t="s">
        <v>496</v>
      </c>
      <c r="B332" s="6">
        <v>11.64</v>
      </c>
      <c r="C332" s="6">
        <v>152</v>
      </c>
      <c r="D332" s="6">
        <v>34.75</v>
      </c>
      <c r="E332" s="6">
        <v>262</v>
      </c>
    </row>
    <row r="333" spans="1:5" x14ac:dyDescent="0.25">
      <c r="A333" s="6" t="s">
        <v>241</v>
      </c>
      <c r="B333" s="6">
        <v>10.23</v>
      </c>
      <c r="C333" s="6">
        <v>119</v>
      </c>
      <c r="D333" s="6">
        <v>23.08</v>
      </c>
      <c r="E333" s="6">
        <v>177</v>
      </c>
    </row>
    <row r="334" spans="1:5" x14ac:dyDescent="0.25">
      <c r="A334" s="6" t="s">
        <v>633</v>
      </c>
      <c r="B334" s="6">
        <v>19.62</v>
      </c>
      <c r="C334" s="6">
        <v>188</v>
      </c>
      <c r="D334" s="6">
        <v>55.14</v>
      </c>
      <c r="E334" s="6">
        <v>490</v>
      </c>
    </row>
    <row r="335" spans="1:5" x14ac:dyDescent="0.25">
      <c r="A335" s="6" t="s">
        <v>369</v>
      </c>
      <c r="B335" s="6">
        <v>7.65</v>
      </c>
      <c r="C335" s="6">
        <v>81</v>
      </c>
      <c r="D335" s="6">
        <v>43.64</v>
      </c>
      <c r="E335" s="6">
        <v>346</v>
      </c>
    </row>
    <row r="336" spans="1:5" x14ac:dyDescent="0.25">
      <c r="A336" s="6" t="s">
        <v>795</v>
      </c>
      <c r="B336" s="6">
        <v>7.55</v>
      </c>
      <c r="C336" s="6">
        <v>86</v>
      </c>
      <c r="D336" s="6">
        <v>53.38</v>
      </c>
      <c r="E336" s="6">
        <v>312</v>
      </c>
    </row>
    <row r="337" spans="1:5" x14ac:dyDescent="0.25">
      <c r="A337" s="6" t="s">
        <v>796</v>
      </c>
      <c r="B337" s="6">
        <v>10.77</v>
      </c>
      <c r="C337" s="6">
        <v>106</v>
      </c>
      <c r="D337" s="6">
        <v>60.07</v>
      </c>
      <c r="E337" s="6">
        <v>346</v>
      </c>
    </row>
    <row r="338" spans="1:5" x14ac:dyDescent="0.25">
      <c r="A338" s="6" t="s">
        <v>53</v>
      </c>
      <c r="B338" s="6">
        <v>5.64</v>
      </c>
      <c r="C338" s="6">
        <v>77</v>
      </c>
      <c r="D338" s="6">
        <v>55.25</v>
      </c>
      <c r="E338" s="6">
        <v>488</v>
      </c>
    </row>
    <row r="339" spans="1:5" x14ac:dyDescent="0.25">
      <c r="A339" s="6" t="s">
        <v>797</v>
      </c>
      <c r="B339" s="6">
        <v>10.89</v>
      </c>
      <c r="C339" s="6">
        <v>91</v>
      </c>
      <c r="D339" s="6">
        <v>56.51</v>
      </c>
      <c r="E339" s="6">
        <v>321</v>
      </c>
    </row>
    <row r="340" spans="1:5" x14ac:dyDescent="0.25">
      <c r="A340" s="6" t="s">
        <v>444</v>
      </c>
      <c r="B340" s="6">
        <v>11.03</v>
      </c>
      <c r="C340" s="6">
        <v>143</v>
      </c>
      <c r="D340" s="6">
        <v>43.88</v>
      </c>
      <c r="E340" s="6">
        <v>347</v>
      </c>
    </row>
    <row r="341" spans="1:5" x14ac:dyDescent="0.25">
      <c r="A341" s="6" t="s">
        <v>26</v>
      </c>
      <c r="B341" s="6">
        <v>10.43</v>
      </c>
      <c r="C341" s="6">
        <v>146</v>
      </c>
      <c r="D341" s="6">
        <v>31.58</v>
      </c>
      <c r="E341" s="6">
        <v>371</v>
      </c>
    </row>
    <row r="342" spans="1:5" x14ac:dyDescent="0.25">
      <c r="A342" s="6" t="s">
        <v>485</v>
      </c>
      <c r="B342" s="6">
        <v>5.26</v>
      </c>
      <c r="C342" s="6">
        <v>69</v>
      </c>
      <c r="D342" s="6">
        <v>39.76</v>
      </c>
      <c r="E342" s="6">
        <v>290</v>
      </c>
    </row>
    <row r="343" spans="1:5" x14ac:dyDescent="0.25">
      <c r="A343" s="6" t="s">
        <v>295</v>
      </c>
      <c r="B343" s="6">
        <v>27.45</v>
      </c>
      <c r="C343" s="6">
        <v>216</v>
      </c>
      <c r="D343" s="6">
        <v>69.98</v>
      </c>
      <c r="E343" s="6">
        <v>365</v>
      </c>
    </row>
    <row r="344" spans="1:5" x14ac:dyDescent="0.25">
      <c r="A344" s="6" t="s">
        <v>201</v>
      </c>
      <c r="B344" s="6">
        <v>7.97</v>
      </c>
      <c r="C344" s="6">
        <v>89</v>
      </c>
      <c r="D344" s="6">
        <v>39.75</v>
      </c>
      <c r="E344" s="6">
        <v>275</v>
      </c>
    </row>
    <row r="345" spans="1:5" x14ac:dyDescent="0.25">
      <c r="A345" s="6" t="s">
        <v>12</v>
      </c>
      <c r="B345" s="6">
        <v>22.85</v>
      </c>
      <c r="C345" s="6">
        <v>146</v>
      </c>
      <c r="D345" s="6">
        <v>99.06</v>
      </c>
      <c r="E345" s="6">
        <v>463</v>
      </c>
    </row>
    <row r="346" spans="1:5" x14ac:dyDescent="0.25">
      <c r="A346" s="6" t="s">
        <v>798</v>
      </c>
      <c r="B346" s="6">
        <v>5.82</v>
      </c>
      <c r="C346" s="6">
        <v>95</v>
      </c>
      <c r="D346" s="6">
        <v>23.7</v>
      </c>
      <c r="E346" s="6">
        <v>199</v>
      </c>
    </row>
    <row r="347" spans="1:5" x14ac:dyDescent="0.25">
      <c r="A347" s="6" t="s">
        <v>595</v>
      </c>
      <c r="B347" s="6">
        <v>20.02</v>
      </c>
      <c r="C347" s="6">
        <v>158</v>
      </c>
      <c r="D347" s="6">
        <v>73.63</v>
      </c>
      <c r="E347" s="6">
        <v>361</v>
      </c>
    </row>
    <row r="348" spans="1:5" x14ac:dyDescent="0.25">
      <c r="A348" s="6" t="s">
        <v>391</v>
      </c>
      <c r="B348" s="6">
        <v>7.81</v>
      </c>
      <c r="C348" s="6">
        <v>98</v>
      </c>
      <c r="D348" s="6">
        <v>40.020000000000003</v>
      </c>
      <c r="E348" s="6">
        <v>247</v>
      </c>
    </row>
    <row r="349" spans="1:5" x14ac:dyDescent="0.25">
      <c r="A349" s="6" t="s">
        <v>488</v>
      </c>
      <c r="B349" s="6">
        <v>14.21</v>
      </c>
      <c r="C349" s="6">
        <v>158</v>
      </c>
      <c r="D349" s="6">
        <v>43.43</v>
      </c>
      <c r="E349" s="6">
        <v>224</v>
      </c>
    </row>
    <row r="350" spans="1:5" x14ac:dyDescent="0.25">
      <c r="A350" s="6" t="s">
        <v>565</v>
      </c>
      <c r="B350" s="6">
        <v>8.23</v>
      </c>
      <c r="C350" s="6">
        <v>97</v>
      </c>
      <c r="D350" s="6">
        <v>49.57</v>
      </c>
      <c r="E350" s="6">
        <v>430</v>
      </c>
    </row>
    <row r="351" spans="1:5" x14ac:dyDescent="0.25">
      <c r="A351" s="6" t="s">
        <v>412</v>
      </c>
      <c r="B351" s="6">
        <v>11.1</v>
      </c>
      <c r="C351" s="6">
        <v>113</v>
      </c>
      <c r="D351" s="6">
        <v>57.01</v>
      </c>
      <c r="E351" s="6">
        <v>350</v>
      </c>
    </row>
    <row r="352" spans="1:5" x14ac:dyDescent="0.25">
      <c r="A352" s="6" t="s">
        <v>349</v>
      </c>
      <c r="B352" s="6">
        <v>4.5999999999999996</v>
      </c>
      <c r="C352" s="6">
        <v>66</v>
      </c>
      <c r="D352" s="6">
        <v>38.19</v>
      </c>
      <c r="E352" s="6">
        <v>260</v>
      </c>
    </row>
    <row r="353" spans="1:5" x14ac:dyDescent="0.25">
      <c r="A353" s="6" t="s">
        <v>480</v>
      </c>
      <c r="B353" s="6">
        <v>3.76</v>
      </c>
      <c r="C353" s="6">
        <v>59</v>
      </c>
      <c r="D353" s="6">
        <v>18.829999999999998</v>
      </c>
      <c r="E353" s="6">
        <v>149</v>
      </c>
    </row>
    <row r="354" spans="1:5" x14ac:dyDescent="0.25">
      <c r="A354" s="6" t="s">
        <v>474</v>
      </c>
      <c r="B354" s="6">
        <v>7.07</v>
      </c>
      <c r="C354" s="6">
        <v>85</v>
      </c>
      <c r="D354" s="6">
        <v>43.15</v>
      </c>
      <c r="E354" s="6">
        <v>438</v>
      </c>
    </row>
    <row r="355" spans="1:5" x14ac:dyDescent="0.25">
      <c r="A355" s="6" t="s">
        <v>31</v>
      </c>
      <c r="B355" s="6">
        <v>3.04</v>
      </c>
      <c r="C355" s="6">
        <v>51</v>
      </c>
      <c r="D355" s="6">
        <v>23.48</v>
      </c>
      <c r="E355" s="6">
        <v>198</v>
      </c>
    </row>
    <row r="356" spans="1:5" x14ac:dyDescent="0.25">
      <c r="A356" s="6" t="s">
        <v>386</v>
      </c>
      <c r="B356" s="6">
        <v>14.62</v>
      </c>
      <c r="C356" s="6">
        <v>156</v>
      </c>
      <c r="D356" s="6">
        <v>53.33</v>
      </c>
      <c r="E356" s="6">
        <v>366</v>
      </c>
    </row>
    <row r="357" spans="1:5" x14ac:dyDescent="0.25">
      <c r="A357" s="6" t="s">
        <v>122</v>
      </c>
      <c r="B357" s="6">
        <v>4.9800000000000004</v>
      </c>
      <c r="C357" s="6">
        <v>73</v>
      </c>
      <c r="D357" s="6">
        <v>24.45</v>
      </c>
      <c r="E357" s="6">
        <v>161</v>
      </c>
    </row>
    <row r="358" spans="1:5" x14ac:dyDescent="0.25">
      <c r="A358" s="6" t="s">
        <v>230</v>
      </c>
      <c r="B358" s="6">
        <v>14.27</v>
      </c>
      <c r="C358" s="6">
        <v>136</v>
      </c>
      <c r="D358" s="6">
        <v>78.14</v>
      </c>
      <c r="E358" s="6">
        <v>513</v>
      </c>
    </row>
    <row r="359" spans="1:5" x14ac:dyDescent="0.25">
      <c r="A359" s="6" t="s">
        <v>448</v>
      </c>
      <c r="B359" s="6">
        <v>3.4</v>
      </c>
      <c r="C359" s="6">
        <v>61</v>
      </c>
      <c r="D359" s="6">
        <v>13.46</v>
      </c>
      <c r="E359" s="6">
        <v>71</v>
      </c>
    </row>
    <row r="360" spans="1:5" x14ac:dyDescent="0.25">
      <c r="A360" s="6" t="s">
        <v>305</v>
      </c>
      <c r="B360" s="6">
        <v>12.78</v>
      </c>
      <c r="C360" s="6">
        <v>106</v>
      </c>
      <c r="D360" s="6">
        <v>70.55</v>
      </c>
      <c r="E360" s="6">
        <v>381</v>
      </c>
    </row>
    <row r="361" spans="1:5" x14ac:dyDescent="0.25">
      <c r="A361" s="6" t="s">
        <v>583</v>
      </c>
      <c r="B361" s="6">
        <v>29.68</v>
      </c>
      <c r="C361" s="6">
        <v>249</v>
      </c>
      <c r="D361" s="6">
        <v>35.76</v>
      </c>
      <c r="E361" s="6">
        <v>229</v>
      </c>
    </row>
    <row r="362" spans="1:5" x14ac:dyDescent="0.25">
      <c r="A362" s="6" t="s">
        <v>505</v>
      </c>
      <c r="B362" s="6">
        <v>8.1999999999999993</v>
      </c>
      <c r="C362" s="6">
        <v>82</v>
      </c>
      <c r="D362" s="6">
        <v>32.840000000000003</v>
      </c>
      <c r="E362" s="6">
        <v>203</v>
      </c>
    </row>
    <row r="363" spans="1:5" x14ac:dyDescent="0.25">
      <c r="A363" s="6" t="s">
        <v>95</v>
      </c>
      <c r="B363" s="6">
        <v>11.61</v>
      </c>
      <c r="C363" s="6">
        <v>101</v>
      </c>
      <c r="D363" s="6">
        <v>64.040000000000006</v>
      </c>
      <c r="E363" s="6">
        <v>431</v>
      </c>
    </row>
    <row r="364" spans="1:5" x14ac:dyDescent="0.25">
      <c r="A364" s="6" t="s">
        <v>799</v>
      </c>
      <c r="B364" s="6">
        <v>16.09</v>
      </c>
      <c r="C364" s="6">
        <v>206</v>
      </c>
      <c r="D364" s="6">
        <v>51.55</v>
      </c>
      <c r="E364" s="6">
        <v>427</v>
      </c>
    </row>
    <row r="365" spans="1:5" x14ac:dyDescent="0.25">
      <c r="A365" s="6" t="s">
        <v>563</v>
      </c>
      <c r="B365" s="6">
        <v>25.97</v>
      </c>
      <c r="C365" s="6">
        <v>224</v>
      </c>
      <c r="D365" s="6">
        <v>69.569999999999993</v>
      </c>
      <c r="E365" s="6">
        <v>362</v>
      </c>
    </row>
    <row r="366" spans="1:5" x14ac:dyDescent="0.25">
      <c r="A366" s="6" t="s">
        <v>146</v>
      </c>
      <c r="B366" s="6">
        <v>15.78</v>
      </c>
      <c r="C366" s="6">
        <v>150</v>
      </c>
      <c r="D366" s="6">
        <v>44.8</v>
      </c>
      <c r="E366" s="6">
        <v>321</v>
      </c>
    </row>
    <row r="367" spans="1:5" x14ac:dyDescent="0.25">
      <c r="A367" s="6" t="s">
        <v>402</v>
      </c>
      <c r="B367" s="6">
        <v>10.79</v>
      </c>
      <c r="C367" s="6">
        <v>94</v>
      </c>
      <c r="D367" s="6">
        <v>34.520000000000003</v>
      </c>
      <c r="E367" s="6">
        <v>293</v>
      </c>
    </row>
    <row r="368" spans="1:5" x14ac:dyDescent="0.25">
      <c r="A368" s="6" t="s">
        <v>800</v>
      </c>
      <c r="B368" s="6">
        <v>15.31</v>
      </c>
      <c r="C368" s="6">
        <v>135</v>
      </c>
      <c r="D368" s="6">
        <v>69.959999999999994</v>
      </c>
      <c r="E368" s="6">
        <v>382</v>
      </c>
    </row>
    <row r="369" spans="1:5" x14ac:dyDescent="0.25">
      <c r="A369" s="6" t="s">
        <v>801</v>
      </c>
      <c r="B369" s="6">
        <v>9.02</v>
      </c>
      <c r="C369" s="6">
        <v>130</v>
      </c>
      <c r="D369" s="6">
        <v>40.549999999999997</v>
      </c>
      <c r="E369" s="6">
        <v>398</v>
      </c>
    </row>
    <row r="370" spans="1:5" x14ac:dyDescent="0.25">
      <c r="A370" s="6" t="s">
        <v>105</v>
      </c>
      <c r="B370" s="6">
        <v>3.11</v>
      </c>
      <c r="C370" s="6">
        <v>42</v>
      </c>
      <c r="D370" s="6">
        <v>18.29</v>
      </c>
      <c r="E370" s="6">
        <v>164</v>
      </c>
    </row>
    <row r="371" spans="1:5" x14ac:dyDescent="0.25">
      <c r="A371" s="6" t="s">
        <v>802</v>
      </c>
      <c r="B371" s="6">
        <v>29.03</v>
      </c>
      <c r="C371" s="6">
        <v>215</v>
      </c>
      <c r="D371" s="6">
        <v>102.95</v>
      </c>
      <c r="E371" s="6">
        <v>605</v>
      </c>
    </row>
    <row r="372" spans="1:5" x14ac:dyDescent="0.25">
      <c r="A372" s="6" t="s">
        <v>709</v>
      </c>
      <c r="B372" s="6">
        <v>12.27</v>
      </c>
      <c r="C372" s="6">
        <v>137</v>
      </c>
      <c r="D372" s="6">
        <v>47.68</v>
      </c>
      <c r="E372" s="6">
        <v>379</v>
      </c>
    </row>
    <row r="373" spans="1:5" x14ac:dyDescent="0.25">
      <c r="A373" s="6" t="s">
        <v>47</v>
      </c>
      <c r="B373" s="6">
        <v>2.09</v>
      </c>
      <c r="C373" s="6">
        <v>39</v>
      </c>
      <c r="D373" s="6">
        <v>11.24</v>
      </c>
      <c r="E373" s="6">
        <v>76</v>
      </c>
    </row>
    <row r="374" spans="1:5" x14ac:dyDescent="0.25">
      <c r="A374" s="6" t="s">
        <v>242</v>
      </c>
      <c r="B374" s="6">
        <v>1.78</v>
      </c>
      <c r="C374" s="6">
        <v>30</v>
      </c>
      <c r="D374" s="6">
        <v>15.58</v>
      </c>
      <c r="E374" s="6">
        <v>138</v>
      </c>
    </row>
    <row r="375" spans="1:5" x14ac:dyDescent="0.25">
      <c r="A375" s="6" t="s">
        <v>425</v>
      </c>
      <c r="B375" s="6">
        <v>4.87</v>
      </c>
      <c r="C375" s="6">
        <v>63</v>
      </c>
      <c r="D375" s="6">
        <v>25.2</v>
      </c>
      <c r="E375" s="6">
        <v>194</v>
      </c>
    </row>
    <row r="376" spans="1:5" x14ac:dyDescent="0.25">
      <c r="A376" s="6" t="s">
        <v>176</v>
      </c>
      <c r="B376" s="6">
        <v>7.49</v>
      </c>
      <c r="C376" s="6">
        <v>86</v>
      </c>
      <c r="D376" s="6">
        <v>37.729999999999997</v>
      </c>
      <c r="E376" s="6">
        <v>307</v>
      </c>
    </row>
    <row r="377" spans="1:5" x14ac:dyDescent="0.25">
      <c r="A377" s="6" t="s">
        <v>803</v>
      </c>
      <c r="B377" s="6">
        <v>18.75</v>
      </c>
      <c r="C377" s="6">
        <v>186</v>
      </c>
      <c r="D377" s="6">
        <v>50.69</v>
      </c>
      <c r="E377" s="6">
        <v>362</v>
      </c>
    </row>
    <row r="378" spans="1:5" x14ac:dyDescent="0.25">
      <c r="A378" s="6" t="s">
        <v>124</v>
      </c>
      <c r="B378" s="6">
        <v>11.5</v>
      </c>
      <c r="C378" s="6">
        <v>121</v>
      </c>
      <c r="D378" s="6">
        <v>39.36</v>
      </c>
      <c r="E378" s="6">
        <v>283</v>
      </c>
    </row>
    <row r="379" spans="1:5" x14ac:dyDescent="0.25">
      <c r="A379" s="6" t="s">
        <v>712</v>
      </c>
      <c r="B379" s="6">
        <v>4.8899999999999997</v>
      </c>
      <c r="C379" s="6">
        <v>74</v>
      </c>
      <c r="D379" s="6">
        <v>41.04</v>
      </c>
      <c r="E379" s="6">
        <v>392</v>
      </c>
    </row>
    <row r="380" spans="1:5" x14ac:dyDescent="0.25">
      <c r="A380" s="6" t="s">
        <v>366</v>
      </c>
      <c r="B380" s="6">
        <v>8.99</v>
      </c>
      <c r="C380" s="6">
        <v>94</v>
      </c>
      <c r="D380" s="6">
        <v>32.340000000000003</v>
      </c>
      <c r="E380" s="6">
        <v>254</v>
      </c>
    </row>
    <row r="381" spans="1:5" x14ac:dyDescent="0.25">
      <c r="A381" s="6" t="s">
        <v>804</v>
      </c>
      <c r="B381" s="6">
        <v>10.11</v>
      </c>
      <c r="C381" s="6">
        <v>118</v>
      </c>
      <c r="D381" s="6">
        <v>39.01</v>
      </c>
      <c r="E381" s="6">
        <v>221</v>
      </c>
    </row>
    <row r="382" spans="1:5" x14ac:dyDescent="0.25">
      <c r="A382" s="6" t="s">
        <v>467</v>
      </c>
      <c r="B382" s="6">
        <v>5.25</v>
      </c>
      <c r="C382" s="6">
        <v>77</v>
      </c>
      <c r="D382" s="6">
        <v>30.09</v>
      </c>
      <c r="E382" s="6">
        <v>227</v>
      </c>
    </row>
    <row r="383" spans="1:5" x14ac:dyDescent="0.25">
      <c r="A383" s="6" t="s">
        <v>300</v>
      </c>
      <c r="B383" s="6">
        <v>3.95</v>
      </c>
      <c r="C383" s="6">
        <v>62</v>
      </c>
      <c r="D383" s="6">
        <v>16.350000000000001</v>
      </c>
      <c r="E383" s="6">
        <v>105</v>
      </c>
    </row>
    <row r="384" spans="1:5" x14ac:dyDescent="0.25">
      <c r="A384" s="6" t="s">
        <v>165</v>
      </c>
      <c r="B384" s="6">
        <v>22.48</v>
      </c>
      <c r="C384" s="6">
        <v>188</v>
      </c>
      <c r="D384" s="6">
        <v>30.26</v>
      </c>
      <c r="E384" s="6">
        <v>141</v>
      </c>
    </row>
    <row r="385" spans="1:5" x14ac:dyDescent="0.25">
      <c r="A385" s="6" t="s">
        <v>327</v>
      </c>
      <c r="B385" s="6">
        <v>3.97</v>
      </c>
      <c r="C385" s="6">
        <v>60</v>
      </c>
      <c r="D385" s="6">
        <v>29.78</v>
      </c>
      <c r="E385" s="6">
        <v>217</v>
      </c>
    </row>
    <row r="386" spans="1:5" x14ac:dyDescent="0.25">
      <c r="A386" s="6" t="s">
        <v>464</v>
      </c>
      <c r="B386" s="6">
        <v>6.4</v>
      </c>
      <c r="C386" s="6">
        <v>98</v>
      </c>
      <c r="D386" s="6">
        <v>28.53</v>
      </c>
      <c r="E386" s="6">
        <v>236</v>
      </c>
    </row>
    <row r="387" spans="1:5" x14ac:dyDescent="0.25">
      <c r="A387" s="6" t="s">
        <v>805</v>
      </c>
      <c r="B387" s="6">
        <v>5.68</v>
      </c>
      <c r="C387" s="6">
        <v>78</v>
      </c>
      <c r="D387" s="6">
        <v>30.74</v>
      </c>
      <c r="E387" s="6">
        <v>227</v>
      </c>
    </row>
    <row r="388" spans="1:5" x14ac:dyDescent="0.25">
      <c r="A388" s="6" t="s">
        <v>806</v>
      </c>
      <c r="B388" s="6">
        <v>16.32</v>
      </c>
      <c r="C388" s="6">
        <v>108</v>
      </c>
      <c r="D388" s="6">
        <v>82.37</v>
      </c>
      <c r="E388" s="6">
        <v>437</v>
      </c>
    </row>
    <row r="389" spans="1:5" x14ac:dyDescent="0.25">
      <c r="A389" s="6" t="s">
        <v>310</v>
      </c>
      <c r="B389" s="6">
        <v>8.98</v>
      </c>
      <c r="C389" s="6">
        <v>100</v>
      </c>
      <c r="D389" s="6">
        <v>26.92</v>
      </c>
      <c r="E389" s="6">
        <v>160</v>
      </c>
    </row>
    <row r="390" spans="1:5" x14ac:dyDescent="0.25">
      <c r="A390" s="6" t="s">
        <v>807</v>
      </c>
      <c r="B390" s="6">
        <v>5.49</v>
      </c>
      <c r="C390" s="6">
        <v>81</v>
      </c>
      <c r="D390" s="6">
        <v>27.34</v>
      </c>
      <c r="E390" s="6">
        <v>200</v>
      </c>
    </row>
    <row r="391" spans="1:5" x14ac:dyDescent="0.25">
      <c r="A391" s="6" t="s">
        <v>498</v>
      </c>
      <c r="B391" s="6">
        <v>7.09</v>
      </c>
      <c r="C391" s="6">
        <v>78</v>
      </c>
      <c r="D391" s="6">
        <v>33.32</v>
      </c>
      <c r="E391" s="6">
        <v>284</v>
      </c>
    </row>
    <row r="392" spans="1:5" x14ac:dyDescent="0.25">
      <c r="A392" s="6" t="s">
        <v>808</v>
      </c>
      <c r="B392" s="6">
        <v>7.21</v>
      </c>
      <c r="C392" s="6">
        <v>109</v>
      </c>
      <c r="D392" s="6">
        <v>33.799999999999997</v>
      </c>
      <c r="E392" s="6">
        <v>226</v>
      </c>
    </row>
    <row r="393" spans="1:5" x14ac:dyDescent="0.25">
      <c r="A393" s="6" t="s">
        <v>673</v>
      </c>
      <c r="B393" s="6">
        <v>11.2</v>
      </c>
      <c r="C393" s="6">
        <v>109</v>
      </c>
      <c r="D393" s="6">
        <v>69.17</v>
      </c>
      <c r="E393" s="6">
        <v>341</v>
      </c>
    </row>
    <row r="394" spans="1:5" x14ac:dyDescent="0.25">
      <c r="A394" s="6" t="s">
        <v>644</v>
      </c>
      <c r="B394" s="6">
        <v>6.48</v>
      </c>
      <c r="C394" s="6">
        <v>69</v>
      </c>
      <c r="D394" s="6">
        <v>33.74</v>
      </c>
      <c r="E394" s="6">
        <v>275</v>
      </c>
    </row>
    <row r="395" spans="1:5" x14ac:dyDescent="0.25">
      <c r="A395" s="6" t="s">
        <v>597</v>
      </c>
      <c r="B395" s="6">
        <v>5.58</v>
      </c>
      <c r="C395" s="6">
        <v>88</v>
      </c>
      <c r="D395" s="6">
        <v>18.52</v>
      </c>
      <c r="E395" s="6">
        <v>151</v>
      </c>
    </row>
    <row r="396" spans="1:5" x14ac:dyDescent="0.25">
      <c r="A396" s="6" t="s">
        <v>685</v>
      </c>
      <c r="B396" s="6">
        <v>5.5</v>
      </c>
      <c r="C396" s="6">
        <v>85</v>
      </c>
      <c r="D396" s="6">
        <v>47.25</v>
      </c>
      <c r="E396" s="6">
        <v>301</v>
      </c>
    </row>
    <row r="397" spans="1:5" x14ac:dyDescent="0.25">
      <c r="A397" s="6" t="s">
        <v>729</v>
      </c>
      <c r="B397" s="6">
        <v>25.71</v>
      </c>
      <c r="C397" s="6">
        <v>263</v>
      </c>
      <c r="D397" s="6">
        <v>39.909999999999997</v>
      </c>
      <c r="E397" s="6">
        <v>279</v>
      </c>
    </row>
    <row r="398" spans="1:5" x14ac:dyDescent="0.25">
      <c r="A398" s="6" t="s">
        <v>23</v>
      </c>
      <c r="B398" s="6">
        <v>4.88</v>
      </c>
      <c r="C398" s="6">
        <v>66</v>
      </c>
      <c r="D398" s="6">
        <v>25.32</v>
      </c>
      <c r="E398" s="6">
        <v>205</v>
      </c>
    </row>
    <row r="399" spans="1:5" x14ac:dyDescent="0.25">
      <c r="A399" s="6" t="s">
        <v>809</v>
      </c>
      <c r="B399" s="6">
        <v>9.6300000000000008</v>
      </c>
      <c r="C399" s="6">
        <v>138</v>
      </c>
      <c r="D399" s="6">
        <v>55.1</v>
      </c>
      <c r="E399" s="6">
        <v>502</v>
      </c>
    </row>
    <row r="400" spans="1:5" x14ac:dyDescent="0.25">
      <c r="A400" s="6" t="s">
        <v>490</v>
      </c>
      <c r="B400" s="6">
        <v>5.92</v>
      </c>
      <c r="C400" s="6">
        <v>72</v>
      </c>
      <c r="D400" s="6">
        <v>30.1</v>
      </c>
      <c r="E400" s="6">
        <v>262</v>
      </c>
    </row>
    <row r="401" spans="1:5" x14ac:dyDescent="0.25">
      <c r="A401" s="6" t="s">
        <v>650</v>
      </c>
      <c r="B401" s="6">
        <v>8.7200000000000006</v>
      </c>
      <c r="C401" s="6">
        <v>113</v>
      </c>
      <c r="D401" s="6">
        <v>20.81</v>
      </c>
      <c r="E401" s="6">
        <v>96</v>
      </c>
    </row>
    <row r="402" spans="1:5" x14ac:dyDescent="0.25">
      <c r="A402" s="6" t="s">
        <v>509</v>
      </c>
      <c r="B402" s="6">
        <v>12.59</v>
      </c>
      <c r="C402" s="6">
        <v>106</v>
      </c>
      <c r="D402" s="6">
        <v>33.17</v>
      </c>
      <c r="E402" s="6">
        <v>184</v>
      </c>
    </row>
    <row r="403" spans="1:5" x14ac:dyDescent="0.25">
      <c r="A403" s="6" t="s">
        <v>161</v>
      </c>
      <c r="B403" s="6">
        <v>5.7</v>
      </c>
      <c r="C403" s="6">
        <v>73</v>
      </c>
      <c r="D403" s="6">
        <v>26.62</v>
      </c>
      <c r="E403" s="6">
        <v>281</v>
      </c>
    </row>
    <row r="404" spans="1:5" x14ac:dyDescent="0.25">
      <c r="A404" s="6" t="s">
        <v>810</v>
      </c>
      <c r="B404" s="6">
        <v>17.079999999999998</v>
      </c>
      <c r="C404" s="6">
        <v>104</v>
      </c>
      <c r="D404" s="6">
        <v>83.47</v>
      </c>
      <c r="E404" s="6">
        <v>439</v>
      </c>
    </row>
    <row r="405" spans="1:5" x14ac:dyDescent="0.25">
      <c r="A405" s="6" t="s">
        <v>552</v>
      </c>
      <c r="B405" s="6">
        <v>21.31</v>
      </c>
      <c r="C405" s="6">
        <v>121</v>
      </c>
      <c r="D405" s="6">
        <v>50.09</v>
      </c>
      <c r="E405" s="6">
        <v>303</v>
      </c>
    </row>
    <row r="406" spans="1:5" x14ac:dyDescent="0.25">
      <c r="A406" s="6" t="s">
        <v>811</v>
      </c>
      <c r="B406" s="6">
        <v>13.14</v>
      </c>
      <c r="C406" s="6">
        <v>152</v>
      </c>
      <c r="D406" s="6">
        <v>33.76</v>
      </c>
      <c r="E406" s="6">
        <v>390</v>
      </c>
    </row>
    <row r="407" spans="1:5" x14ac:dyDescent="0.25">
      <c r="A407" s="6" t="s">
        <v>528</v>
      </c>
      <c r="B407" s="6">
        <v>5.76</v>
      </c>
      <c r="C407" s="6">
        <v>69</v>
      </c>
      <c r="D407" s="6">
        <v>34.700000000000003</v>
      </c>
      <c r="E407" s="6">
        <v>249</v>
      </c>
    </row>
    <row r="408" spans="1:5" x14ac:dyDescent="0.25">
      <c r="A408" s="6" t="s">
        <v>394</v>
      </c>
      <c r="B408" s="6">
        <v>10.74</v>
      </c>
      <c r="C408" s="6">
        <v>110</v>
      </c>
      <c r="D408" s="6">
        <v>33.81</v>
      </c>
      <c r="E408" s="6">
        <v>225</v>
      </c>
    </row>
    <row r="409" spans="1:5" x14ac:dyDescent="0.25">
      <c r="A409" s="6" t="s">
        <v>812</v>
      </c>
      <c r="B409" s="6">
        <v>8.5</v>
      </c>
      <c r="C409" s="6">
        <v>87</v>
      </c>
      <c r="D409" s="6">
        <v>85.7</v>
      </c>
      <c r="E409" s="6">
        <v>489</v>
      </c>
    </row>
    <row r="410" spans="1:5" x14ac:dyDescent="0.25">
      <c r="A410" s="6" t="s">
        <v>442</v>
      </c>
      <c r="B410" s="6">
        <v>3.65</v>
      </c>
      <c r="C410" s="6">
        <v>67</v>
      </c>
      <c r="D410" s="6">
        <v>15.86</v>
      </c>
      <c r="E410" s="6">
        <v>91</v>
      </c>
    </row>
    <row r="411" spans="1:5" x14ac:dyDescent="0.25">
      <c r="A411" s="6" t="s">
        <v>24</v>
      </c>
      <c r="B411" s="6">
        <v>4.45</v>
      </c>
      <c r="C411" s="6">
        <v>60</v>
      </c>
      <c r="D411" s="6">
        <v>34.92</v>
      </c>
      <c r="E411" s="6">
        <v>305</v>
      </c>
    </row>
    <row r="412" spans="1:5" x14ac:dyDescent="0.25">
      <c r="A412" s="6" t="s">
        <v>439</v>
      </c>
      <c r="B412" s="6">
        <v>3.18</v>
      </c>
      <c r="C412" s="6">
        <v>52</v>
      </c>
      <c r="D412" s="6">
        <v>32.75</v>
      </c>
      <c r="E412" s="6">
        <v>280</v>
      </c>
    </row>
    <row r="413" spans="1:5" x14ac:dyDescent="0.25">
      <c r="A413" s="6" t="s">
        <v>541</v>
      </c>
      <c r="B413" s="6">
        <v>7.36</v>
      </c>
      <c r="C413" s="6">
        <v>95</v>
      </c>
      <c r="D413" s="6">
        <v>34.58</v>
      </c>
      <c r="E413" s="6">
        <v>242</v>
      </c>
    </row>
    <row r="414" spans="1:5" x14ac:dyDescent="0.25">
      <c r="A414" s="6" t="s">
        <v>607</v>
      </c>
      <c r="B414" s="6">
        <v>9.4</v>
      </c>
      <c r="C414" s="6">
        <v>99</v>
      </c>
      <c r="D414" s="6">
        <v>33.409999999999997</v>
      </c>
      <c r="E414" s="6">
        <v>200</v>
      </c>
    </row>
    <row r="415" spans="1:5" x14ac:dyDescent="0.25">
      <c r="A415" s="6" t="s">
        <v>204</v>
      </c>
      <c r="B415" s="6">
        <v>16.079999999999998</v>
      </c>
      <c r="C415" s="6">
        <v>154</v>
      </c>
      <c r="D415" s="6">
        <v>62.27</v>
      </c>
      <c r="E415" s="6">
        <v>338</v>
      </c>
    </row>
    <row r="416" spans="1:5" x14ac:dyDescent="0.25">
      <c r="A416" s="6" t="s">
        <v>236</v>
      </c>
      <c r="B416" s="6">
        <v>13.31</v>
      </c>
      <c r="C416" s="6">
        <v>128</v>
      </c>
      <c r="D416" s="6">
        <v>31.57</v>
      </c>
      <c r="E416" s="6">
        <v>228</v>
      </c>
    </row>
    <row r="417" spans="1:5" x14ac:dyDescent="0.25">
      <c r="A417" s="6" t="s">
        <v>133</v>
      </c>
      <c r="B417" s="6">
        <v>10.61</v>
      </c>
      <c r="C417" s="6">
        <v>101</v>
      </c>
      <c r="D417" s="6">
        <v>45.79</v>
      </c>
      <c r="E417" s="6">
        <v>413</v>
      </c>
    </row>
    <row r="418" spans="1:5" x14ac:dyDescent="0.25">
      <c r="A418" s="6" t="s">
        <v>813</v>
      </c>
      <c r="B418" s="6">
        <v>10.96</v>
      </c>
      <c r="C418" s="6">
        <v>148</v>
      </c>
      <c r="D418" s="6">
        <v>50.79</v>
      </c>
      <c r="E418" s="6">
        <v>407</v>
      </c>
    </row>
    <row r="419" spans="1:5" x14ac:dyDescent="0.25">
      <c r="A419" s="6" t="s">
        <v>66</v>
      </c>
      <c r="B419" s="6">
        <v>4.54</v>
      </c>
      <c r="C419" s="6">
        <v>68</v>
      </c>
      <c r="D419" s="6">
        <v>43.51</v>
      </c>
      <c r="E419" s="6">
        <v>313</v>
      </c>
    </row>
    <row r="420" spans="1:5" x14ac:dyDescent="0.25">
      <c r="A420" s="6" t="s">
        <v>814</v>
      </c>
      <c r="B420" s="6">
        <v>21.18</v>
      </c>
      <c r="C420" s="6">
        <v>159</v>
      </c>
      <c r="D420" s="6">
        <v>118.39</v>
      </c>
      <c r="E420" s="6">
        <v>556</v>
      </c>
    </row>
    <row r="421" spans="1:5" x14ac:dyDescent="0.25">
      <c r="A421" s="6" t="s">
        <v>3</v>
      </c>
      <c r="B421" s="6">
        <v>6.03</v>
      </c>
      <c r="C421" s="6">
        <v>80</v>
      </c>
      <c r="D421" s="6">
        <v>36.65</v>
      </c>
      <c r="E421" s="6">
        <v>269</v>
      </c>
    </row>
    <row r="422" spans="1:5" x14ac:dyDescent="0.25">
      <c r="A422" s="6" t="s">
        <v>564</v>
      </c>
      <c r="B422" s="6">
        <v>4.22</v>
      </c>
      <c r="C422" s="6">
        <v>63</v>
      </c>
      <c r="D422" s="6">
        <v>40.630000000000003</v>
      </c>
      <c r="E422" s="6">
        <v>376</v>
      </c>
    </row>
    <row r="423" spans="1:5" x14ac:dyDescent="0.25">
      <c r="A423" s="6" t="s">
        <v>430</v>
      </c>
      <c r="B423" s="6">
        <v>5.6</v>
      </c>
      <c r="C423" s="6">
        <v>68</v>
      </c>
      <c r="D423" s="6">
        <v>43.4</v>
      </c>
      <c r="E423" s="6">
        <v>243</v>
      </c>
    </row>
    <row r="424" spans="1:5" x14ac:dyDescent="0.25">
      <c r="A424" s="6" t="s">
        <v>159</v>
      </c>
      <c r="B424" s="6">
        <v>8.02</v>
      </c>
      <c r="C424" s="6">
        <v>88</v>
      </c>
      <c r="D424" s="6">
        <v>41.87</v>
      </c>
      <c r="E424" s="6">
        <v>307</v>
      </c>
    </row>
    <row r="425" spans="1:5" x14ac:dyDescent="0.25">
      <c r="A425" s="6" t="s">
        <v>405</v>
      </c>
      <c r="B425" s="6">
        <v>13.97</v>
      </c>
      <c r="C425" s="6">
        <v>143</v>
      </c>
      <c r="D425" s="6">
        <v>44.5</v>
      </c>
      <c r="E425" s="6">
        <v>266</v>
      </c>
    </row>
    <row r="426" spans="1:5" x14ac:dyDescent="0.25">
      <c r="A426" s="6" t="s">
        <v>277</v>
      </c>
      <c r="B426" s="6">
        <v>7.73</v>
      </c>
      <c r="C426" s="6">
        <v>98</v>
      </c>
      <c r="D426" s="6">
        <v>33.130000000000003</v>
      </c>
      <c r="E426" s="6">
        <v>226</v>
      </c>
    </row>
    <row r="427" spans="1:5" x14ac:dyDescent="0.25">
      <c r="A427" s="6" t="s">
        <v>278</v>
      </c>
      <c r="B427" s="6">
        <v>5.66</v>
      </c>
      <c r="C427" s="6">
        <v>60</v>
      </c>
      <c r="D427" s="6">
        <v>39.31</v>
      </c>
      <c r="E427" s="6">
        <v>278</v>
      </c>
    </row>
    <row r="428" spans="1:5" x14ac:dyDescent="0.25">
      <c r="A428" s="6" t="s">
        <v>421</v>
      </c>
      <c r="B428" s="6">
        <v>13.91</v>
      </c>
      <c r="C428" s="6">
        <v>108</v>
      </c>
      <c r="D428" s="6">
        <v>46.42</v>
      </c>
      <c r="E428" s="6">
        <v>218</v>
      </c>
    </row>
    <row r="429" spans="1:5" x14ac:dyDescent="0.25">
      <c r="A429" s="6" t="s">
        <v>331</v>
      </c>
      <c r="B429" s="6">
        <v>5.05</v>
      </c>
      <c r="C429" s="6">
        <v>63</v>
      </c>
      <c r="D429" s="6">
        <v>39.61</v>
      </c>
      <c r="E429" s="6">
        <v>312</v>
      </c>
    </row>
    <row r="430" spans="1:5" x14ac:dyDescent="0.25">
      <c r="A430" s="6" t="s">
        <v>619</v>
      </c>
      <c r="B430" s="6">
        <v>10.49</v>
      </c>
      <c r="C430" s="6">
        <v>110</v>
      </c>
      <c r="D430" s="6">
        <v>35.53</v>
      </c>
      <c r="E430" s="6">
        <v>243</v>
      </c>
    </row>
    <row r="431" spans="1:5" x14ac:dyDescent="0.25">
      <c r="A431" s="6" t="s">
        <v>142</v>
      </c>
      <c r="B431" s="6">
        <v>11.4</v>
      </c>
      <c r="C431" s="6">
        <v>124</v>
      </c>
      <c r="D431" s="6">
        <v>38.9</v>
      </c>
      <c r="E431" s="6">
        <v>272</v>
      </c>
    </row>
    <row r="432" spans="1:5" x14ac:dyDescent="0.25">
      <c r="A432" s="6" t="s">
        <v>93</v>
      </c>
      <c r="B432" s="6">
        <v>6.55</v>
      </c>
      <c r="C432" s="6">
        <v>83</v>
      </c>
      <c r="D432" s="6">
        <v>27.84</v>
      </c>
      <c r="E432" s="6">
        <v>213</v>
      </c>
    </row>
    <row r="433" spans="1:5" x14ac:dyDescent="0.25">
      <c r="A433" s="6" t="s">
        <v>219</v>
      </c>
      <c r="B433" s="6">
        <v>10.08</v>
      </c>
      <c r="C433" s="6">
        <v>117</v>
      </c>
      <c r="D433" s="6">
        <v>30.82</v>
      </c>
      <c r="E433" s="6">
        <v>295</v>
      </c>
    </row>
    <row r="434" spans="1:5" x14ac:dyDescent="0.25">
      <c r="A434" s="6" t="s">
        <v>156</v>
      </c>
      <c r="B434" s="6">
        <v>11.45</v>
      </c>
      <c r="C434" s="6">
        <v>112</v>
      </c>
      <c r="D434" s="6">
        <v>33.46</v>
      </c>
      <c r="E434" s="6">
        <v>175</v>
      </c>
    </row>
    <row r="435" spans="1:5" x14ac:dyDescent="0.25">
      <c r="A435" s="6" t="s">
        <v>435</v>
      </c>
      <c r="B435" s="6">
        <v>6.77</v>
      </c>
      <c r="C435" s="6">
        <v>80</v>
      </c>
      <c r="D435" s="6">
        <v>19.23</v>
      </c>
      <c r="E435" s="6">
        <v>87</v>
      </c>
    </row>
    <row r="436" spans="1:5" x14ac:dyDescent="0.25">
      <c r="A436" s="6" t="s">
        <v>551</v>
      </c>
      <c r="B436" s="6">
        <v>3.85</v>
      </c>
      <c r="C436" s="6">
        <v>56</v>
      </c>
      <c r="D436" s="6">
        <v>36.33</v>
      </c>
      <c r="E436" s="6">
        <v>292</v>
      </c>
    </row>
    <row r="437" spans="1:5" x14ac:dyDescent="0.25">
      <c r="A437" s="6" t="s">
        <v>170</v>
      </c>
      <c r="B437" s="6">
        <v>1.01</v>
      </c>
      <c r="C437" s="6">
        <v>24</v>
      </c>
      <c r="D437" s="6">
        <v>10.31</v>
      </c>
      <c r="E437" s="6">
        <v>59</v>
      </c>
    </row>
    <row r="438" spans="1:5" x14ac:dyDescent="0.25">
      <c r="A438" s="6" t="s">
        <v>691</v>
      </c>
      <c r="B438" s="6">
        <v>18.059999999999999</v>
      </c>
      <c r="C438" s="6">
        <v>119</v>
      </c>
      <c r="D438" s="6">
        <v>144.63</v>
      </c>
      <c r="E438" s="6">
        <v>719</v>
      </c>
    </row>
    <row r="439" spans="1:5" x14ac:dyDescent="0.25">
      <c r="A439" s="6" t="s">
        <v>675</v>
      </c>
      <c r="B439" s="6">
        <v>20.13</v>
      </c>
      <c r="C439" s="6">
        <v>222</v>
      </c>
      <c r="D439" s="6">
        <v>39.729999999999997</v>
      </c>
      <c r="E439" s="6">
        <v>217</v>
      </c>
    </row>
    <row r="440" spans="1:5" x14ac:dyDescent="0.25">
      <c r="A440" s="6" t="s">
        <v>437</v>
      </c>
      <c r="B440" s="6">
        <v>7.97</v>
      </c>
      <c r="C440" s="6">
        <v>97</v>
      </c>
      <c r="D440" s="6">
        <v>44.65</v>
      </c>
      <c r="E440" s="6">
        <v>327</v>
      </c>
    </row>
    <row r="441" spans="1:5" x14ac:dyDescent="0.25">
      <c r="A441" s="6" t="s">
        <v>625</v>
      </c>
      <c r="B441" s="6">
        <v>6.17</v>
      </c>
      <c r="C441" s="6">
        <v>75</v>
      </c>
      <c r="D441" s="6">
        <v>47.65</v>
      </c>
      <c r="E441" s="6">
        <v>314</v>
      </c>
    </row>
    <row r="442" spans="1:5" x14ac:dyDescent="0.25">
      <c r="A442" s="6" t="s">
        <v>134</v>
      </c>
      <c r="B442" s="6">
        <v>14.42</v>
      </c>
      <c r="C442" s="6">
        <v>134</v>
      </c>
      <c r="D442" s="6">
        <v>38.369999999999997</v>
      </c>
      <c r="E442" s="6">
        <v>206</v>
      </c>
    </row>
    <row r="443" spans="1:5" x14ac:dyDescent="0.25">
      <c r="A443" s="6" t="s">
        <v>282</v>
      </c>
      <c r="B443" s="6">
        <v>7.86</v>
      </c>
      <c r="C443" s="6">
        <v>98</v>
      </c>
      <c r="D443" s="6">
        <v>39.76</v>
      </c>
      <c r="E443" s="6">
        <v>295</v>
      </c>
    </row>
    <row r="444" spans="1:5" x14ac:dyDescent="0.25">
      <c r="A444" s="6" t="s">
        <v>815</v>
      </c>
      <c r="B444" s="6">
        <v>21.16</v>
      </c>
      <c r="C444" s="6">
        <v>237</v>
      </c>
      <c r="D444" s="6">
        <v>31.45</v>
      </c>
      <c r="E444" s="6">
        <v>221</v>
      </c>
    </row>
    <row r="445" spans="1:5" x14ac:dyDescent="0.25">
      <c r="A445" s="6" t="s">
        <v>642</v>
      </c>
      <c r="B445" s="6">
        <v>3.94</v>
      </c>
      <c r="C445" s="6">
        <v>60</v>
      </c>
      <c r="D445" s="6">
        <v>38.94</v>
      </c>
      <c r="E445" s="6">
        <v>325</v>
      </c>
    </row>
    <row r="446" spans="1:5" x14ac:dyDescent="0.25">
      <c r="A446" s="6" t="s">
        <v>469</v>
      </c>
      <c r="B446" s="6">
        <v>19.170000000000002</v>
      </c>
      <c r="C446" s="6">
        <v>166</v>
      </c>
      <c r="D446" s="6">
        <v>44.98</v>
      </c>
      <c r="E446" s="6">
        <v>217</v>
      </c>
    </row>
    <row r="447" spans="1:5" x14ac:dyDescent="0.25">
      <c r="A447" s="6" t="s">
        <v>816</v>
      </c>
      <c r="B447" s="6">
        <v>9.07</v>
      </c>
      <c r="C447" s="6">
        <v>117</v>
      </c>
      <c r="D447" s="6">
        <v>53.63</v>
      </c>
      <c r="E447" s="6">
        <v>339</v>
      </c>
    </row>
    <row r="448" spans="1:5" x14ac:dyDescent="0.25">
      <c r="A448" s="6" t="s">
        <v>399</v>
      </c>
      <c r="B448" s="6">
        <v>7.06</v>
      </c>
      <c r="C448" s="6">
        <v>90</v>
      </c>
      <c r="D448" s="6">
        <v>36.18</v>
      </c>
      <c r="E448" s="6">
        <v>266</v>
      </c>
    </row>
    <row r="449" spans="1:5" x14ac:dyDescent="0.25">
      <c r="A449" s="6" t="s">
        <v>64</v>
      </c>
      <c r="B449" s="6">
        <v>16.27</v>
      </c>
      <c r="C449" s="6">
        <v>146</v>
      </c>
      <c r="D449" s="6">
        <v>96.33</v>
      </c>
      <c r="E449" s="6">
        <v>536</v>
      </c>
    </row>
    <row r="450" spans="1:5" x14ac:dyDescent="0.25">
      <c r="A450" s="6" t="s">
        <v>116</v>
      </c>
      <c r="B450" s="6">
        <v>7.16</v>
      </c>
      <c r="C450" s="6">
        <v>80</v>
      </c>
      <c r="D450" s="6">
        <v>42.21</v>
      </c>
      <c r="E450" s="6">
        <v>271</v>
      </c>
    </row>
    <row r="451" spans="1:5" x14ac:dyDescent="0.25">
      <c r="A451" s="6" t="s">
        <v>427</v>
      </c>
      <c r="B451" s="6">
        <v>9.27</v>
      </c>
      <c r="C451" s="6">
        <v>88</v>
      </c>
      <c r="D451" s="6">
        <v>46.19</v>
      </c>
      <c r="E451" s="6">
        <v>316</v>
      </c>
    </row>
    <row r="452" spans="1:5" x14ac:dyDescent="0.25">
      <c r="A452" s="6" t="s">
        <v>280</v>
      </c>
      <c r="B452" s="6">
        <v>11.86</v>
      </c>
      <c r="C452" s="6">
        <v>141</v>
      </c>
      <c r="D452" s="6">
        <v>28.11</v>
      </c>
      <c r="E452" s="6">
        <v>212</v>
      </c>
    </row>
    <row r="453" spans="1:5" x14ac:dyDescent="0.25">
      <c r="A453" s="6" t="s">
        <v>140</v>
      </c>
      <c r="B453" s="6">
        <v>3.01</v>
      </c>
      <c r="C453" s="6">
        <v>49</v>
      </c>
      <c r="D453" s="6">
        <v>13.51</v>
      </c>
      <c r="E453" s="6">
        <v>78</v>
      </c>
    </row>
    <row r="454" spans="1:5" x14ac:dyDescent="0.25">
      <c r="A454" s="6" t="s">
        <v>561</v>
      </c>
      <c r="B454" s="6">
        <v>25.68</v>
      </c>
      <c r="C454" s="6">
        <v>143</v>
      </c>
      <c r="D454" s="6">
        <v>70.650000000000006</v>
      </c>
      <c r="E454" s="6">
        <v>416</v>
      </c>
    </row>
    <row r="455" spans="1:5" x14ac:dyDescent="0.25">
      <c r="A455" s="6" t="s">
        <v>648</v>
      </c>
      <c r="B455" s="6">
        <v>14.04</v>
      </c>
      <c r="C455" s="6">
        <v>142</v>
      </c>
      <c r="D455" s="6">
        <v>44.14</v>
      </c>
      <c r="E455" s="6">
        <v>286</v>
      </c>
    </row>
    <row r="456" spans="1:5" x14ac:dyDescent="0.25">
      <c r="A456" s="6" t="s">
        <v>521</v>
      </c>
      <c r="B456" s="6">
        <v>9.7799999999999994</v>
      </c>
      <c r="C456" s="6">
        <v>82</v>
      </c>
      <c r="D456" s="6">
        <v>43.09</v>
      </c>
      <c r="E456" s="6">
        <v>321</v>
      </c>
    </row>
    <row r="457" spans="1:5" x14ac:dyDescent="0.25">
      <c r="A457" s="6" t="s">
        <v>817</v>
      </c>
      <c r="B457" s="6">
        <v>8.93</v>
      </c>
      <c r="C457" s="6">
        <v>106</v>
      </c>
      <c r="D457" s="6">
        <v>16.489999999999998</v>
      </c>
      <c r="E457" s="6">
        <v>121</v>
      </c>
    </row>
    <row r="458" spans="1:5" x14ac:dyDescent="0.25">
      <c r="A458" s="6" t="s">
        <v>818</v>
      </c>
      <c r="B458" s="6">
        <v>7.36</v>
      </c>
      <c r="C458" s="6">
        <v>95</v>
      </c>
      <c r="D458" s="6">
        <v>35.409999999999997</v>
      </c>
      <c r="E458" s="6">
        <v>259</v>
      </c>
    </row>
    <row r="459" spans="1:5" x14ac:dyDescent="0.25">
      <c r="A459" s="6" t="s">
        <v>114</v>
      </c>
      <c r="B459" s="6">
        <v>19.899999999999999</v>
      </c>
      <c r="C459" s="6">
        <v>171</v>
      </c>
      <c r="D459" s="6">
        <v>63.99</v>
      </c>
      <c r="E459" s="6">
        <v>372</v>
      </c>
    </row>
    <row r="460" spans="1:5" x14ac:dyDescent="0.25">
      <c r="A460" s="6" t="s">
        <v>213</v>
      </c>
      <c r="B460" s="6">
        <v>10.56</v>
      </c>
      <c r="C460" s="6">
        <v>94</v>
      </c>
      <c r="D460" s="6">
        <v>41.39</v>
      </c>
      <c r="E460" s="6">
        <v>359</v>
      </c>
    </row>
    <row r="461" spans="1:5" x14ac:dyDescent="0.25">
      <c r="A461" s="6" t="s">
        <v>652</v>
      </c>
      <c r="B461" s="6">
        <v>9.42</v>
      </c>
      <c r="C461" s="6">
        <v>104</v>
      </c>
      <c r="D461" s="6">
        <v>66.819999999999993</v>
      </c>
      <c r="E461" s="6">
        <v>530</v>
      </c>
    </row>
    <row r="462" spans="1:5" x14ac:dyDescent="0.25">
      <c r="A462" s="6" t="s">
        <v>136</v>
      </c>
      <c r="B462" s="6">
        <v>7.85</v>
      </c>
      <c r="C462" s="6">
        <v>113</v>
      </c>
      <c r="D462" s="6">
        <v>36.06</v>
      </c>
      <c r="E462" s="6">
        <v>221</v>
      </c>
    </row>
    <row r="463" spans="1:5" x14ac:dyDescent="0.25">
      <c r="A463" s="6" t="s">
        <v>665</v>
      </c>
      <c r="B463" s="6">
        <v>5.65</v>
      </c>
      <c r="C463" s="6">
        <v>70</v>
      </c>
      <c r="D463" s="6">
        <v>18.93</v>
      </c>
      <c r="E463" s="6">
        <v>123</v>
      </c>
    </row>
    <row r="464" spans="1:5" x14ac:dyDescent="0.25">
      <c r="A464" s="6" t="s">
        <v>328</v>
      </c>
      <c r="B464" s="6">
        <v>3.1</v>
      </c>
      <c r="C464" s="6">
        <v>45</v>
      </c>
      <c r="D464" s="6">
        <v>19.329999999999998</v>
      </c>
      <c r="E464" s="6">
        <v>178</v>
      </c>
    </row>
    <row r="465" spans="1:5" x14ac:dyDescent="0.25">
      <c r="A465" s="6" t="s">
        <v>293</v>
      </c>
      <c r="B465" s="6">
        <v>12.36</v>
      </c>
      <c r="C465" s="6">
        <v>110</v>
      </c>
      <c r="D465" s="6">
        <v>31.43</v>
      </c>
      <c r="E465" s="6">
        <v>148</v>
      </c>
    </row>
    <row r="466" spans="1:5" x14ac:dyDescent="0.25">
      <c r="A466" s="6" t="s">
        <v>193</v>
      </c>
      <c r="B466" s="6">
        <v>11.85</v>
      </c>
      <c r="C466" s="6">
        <v>111</v>
      </c>
      <c r="D466" s="6">
        <v>81.239999999999995</v>
      </c>
      <c r="E466" s="6">
        <v>690</v>
      </c>
    </row>
    <row r="467" spans="1:5" x14ac:dyDescent="0.25">
      <c r="A467" s="6" t="s">
        <v>510</v>
      </c>
      <c r="B467" s="6">
        <v>4.8600000000000003</v>
      </c>
      <c r="C467" s="6">
        <v>74</v>
      </c>
      <c r="D467" s="6">
        <v>43.34</v>
      </c>
      <c r="E467" s="6">
        <v>374</v>
      </c>
    </row>
    <row r="468" spans="1:5" x14ac:dyDescent="0.25">
      <c r="A468" s="6" t="s">
        <v>192</v>
      </c>
      <c r="B468" s="6">
        <v>8.17</v>
      </c>
      <c r="C468" s="6">
        <v>94</v>
      </c>
      <c r="D468" s="6">
        <v>32.68</v>
      </c>
      <c r="E468" s="6">
        <v>217</v>
      </c>
    </row>
    <row r="469" spans="1:5" x14ac:dyDescent="0.25">
      <c r="A469" s="6" t="s">
        <v>819</v>
      </c>
      <c r="B469" s="6">
        <v>33.97</v>
      </c>
      <c r="C469" s="6">
        <v>274</v>
      </c>
      <c r="D469" s="6">
        <v>39.18</v>
      </c>
      <c r="E469" s="6">
        <v>178</v>
      </c>
    </row>
    <row r="470" spans="1:5" x14ac:dyDescent="0.25">
      <c r="A470" s="6" t="s">
        <v>162</v>
      </c>
      <c r="B470" s="6">
        <v>10.65</v>
      </c>
      <c r="C470" s="6">
        <v>110</v>
      </c>
      <c r="D470" s="6">
        <v>54.35</v>
      </c>
      <c r="E470" s="6">
        <v>351</v>
      </c>
    </row>
    <row r="471" spans="1:5" x14ac:dyDescent="0.25">
      <c r="A471" s="6" t="s">
        <v>135</v>
      </c>
      <c r="B471" s="6">
        <v>9.5500000000000007</v>
      </c>
      <c r="C471" s="6">
        <v>116</v>
      </c>
      <c r="D471" s="6">
        <v>45.59</v>
      </c>
      <c r="E471" s="6">
        <v>404</v>
      </c>
    </row>
    <row r="472" spans="1:5" x14ac:dyDescent="0.25">
      <c r="A472" s="6" t="s">
        <v>499</v>
      </c>
      <c r="B472" s="6">
        <v>15.5</v>
      </c>
      <c r="C472" s="6">
        <v>138</v>
      </c>
      <c r="D472" s="6">
        <v>83.28</v>
      </c>
      <c r="E472" s="6">
        <v>627</v>
      </c>
    </row>
    <row r="473" spans="1:5" x14ac:dyDescent="0.25">
      <c r="A473" s="6" t="s">
        <v>178</v>
      </c>
      <c r="B473" s="6">
        <v>4.63</v>
      </c>
      <c r="C473" s="6">
        <v>67</v>
      </c>
      <c r="D473" s="6">
        <v>16.899999999999999</v>
      </c>
      <c r="E473" s="6">
        <v>132</v>
      </c>
    </row>
    <row r="474" spans="1:5" x14ac:dyDescent="0.25">
      <c r="A474" s="6" t="s">
        <v>151</v>
      </c>
      <c r="B474" s="6">
        <v>3.41</v>
      </c>
      <c r="C474" s="6">
        <v>62</v>
      </c>
      <c r="D474" s="6">
        <v>33.89</v>
      </c>
      <c r="E474" s="6">
        <v>294</v>
      </c>
    </row>
    <row r="475" spans="1:5" x14ac:dyDescent="0.25">
      <c r="A475" s="6" t="s">
        <v>285</v>
      </c>
      <c r="B475" s="6">
        <v>10.66</v>
      </c>
      <c r="C475" s="6">
        <v>109</v>
      </c>
      <c r="D475" s="6">
        <v>59.32</v>
      </c>
      <c r="E475" s="6">
        <v>337</v>
      </c>
    </row>
    <row r="476" spans="1:5" x14ac:dyDescent="0.25">
      <c r="A476" s="6" t="s">
        <v>415</v>
      </c>
      <c r="B476" s="6">
        <v>7.65</v>
      </c>
      <c r="C476" s="6">
        <v>103</v>
      </c>
      <c r="D476" s="6">
        <v>23.33</v>
      </c>
      <c r="E476" s="6">
        <v>163</v>
      </c>
    </row>
    <row r="477" spans="1:5" x14ac:dyDescent="0.25">
      <c r="A477" s="6" t="s">
        <v>14</v>
      </c>
      <c r="B477" s="6">
        <v>6.3</v>
      </c>
      <c r="C477" s="6">
        <v>95</v>
      </c>
      <c r="D477" s="6">
        <v>25.72</v>
      </c>
      <c r="E477" s="6">
        <v>219</v>
      </c>
    </row>
    <row r="478" spans="1:5" x14ac:dyDescent="0.25">
      <c r="A478" s="6" t="s">
        <v>516</v>
      </c>
      <c r="B478" s="6">
        <v>1.91</v>
      </c>
      <c r="C478" s="6">
        <v>43</v>
      </c>
      <c r="D478" s="6">
        <v>24.43</v>
      </c>
      <c r="E478" s="6">
        <v>260</v>
      </c>
    </row>
    <row r="479" spans="1:5" x14ac:dyDescent="0.25">
      <c r="A479" s="6" t="s">
        <v>661</v>
      </c>
      <c r="B479" s="6">
        <v>3.91</v>
      </c>
      <c r="C479" s="6">
        <v>69</v>
      </c>
      <c r="D479" s="6">
        <v>28.35</v>
      </c>
      <c r="E479" s="6">
        <v>324</v>
      </c>
    </row>
    <row r="480" spans="1:5" x14ac:dyDescent="0.25">
      <c r="A480" s="6" t="s">
        <v>820</v>
      </c>
      <c r="B480" s="6">
        <v>6.4</v>
      </c>
      <c r="C480" s="6">
        <v>110</v>
      </c>
      <c r="D480" s="6">
        <v>20.85</v>
      </c>
      <c r="E480" s="6">
        <v>243</v>
      </c>
    </row>
    <row r="481" spans="1:5" x14ac:dyDescent="0.25">
      <c r="A481" s="6" t="s">
        <v>189</v>
      </c>
      <c r="B481" s="6">
        <v>15.57</v>
      </c>
      <c r="C481" s="6">
        <v>179</v>
      </c>
      <c r="D481" s="6">
        <v>34.54</v>
      </c>
      <c r="E481" s="6">
        <v>279</v>
      </c>
    </row>
    <row r="482" spans="1:5" x14ac:dyDescent="0.25">
      <c r="A482" s="6" t="s">
        <v>75</v>
      </c>
      <c r="B482" s="6">
        <v>12.63</v>
      </c>
      <c r="C482" s="6">
        <v>147</v>
      </c>
      <c r="D482" s="6">
        <v>32.229999999999997</v>
      </c>
      <c r="E482" s="6">
        <v>293</v>
      </c>
    </row>
    <row r="483" spans="1:5" x14ac:dyDescent="0.25">
      <c r="A483" s="6" t="s">
        <v>821</v>
      </c>
      <c r="B483" s="6">
        <v>32.92</v>
      </c>
      <c r="C483" s="6">
        <v>346</v>
      </c>
      <c r="D483" s="6">
        <v>39.64</v>
      </c>
      <c r="E483" s="6">
        <v>287</v>
      </c>
    </row>
    <row r="484" spans="1:5" x14ac:dyDescent="0.25">
      <c r="A484" s="6" t="s">
        <v>822</v>
      </c>
      <c r="B484" s="6">
        <v>12.33</v>
      </c>
      <c r="C484" s="6">
        <v>168</v>
      </c>
      <c r="D484" s="6">
        <v>29.09</v>
      </c>
      <c r="E484" s="6">
        <v>259</v>
      </c>
    </row>
    <row r="485" spans="1:5" x14ac:dyDescent="0.25">
      <c r="A485" s="6" t="s">
        <v>58</v>
      </c>
      <c r="B485" s="6">
        <v>2.94</v>
      </c>
      <c r="C485" s="6">
        <v>61</v>
      </c>
      <c r="D485" s="6">
        <v>15.91</v>
      </c>
      <c r="E485" s="6">
        <v>196</v>
      </c>
    </row>
    <row r="486" spans="1:5" x14ac:dyDescent="0.25">
      <c r="A486" s="6" t="s">
        <v>322</v>
      </c>
      <c r="B486" s="6">
        <v>4.3499999999999996</v>
      </c>
      <c r="C486" s="6">
        <v>86</v>
      </c>
      <c r="D486" s="6">
        <v>25.4</v>
      </c>
      <c r="E486" s="6">
        <v>278</v>
      </c>
    </row>
    <row r="487" spans="1:5" x14ac:dyDescent="0.25">
      <c r="A487" s="6" t="s">
        <v>215</v>
      </c>
      <c r="B487" s="6">
        <v>8.1199999999999992</v>
      </c>
      <c r="C487" s="6">
        <v>104</v>
      </c>
      <c r="D487" s="6">
        <v>30.13</v>
      </c>
      <c r="E487" s="6">
        <v>256</v>
      </c>
    </row>
    <row r="488" spans="1:5" x14ac:dyDescent="0.25">
      <c r="A488" s="6" t="s">
        <v>682</v>
      </c>
      <c r="B488" s="6">
        <v>5.74</v>
      </c>
      <c r="C488" s="6">
        <v>101</v>
      </c>
      <c r="D488" s="6">
        <v>15.9</v>
      </c>
      <c r="E488" s="6">
        <v>145</v>
      </c>
    </row>
    <row r="489" spans="1:5" x14ac:dyDescent="0.25">
      <c r="A489" s="6" t="s">
        <v>747</v>
      </c>
      <c r="B489" s="6">
        <v>2.3199999999999998</v>
      </c>
      <c r="C489" s="6">
        <v>48</v>
      </c>
      <c r="D489" s="6">
        <v>13.41</v>
      </c>
      <c r="E489" s="6">
        <v>128</v>
      </c>
    </row>
    <row r="490" spans="1:5" x14ac:dyDescent="0.25">
      <c r="A490" s="6" t="s">
        <v>73</v>
      </c>
      <c r="B490" s="6">
        <v>8.7799999999999994</v>
      </c>
      <c r="C490" s="6">
        <v>99</v>
      </c>
      <c r="D490" s="6">
        <v>28.46</v>
      </c>
      <c r="E490" s="6">
        <v>247</v>
      </c>
    </row>
    <row r="491" spans="1:5" x14ac:dyDescent="0.25">
      <c r="A491" s="6" t="s">
        <v>191</v>
      </c>
      <c r="B491" s="6">
        <v>6.93</v>
      </c>
      <c r="C491" s="6">
        <v>117</v>
      </c>
      <c r="D491" s="6">
        <v>43.15</v>
      </c>
      <c r="E491" s="6">
        <v>562</v>
      </c>
    </row>
    <row r="492" spans="1:5" x14ac:dyDescent="0.25">
      <c r="A492" s="6" t="s">
        <v>562</v>
      </c>
      <c r="B492" s="6">
        <v>10.1</v>
      </c>
      <c r="C492" s="6">
        <v>120</v>
      </c>
      <c r="D492" s="6">
        <v>59.35</v>
      </c>
      <c r="E492" s="6">
        <v>567</v>
      </c>
    </row>
    <row r="493" spans="1:5" x14ac:dyDescent="0.25">
      <c r="A493" s="6" t="s">
        <v>526</v>
      </c>
      <c r="B493" s="6">
        <v>5.53</v>
      </c>
      <c r="C493" s="6">
        <v>84</v>
      </c>
      <c r="D493" s="6">
        <v>29.92</v>
      </c>
      <c r="E493" s="6">
        <v>341</v>
      </c>
    </row>
    <row r="494" spans="1:5" x14ac:dyDescent="0.25">
      <c r="A494" s="6" t="s">
        <v>503</v>
      </c>
      <c r="B494" s="6">
        <v>17.72</v>
      </c>
      <c r="C494" s="6">
        <v>173</v>
      </c>
      <c r="D494" s="6">
        <v>31.68</v>
      </c>
      <c r="E494" s="6">
        <v>235</v>
      </c>
    </row>
    <row r="495" spans="1:5" x14ac:dyDescent="0.25">
      <c r="A495" s="6" t="s">
        <v>699</v>
      </c>
      <c r="B495" s="6">
        <v>3.7</v>
      </c>
      <c r="C495" s="6">
        <v>73</v>
      </c>
      <c r="D495" s="6">
        <v>22.04</v>
      </c>
      <c r="E495" s="6">
        <v>202</v>
      </c>
    </row>
    <row r="496" spans="1:5" x14ac:dyDescent="0.25">
      <c r="A496" s="6" t="s">
        <v>288</v>
      </c>
      <c r="B496" s="6">
        <v>9.85</v>
      </c>
      <c r="C496" s="6">
        <v>121</v>
      </c>
      <c r="D496" s="6">
        <v>24.42</v>
      </c>
      <c r="E496" s="6">
        <v>204</v>
      </c>
    </row>
    <row r="497" spans="1:5" x14ac:dyDescent="0.25">
      <c r="A497" s="6" t="s">
        <v>454</v>
      </c>
      <c r="B497" s="6">
        <v>14.74</v>
      </c>
      <c r="C497" s="6">
        <v>163</v>
      </c>
      <c r="D497" s="6">
        <v>31.82</v>
      </c>
      <c r="E497" s="6">
        <v>302</v>
      </c>
    </row>
    <row r="498" spans="1:5" x14ac:dyDescent="0.25">
      <c r="A498" s="6" t="s">
        <v>743</v>
      </c>
      <c r="B498" s="6">
        <v>6.55</v>
      </c>
      <c r="C498" s="6">
        <v>85</v>
      </c>
      <c r="D498" s="6">
        <v>32.06</v>
      </c>
      <c r="E498" s="6">
        <v>312</v>
      </c>
    </row>
    <row r="499" spans="1:5" x14ac:dyDescent="0.25">
      <c r="A499" s="6" t="s">
        <v>506</v>
      </c>
      <c r="B499" s="6">
        <v>13.72</v>
      </c>
      <c r="C499" s="6">
        <v>133</v>
      </c>
      <c r="D499" s="6">
        <v>49.59</v>
      </c>
      <c r="E499" s="6">
        <v>384</v>
      </c>
    </row>
    <row r="500" spans="1:5" x14ac:dyDescent="0.25">
      <c r="A500" s="6" t="s">
        <v>580</v>
      </c>
      <c r="B500" s="6">
        <v>8.48</v>
      </c>
      <c r="C500" s="6">
        <v>114</v>
      </c>
      <c r="D500" s="6">
        <v>48.89</v>
      </c>
      <c r="E500" s="6">
        <v>483</v>
      </c>
    </row>
    <row r="501" spans="1:5" x14ac:dyDescent="0.25">
      <c r="A501" s="6" t="s">
        <v>823</v>
      </c>
      <c r="B501" s="6">
        <v>15.49</v>
      </c>
      <c r="C501" s="6">
        <v>178</v>
      </c>
      <c r="D501" s="6">
        <v>39.909999999999997</v>
      </c>
      <c r="E501" s="6">
        <v>341</v>
      </c>
    </row>
    <row r="502" spans="1:5" x14ac:dyDescent="0.25">
      <c r="A502" s="6" t="s">
        <v>357</v>
      </c>
      <c r="B502" s="6">
        <v>13.63</v>
      </c>
      <c r="C502" s="6">
        <v>166</v>
      </c>
      <c r="D502" s="6">
        <v>30.28</v>
      </c>
      <c r="E502" s="6">
        <v>285</v>
      </c>
    </row>
    <row r="503" spans="1:5" x14ac:dyDescent="0.25">
      <c r="A503" s="6" t="s">
        <v>69</v>
      </c>
      <c r="B503" s="6">
        <v>6.17</v>
      </c>
      <c r="C503" s="6">
        <v>78</v>
      </c>
      <c r="D503" s="6">
        <v>20.309999999999999</v>
      </c>
      <c r="E503" s="6">
        <v>165</v>
      </c>
    </row>
    <row r="504" spans="1:5" x14ac:dyDescent="0.25">
      <c r="A504" s="6" t="s">
        <v>269</v>
      </c>
      <c r="B504" s="6">
        <v>11.93</v>
      </c>
      <c r="C504" s="6">
        <v>142</v>
      </c>
      <c r="D504" s="6">
        <v>43.72</v>
      </c>
      <c r="E504" s="6">
        <v>548</v>
      </c>
    </row>
    <row r="505" spans="1:5" x14ac:dyDescent="0.25">
      <c r="A505" s="6" t="s">
        <v>824</v>
      </c>
      <c r="B505" s="6">
        <v>5.01</v>
      </c>
      <c r="C505" s="6">
        <v>89</v>
      </c>
      <c r="D505" s="6">
        <v>38.520000000000003</v>
      </c>
      <c r="E505" s="6">
        <v>452</v>
      </c>
    </row>
    <row r="506" spans="1:5" x14ac:dyDescent="0.25">
      <c r="A506" s="6" t="s">
        <v>739</v>
      </c>
      <c r="B506" s="6">
        <v>2.16</v>
      </c>
      <c r="C506" s="6">
        <v>51</v>
      </c>
      <c r="D506" s="6">
        <v>14.39</v>
      </c>
      <c r="E506" s="6">
        <v>188</v>
      </c>
    </row>
    <row r="507" spans="1:5" x14ac:dyDescent="0.25">
      <c r="A507" s="6" t="s">
        <v>431</v>
      </c>
      <c r="B507" s="6">
        <v>2.52</v>
      </c>
      <c r="C507" s="6">
        <v>46</v>
      </c>
      <c r="D507" s="6">
        <v>13.07</v>
      </c>
      <c r="E507" s="6">
        <v>136</v>
      </c>
    </row>
    <row r="508" spans="1:5" x14ac:dyDescent="0.25">
      <c r="A508" s="6" t="s">
        <v>524</v>
      </c>
      <c r="B508" s="6">
        <v>8.3800000000000008</v>
      </c>
      <c r="C508" s="6">
        <v>122</v>
      </c>
      <c r="D508" s="6">
        <v>43.9</v>
      </c>
      <c r="E508" s="6">
        <v>415</v>
      </c>
    </row>
    <row r="509" spans="1:5" x14ac:dyDescent="0.25">
      <c r="A509" s="6" t="s">
        <v>36</v>
      </c>
      <c r="B509" s="6">
        <v>1.82</v>
      </c>
      <c r="C509" s="6">
        <v>40</v>
      </c>
      <c r="D509" s="6">
        <v>11.1</v>
      </c>
      <c r="E509" s="6">
        <v>122</v>
      </c>
    </row>
    <row r="510" spans="1:5" x14ac:dyDescent="0.25">
      <c r="A510" s="6" t="s">
        <v>586</v>
      </c>
      <c r="B510" s="6">
        <v>3.81</v>
      </c>
      <c r="C510" s="6">
        <v>54</v>
      </c>
      <c r="D510" s="6">
        <v>41.93</v>
      </c>
      <c r="E510" s="6">
        <v>455</v>
      </c>
    </row>
    <row r="511" spans="1:5" x14ac:dyDescent="0.25">
      <c r="A511" s="6" t="s">
        <v>397</v>
      </c>
      <c r="B511" s="6">
        <v>7.77</v>
      </c>
      <c r="C511" s="6">
        <v>114</v>
      </c>
      <c r="D511" s="6">
        <v>35.92</v>
      </c>
      <c r="E511" s="6">
        <v>411</v>
      </c>
    </row>
    <row r="512" spans="1:5" x14ac:dyDescent="0.25">
      <c r="A512" s="6" t="s">
        <v>443</v>
      </c>
      <c r="B512" s="6">
        <v>5.35</v>
      </c>
      <c r="C512" s="6">
        <v>93</v>
      </c>
      <c r="D512" s="6">
        <v>22.52</v>
      </c>
      <c r="E512" s="6">
        <v>241</v>
      </c>
    </row>
    <row r="513" spans="1:5" x14ac:dyDescent="0.25">
      <c r="A513" s="6" t="s">
        <v>261</v>
      </c>
      <c r="B513" s="6">
        <v>5.52</v>
      </c>
      <c r="C513" s="6">
        <v>92</v>
      </c>
      <c r="D513" s="6">
        <v>11.63</v>
      </c>
      <c r="E513" s="6">
        <v>88</v>
      </c>
    </row>
    <row r="514" spans="1:5" x14ac:dyDescent="0.25">
      <c r="A514" s="6" t="s">
        <v>718</v>
      </c>
      <c r="B514" s="6">
        <v>2.89</v>
      </c>
      <c r="C514" s="6">
        <v>53</v>
      </c>
      <c r="D514" s="6">
        <v>20.62</v>
      </c>
      <c r="E514" s="6">
        <v>196</v>
      </c>
    </row>
    <row r="515" spans="1:5" x14ac:dyDescent="0.25">
      <c r="A515" s="6" t="s">
        <v>825</v>
      </c>
      <c r="B515" s="6">
        <v>30.79</v>
      </c>
      <c r="C515" s="6">
        <v>157</v>
      </c>
      <c r="D515" s="6">
        <v>82.34</v>
      </c>
      <c r="E515" s="6">
        <v>503</v>
      </c>
    </row>
    <row r="516" spans="1:5" x14ac:dyDescent="0.25">
      <c r="A516" s="6" t="s">
        <v>50</v>
      </c>
      <c r="B516" s="6">
        <v>11.79</v>
      </c>
      <c r="C516" s="6">
        <v>132</v>
      </c>
      <c r="D516" s="6">
        <v>43.81</v>
      </c>
      <c r="E516" s="6">
        <v>346</v>
      </c>
    </row>
    <row r="517" spans="1:5" x14ac:dyDescent="0.25">
      <c r="A517" s="6" t="s">
        <v>826</v>
      </c>
      <c r="B517" s="6">
        <v>12.53</v>
      </c>
      <c r="C517" s="6">
        <v>134</v>
      </c>
      <c r="D517" s="6">
        <v>41.2</v>
      </c>
      <c r="E517" s="6">
        <v>286</v>
      </c>
    </row>
    <row r="518" spans="1:5" x14ac:dyDescent="0.25">
      <c r="A518" s="6" t="s">
        <v>120</v>
      </c>
      <c r="B518" s="6">
        <v>3.64</v>
      </c>
      <c r="C518" s="6">
        <v>60</v>
      </c>
      <c r="D518" s="6">
        <v>20.69</v>
      </c>
      <c r="E518" s="6">
        <v>176</v>
      </c>
    </row>
    <row r="519" spans="1:5" x14ac:dyDescent="0.25">
      <c r="A519" s="6" t="s">
        <v>79</v>
      </c>
      <c r="B519" s="6">
        <v>13.48</v>
      </c>
      <c r="C519" s="6">
        <v>136</v>
      </c>
      <c r="D519" s="6">
        <v>56.91</v>
      </c>
      <c r="E519" s="6">
        <v>428</v>
      </c>
    </row>
    <row r="520" spans="1:5" x14ac:dyDescent="0.25">
      <c r="A520" s="6" t="s">
        <v>662</v>
      </c>
      <c r="B520" s="6">
        <v>2.95</v>
      </c>
      <c r="C520" s="6">
        <v>58</v>
      </c>
      <c r="D520" s="6">
        <v>23.05</v>
      </c>
      <c r="E520" s="6">
        <v>230</v>
      </c>
    </row>
    <row r="521" spans="1:5" x14ac:dyDescent="0.25">
      <c r="A521" s="6" t="s">
        <v>333</v>
      </c>
      <c r="B521" s="6">
        <v>2.35</v>
      </c>
      <c r="C521" s="6">
        <v>38</v>
      </c>
      <c r="D521" s="6">
        <v>7.14</v>
      </c>
      <c r="E521" s="6">
        <v>40</v>
      </c>
    </row>
    <row r="522" spans="1:5" x14ac:dyDescent="0.25">
      <c r="A522" s="6" t="s">
        <v>67</v>
      </c>
      <c r="B522" s="6">
        <v>7.13</v>
      </c>
      <c r="C522" s="6">
        <v>96</v>
      </c>
      <c r="D522" s="6">
        <v>20.149999999999999</v>
      </c>
      <c r="E522" s="6">
        <v>202</v>
      </c>
    </row>
    <row r="523" spans="1:5" x14ac:dyDescent="0.25">
      <c r="A523" s="6" t="s">
        <v>225</v>
      </c>
      <c r="B523" s="6">
        <v>7.01</v>
      </c>
      <c r="C523" s="6">
        <v>95</v>
      </c>
      <c r="D523" s="6">
        <v>60.06</v>
      </c>
      <c r="E523" s="6">
        <v>662</v>
      </c>
    </row>
    <row r="524" spans="1:5" x14ac:dyDescent="0.25">
      <c r="A524" s="6" t="s">
        <v>591</v>
      </c>
      <c r="B524" s="6">
        <v>8.5500000000000007</v>
      </c>
      <c r="C524" s="6">
        <v>106</v>
      </c>
      <c r="D524" s="6">
        <v>28.32</v>
      </c>
      <c r="E524" s="6">
        <v>370</v>
      </c>
    </row>
    <row r="525" spans="1:5" x14ac:dyDescent="0.25">
      <c r="A525" s="6" t="s">
        <v>827</v>
      </c>
      <c r="B525" s="6">
        <v>6.54</v>
      </c>
      <c r="C525" s="6">
        <v>122</v>
      </c>
      <c r="D525" s="6">
        <v>27.9</v>
      </c>
      <c r="E525" s="6">
        <v>323</v>
      </c>
    </row>
    <row r="526" spans="1:5" x14ac:dyDescent="0.25">
      <c r="A526" s="6" t="s">
        <v>440</v>
      </c>
      <c r="B526" s="6">
        <v>3.53</v>
      </c>
      <c r="C526" s="6">
        <v>65</v>
      </c>
      <c r="D526" s="6">
        <v>21.46</v>
      </c>
      <c r="E526" s="6">
        <v>249</v>
      </c>
    </row>
    <row r="527" spans="1:5" x14ac:dyDescent="0.25">
      <c r="A527" s="6" t="s">
        <v>126</v>
      </c>
      <c r="B527" s="6">
        <v>5.34</v>
      </c>
      <c r="C527" s="6">
        <v>87</v>
      </c>
      <c r="D527" s="6">
        <v>25.23</v>
      </c>
      <c r="E527" s="6">
        <v>246</v>
      </c>
    </row>
    <row r="528" spans="1:5" x14ac:dyDescent="0.25">
      <c r="A528" s="6" t="s">
        <v>702</v>
      </c>
      <c r="B528" s="6">
        <v>8.39</v>
      </c>
      <c r="C528" s="6">
        <v>108</v>
      </c>
      <c r="D528" s="6">
        <v>28.93</v>
      </c>
      <c r="E528" s="6">
        <v>315</v>
      </c>
    </row>
    <row r="529" spans="1:5" x14ac:dyDescent="0.25">
      <c r="A529" s="6" t="s">
        <v>107</v>
      </c>
      <c r="B529" s="6">
        <v>19.84</v>
      </c>
      <c r="C529" s="6">
        <v>177</v>
      </c>
      <c r="D529" s="6">
        <v>29.49</v>
      </c>
      <c r="E529" s="6">
        <v>177</v>
      </c>
    </row>
    <row r="530" spans="1:5" x14ac:dyDescent="0.25">
      <c r="A530" s="6" t="s">
        <v>42</v>
      </c>
      <c r="B530" s="6">
        <v>14.08</v>
      </c>
      <c r="C530" s="6">
        <v>155</v>
      </c>
      <c r="D530" s="6">
        <v>39.82</v>
      </c>
      <c r="E530" s="6">
        <v>447</v>
      </c>
    </row>
    <row r="531" spans="1:5" x14ac:dyDescent="0.25">
      <c r="A531" s="6" t="s">
        <v>724</v>
      </c>
      <c r="B531" s="6">
        <v>5.34</v>
      </c>
      <c r="C531" s="6">
        <v>96</v>
      </c>
      <c r="D531" s="6">
        <v>31.77</v>
      </c>
      <c r="E531" s="6">
        <v>285</v>
      </c>
    </row>
    <row r="532" spans="1:5" x14ac:dyDescent="0.25">
      <c r="A532" s="6" t="s">
        <v>828</v>
      </c>
      <c r="B532" s="6">
        <v>15.79</v>
      </c>
      <c r="C532" s="6">
        <v>232</v>
      </c>
      <c r="D532" s="6">
        <v>41.84</v>
      </c>
      <c r="E532" s="6">
        <v>409</v>
      </c>
    </row>
    <row r="533" spans="1:5" x14ac:dyDescent="0.25">
      <c r="A533" s="6" t="s">
        <v>741</v>
      </c>
      <c r="B533" s="6">
        <v>5.96</v>
      </c>
      <c r="C533" s="6">
        <v>87</v>
      </c>
      <c r="D533" s="6">
        <v>31.26</v>
      </c>
      <c r="E533" s="6">
        <v>302</v>
      </c>
    </row>
    <row r="534" spans="1:5" x14ac:dyDescent="0.25">
      <c r="A534" s="6" t="s">
        <v>738</v>
      </c>
      <c r="B534" s="6">
        <v>2.81</v>
      </c>
      <c r="C534" s="6">
        <v>60</v>
      </c>
      <c r="D534" s="6">
        <v>15.91</v>
      </c>
      <c r="E534" s="6">
        <v>154</v>
      </c>
    </row>
    <row r="535" spans="1:5" x14ac:dyDescent="0.25">
      <c r="A535" s="6" t="s">
        <v>543</v>
      </c>
      <c r="B535" s="6">
        <v>16.690000000000001</v>
      </c>
      <c r="C535" s="6">
        <v>185</v>
      </c>
      <c r="D535" s="6">
        <v>44.29</v>
      </c>
      <c r="E535" s="6">
        <v>349</v>
      </c>
    </row>
    <row r="536" spans="1:5" x14ac:dyDescent="0.25">
      <c r="A536" s="6" t="s">
        <v>737</v>
      </c>
      <c r="B536" s="6">
        <v>10.050000000000001</v>
      </c>
      <c r="C536" s="6">
        <v>126</v>
      </c>
      <c r="D536" s="6">
        <v>29.28</v>
      </c>
      <c r="E536" s="6">
        <v>235</v>
      </c>
    </row>
    <row r="537" spans="1:5" x14ac:dyDescent="0.25">
      <c r="A537" s="6" t="s">
        <v>714</v>
      </c>
      <c r="B537" s="6">
        <v>18.09</v>
      </c>
      <c r="C537" s="6">
        <v>162</v>
      </c>
      <c r="D537" s="6">
        <v>33.06</v>
      </c>
      <c r="E537" s="6">
        <v>268</v>
      </c>
    </row>
    <row r="538" spans="1:5" x14ac:dyDescent="0.25">
      <c r="A538" s="6" t="s">
        <v>383</v>
      </c>
      <c r="B538" s="6">
        <v>9.8000000000000007</v>
      </c>
      <c r="C538" s="6">
        <v>126</v>
      </c>
      <c r="D538" s="6">
        <v>24.74</v>
      </c>
      <c r="E538" s="6">
        <v>204</v>
      </c>
    </row>
    <row r="539" spans="1:5" x14ac:dyDescent="0.25">
      <c r="A539" s="6" t="s">
        <v>97</v>
      </c>
      <c r="B539" s="6">
        <v>5.69</v>
      </c>
      <c r="C539" s="6">
        <v>91</v>
      </c>
      <c r="D539" s="6">
        <v>46.72</v>
      </c>
      <c r="E539" s="6">
        <v>436</v>
      </c>
    </row>
    <row r="540" spans="1:5" x14ac:dyDescent="0.25">
      <c r="A540" s="6" t="s">
        <v>829</v>
      </c>
      <c r="B540" s="6">
        <v>4.87</v>
      </c>
      <c r="C540" s="6">
        <v>70</v>
      </c>
      <c r="D540" s="6">
        <v>20.99</v>
      </c>
      <c r="E540" s="6">
        <v>237</v>
      </c>
    </row>
    <row r="541" spans="1:5" x14ac:dyDescent="0.25">
      <c r="A541" s="6" t="s">
        <v>196</v>
      </c>
      <c r="B541" s="6">
        <v>2.65</v>
      </c>
      <c r="C541" s="6">
        <v>57</v>
      </c>
      <c r="D541" s="6">
        <v>13.65</v>
      </c>
      <c r="E541" s="6">
        <v>147</v>
      </c>
    </row>
    <row r="542" spans="1:5" x14ac:dyDescent="0.25">
      <c r="A542" s="6" t="s">
        <v>830</v>
      </c>
      <c r="B542" s="6">
        <v>30.1</v>
      </c>
      <c r="C542" s="6">
        <v>250</v>
      </c>
      <c r="D542" s="6">
        <v>62.35</v>
      </c>
      <c r="E542" s="6">
        <v>459</v>
      </c>
    </row>
    <row r="543" spans="1:5" x14ac:dyDescent="0.25">
      <c r="A543" s="6" t="s">
        <v>831</v>
      </c>
      <c r="B543" s="6">
        <v>22.81</v>
      </c>
      <c r="C543" s="6">
        <v>255</v>
      </c>
      <c r="D543" s="6">
        <v>24.76</v>
      </c>
      <c r="E543" s="6">
        <v>205</v>
      </c>
    </row>
    <row r="544" spans="1:5" x14ac:dyDescent="0.25">
      <c r="A544" s="6" t="s">
        <v>129</v>
      </c>
      <c r="B544" s="6">
        <v>5.74</v>
      </c>
      <c r="C544" s="6">
        <v>95</v>
      </c>
      <c r="D544" s="6">
        <v>33.81</v>
      </c>
      <c r="E544" s="6">
        <v>361</v>
      </c>
    </row>
    <row r="545" spans="1:5" x14ac:dyDescent="0.25">
      <c r="A545" s="6" t="s">
        <v>228</v>
      </c>
      <c r="B545" s="6">
        <v>3.07</v>
      </c>
      <c r="C545" s="6">
        <v>53</v>
      </c>
      <c r="D545" s="6">
        <v>20.56</v>
      </c>
      <c r="E545" s="6">
        <v>216</v>
      </c>
    </row>
    <row r="546" spans="1:5" x14ac:dyDescent="0.25">
      <c r="A546" s="6" t="s">
        <v>658</v>
      </c>
      <c r="B546" s="6">
        <v>37.42</v>
      </c>
      <c r="C546" s="6">
        <v>288</v>
      </c>
      <c r="D546" s="6">
        <v>68.13</v>
      </c>
      <c r="E546" s="6">
        <v>488</v>
      </c>
    </row>
    <row r="547" spans="1:5" x14ac:dyDescent="0.25">
      <c r="A547" s="6" t="s">
        <v>617</v>
      </c>
      <c r="B547" s="6">
        <v>4.1500000000000004</v>
      </c>
      <c r="C547" s="6">
        <v>74</v>
      </c>
      <c r="D547" s="6">
        <v>41.89</v>
      </c>
      <c r="E547" s="6">
        <v>464</v>
      </c>
    </row>
    <row r="548" spans="1:5" x14ac:dyDescent="0.25">
      <c r="A548" s="6" t="s">
        <v>59</v>
      </c>
      <c r="B548" s="6">
        <v>3.84</v>
      </c>
      <c r="C548" s="6">
        <v>64</v>
      </c>
      <c r="D548" s="6">
        <v>27.81</v>
      </c>
      <c r="E548" s="6">
        <v>319</v>
      </c>
    </row>
    <row r="549" spans="1:5" x14ac:dyDescent="0.25">
      <c r="A549" s="6" t="s">
        <v>832</v>
      </c>
      <c r="B549" s="6">
        <v>22.72</v>
      </c>
      <c r="C549" s="6">
        <v>139</v>
      </c>
      <c r="D549" s="6">
        <v>67.599999999999994</v>
      </c>
      <c r="E549" s="6">
        <v>478</v>
      </c>
    </row>
    <row r="550" spans="1:5" x14ac:dyDescent="0.25">
      <c r="A550" s="6" t="s">
        <v>833</v>
      </c>
      <c r="B550" s="6">
        <v>35.72</v>
      </c>
      <c r="C550" s="6">
        <v>418</v>
      </c>
      <c r="D550" s="6">
        <v>40.68</v>
      </c>
      <c r="E550" s="6">
        <v>374</v>
      </c>
    </row>
    <row r="551" spans="1:5" x14ac:dyDescent="0.25">
      <c r="A551" s="6" t="s">
        <v>39</v>
      </c>
      <c r="B551" s="6">
        <v>7.02</v>
      </c>
      <c r="C551" s="6">
        <v>104</v>
      </c>
      <c r="D551" s="6">
        <v>20.53</v>
      </c>
      <c r="E551" s="6">
        <v>179</v>
      </c>
    </row>
    <row r="552" spans="1:5" x14ac:dyDescent="0.25">
      <c r="A552" s="6" t="s">
        <v>713</v>
      </c>
      <c r="B552" s="6">
        <v>51.48</v>
      </c>
      <c r="C552" s="6">
        <v>271</v>
      </c>
      <c r="D552" s="6">
        <v>52.77</v>
      </c>
      <c r="E552" s="6">
        <v>320</v>
      </c>
    </row>
    <row r="553" spans="1:5" x14ac:dyDescent="0.25">
      <c r="A553" s="6" t="s">
        <v>188</v>
      </c>
      <c r="B553" s="6">
        <v>6.93</v>
      </c>
      <c r="C553" s="6">
        <v>104</v>
      </c>
      <c r="D553" s="6">
        <v>25.25</v>
      </c>
      <c r="E553" s="6">
        <v>202</v>
      </c>
    </row>
    <row r="554" spans="1:5" x14ac:dyDescent="0.25">
      <c r="A554" s="6" t="s">
        <v>689</v>
      </c>
      <c r="B554" s="6">
        <v>6.49</v>
      </c>
      <c r="C554" s="6">
        <v>87</v>
      </c>
      <c r="D554" s="6">
        <v>27.14</v>
      </c>
      <c r="E554" s="6">
        <v>199</v>
      </c>
    </row>
    <row r="555" spans="1:5" x14ac:dyDescent="0.25">
      <c r="A555" s="6" t="s">
        <v>834</v>
      </c>
      <c r="B555" s="6">
        <v>5.13</v>
      </c>
      <c r="C555" s="6">
        <v>82</v>
      </c>
      <c r="D555" s="6">
        <v>30.43</v>
      </c>
      <c r="E555" s="6">
        <v>335</v>
      </c>
    </row>
    <row r="556" spans="1:5" x14ac:dyDescent="0.25">
      <c r="A556" s="6" t="s">
        <v>559</v>
      </c>
      <c r="B556" s="6">
        <v>4.46</v>
      </c>
      <c r="C556" s="6">
        <v>79</v>
      </c>
      <c r="D556" s="6">
        <v>49.11</v>
      </c>
      <c r="E556" s="6">
        <v>472</v>
      </c>
    </row>
    <row r="557" spans="1:5" x14ac:dyDescent="0.25">
      <c r="A557" s="6" t="s">
        <v>370</v>
      </c>
      <c r="B557" s="6">
        <v>6.42</v>
      </c>
      <c r="C557" s="6">
        <v>97</v>
      </c>
      <c r="D557" s="6">
        <v>14.97</v>
      </c>
      <c r="E557" s="6">
        <v>133</v>
      </c>
    </row>
    <row r="558" spans="1:5" x14ac:dyDescent="0.25">
      <c r="A558" s="6" t="s">
        <v>835</v>
      </c>
      <c r="B558" s="6">
        <v>21.05</v>
      </c>
      <c r="C558" s="6">
        <v>186</v>
      </c>
      <c r="D558" s="6">
        <v>33.68</v>
      </c>
      <c r="E558" s="6">
        <v>261</v>
      </c>
    </row>
    <row r="559" spans="1:5" x14ac:dyDescent="0.25">
      <c r="A559" s="6" t="s">
        <v>548</v>
      </c>
      <c r="B559" s="6">
        <v>3.35</v>
      </c>
      <c r="C559" s="6">
        <v>60</v>
      </c>
      <c r="D559" s="6">
        <v>17.07</v>
      </c>
      <c r="E559" s="6">
        <v>176</v>
      </c>
    </row>
    <row r="560" spans="1:5" x14ac:dyDescent="0.25">
      <c r="A560" s="6" t="s">
        <v>131</v>
      </c>
      <c r="B560" s="6">
        <v>13.91</v>
      </c>
      <c r="C560" s="6">
        <v>151</v>
      </c>
      <c r="D560" s="6">
        <v>41.95</v>
      </c>
      <c r="E560" s="6">
        <v>296</v>
      </c>
    </row>
    <row r="561" spans="1:5" x14ac:dyDescent="0.25">
      <c r="A561" s="6" t="s">
        <v>584</v>
      </c>
      <c r="B561" s="6">
        <v>8.85</v>
      </c>
      <c r="C561" s="6">
        <v>126</v>
      </c>
      <c r="D561" s="6">
        <v>23.56</v>
      </c>
      <c r="E561" s="6">
        <v>242</v>
      </c>
    </row>
    <row r="562" spans="1:5" x14ac:dyDescent="0.25">
      <c r="A562" s="6" t="s">
        <v>312</v>
      </c>
      <c r="B562" s="6">
        <v>8.33</v>
      </c>
      <c r="C562" s="6">
        <v>120</v>
      </c>
      <c r="D562" s="6">
        <v>27.03</v>
      </c>
      <c r="E562" s="6">
        <v>364</v>
      </c>
    </row>
    <row r="563" spans="1:5" x14ac:dyDescent="0.25">
      <c r="A563" s="6" t="s">
        <v>221</v>
      </c>
      <c r="B563" s="6">
        <v>2.91</v>
      </c>
      <c r="C563" s="6">
        <v>49</v>
      </c>
      <c r="D563" s="6">
        <v>15.92</v>
      </c>
      <c r="E563" s="6">
        <v>175</v>
      </c>
    </row>
    <row r="564" spans="1:5" x14ac:dyDescent="0.25">
      <c r="A564" s="6" t="s">
        <v>733</v>
      </c>
      <c r="B564" s="6">
        <v>20.61</v>
      </c>
      <c r="C564" s="6">
        <v>134</v>
      </c>
      <c r="D564" s="6">
        <v>44.58</v>
      </c>
      <c r="E564" s="6">
        <v>327</v>
      </c>
    </row>
    <row r="565" spans="1:5" x14ac:dyDescent="0.25">
      <c r="A565" s="6" t="s">
        <v>582</v>
      </c>
      <c r="B565" s="6">
        <v>19.95</v>
      </c>
      <c r="C565" s="6">
        <v>198</v>
      </c>
      <c r="D565" s="6">
        <v>51.06</v>
      </c>
      <c r="E565" s="6">
        <v>488</v>
      </c>
    </row>
    <row r="566" spans="1:5" x14ac:dyDescent="0.25">
      <c r="A566" s="6" t="s">
        <v>15</v>
      </c>
      <c r="B566" s="6">
        <v>7.47</v>
      </c>
      <c r="C566" s="6">
        <v>110</v>
      </c>
      <c r="D566" s="6">
        <v>30.1</v>
      </c>
      <c r="E566" s="6">
        <v>324</v>
      </c>
    </row>
    <row r="567" spans="1:5" x14ac:dyDescent="0.25">
      <c r="A567" s="6" t="s">
        <v>836</v>
      </c>
      <c r="B567" s="6">
        <v>7.19</v>
      </c>
      <c r="C567" s="6">
        <v>97</v>
      </c>
      <c r="D567" s="6">
        <v>29.91</v>
      </c>
      <c r="E567" s="6">
        <v>328</v>
      </c>
    </row>
    <row r="568" spans="1:5" x14ac:dyDescent="0.25">
      <c r="A568" s="6" t="s">
        <v>400</v>
      </c>
      <c r="B568" s="6">
        <v>22.54</v>
      </c>
      <c r="C568" s="6">
        <v>199</v>
      </c>
      <c r="D568" s="6">
        <v>51.52</v>
      </c>
      <c r="E568" s="6">
        <v>379</v>
      </c>
    </row>
    <row r="569" spans="1:5" x14ac:dyDescent="0.25">
      <c r="A569" s="6" t="s">
        <v>352</v>
      </c>
      <c r="B569" s="6">
        <v>7.74</v>
      </c>
      <c r="C569" s="6">
        <v>108</v>
      </c>
      <c r="D569" s="6">
        <v>18.239999999999998</v>
      </c>
      <c r="E569" s="6">
        <v>138</v>
      </c>
    </row>
    <row r="570" spans="1:5" x14ac:dyDescent="0.25">
      <c r="A570" s="6" t="s">
        <v>315</v>
      </c>
      <c r="B570" s="6">
        <v>10.8</v>
      </c>
      <c r="C570" s="6">
        <v>151</v>
      </c>
      <c r="D570" s="6">
        <v>43.19</v>
      </c>
      <c r="E570" s="6">
        <v>373</v>
      </c>
    </row>
    <row r="571" spans="1:5" x14ac:dyDescent="0.25">
      <c r="A571" s="6" t="s">
        <v>600</v>
      </c>
      <c r="B571" s="6">
        <v>4.37</v>
      </c>
      <c r="C571" s="6">
        <v>80</v>
      </c>
      <c r="D571" s="6">
        <v>22.14</v>
      </c>
      <c r="E571" s="6">
        <v>198</v>
      </c>
    </row>
    <row r="572" spans="1:5" x14ac:dyDescent="0.25">
      <c r="A572" s="6" t="s">
        <v>262</v>
      </c>
      <c r="B572" s="6">
        <v>11.99</v>
      </c>
      <c r="C572" s="6">
        <v>137</v>
      </c>
      <c r="D572" s="6">
        <v>42.34</v>
      </c>
      <c r="E572" s="6">
        <v>371</v>
      </c>
    </row>
    <row r="573" spans="1:5" x14ac:dyDescent="0.25">
      <c r="A573" s="6" t="s">
        <v>837</v>
      </c>
      <c r="B573" s="6">
        <v>4.58</v>
      </c>
      <c r="C573" s="6">
        <v>74</v>
      </c>
      <c r="D573" s="6">
        <v>35.729999999999997</v>
      </c>
      <c r="E573" s="6">
        <v>347</v>
      </c>
    </row>
    <row r="574" spans="1:5" x14ac:dyDescent="0.25">
      <c r="A574" s="6" t="s">
        <v>128</v>
      </c>
      <c r="B574" s="6">
        <v>17.899999999999999</v>
      </c>
      <c r="C574" s="6">
        <v>161</v>
      </c>
      <c r="D574" s="6">
        <v>41.33</v>
      </c>
      <c r="E574" s="6">
        <v>306</v>
      </c>
    </row>
    <row r="575" spans="1:5" x14ac:dyDescent="0.25">
      <c r="A575" s="6" t="s">
        <v>329</v>
      </c>
      <c r="B575" s="6">
        <v>6.46</v>
      </c>
      <c r="C575" s="6">
        <v>106</v>
      </c>
      <c r="D575" s="6">
        <v>26.42</v>
      </c>
      <c r="E575" s="6">
        <v>233</v>
      </c>
    </row>
    <row r="576" spans="1:5" x14ac:dyDescent="0.25">
      <c r="A576" s="6" t="s">
        <v>674</v>
      </c>
      <c r="B576" s="6">
        <v>7.57</v>
      </c>
      <c r="C576" s="6">
        <v>101</v>
      </c>
      <c r="D576" s="6">
        <v>34.96</v>
      </c>
      <c r="E576" s="6">
        <v>265</v>
      </c>
    </row>
    <row r="577" spans="1:5" x14ac:dyDescent="0.25">
      <c r="A577" s="6" t="s">
        <v>163</v>
      </c>
      <c r="B577" s="6">
        <v>3.05</v>
      </c>
      <c r="C577" s="6">
        <v>59</v>
      </c>
      <c r="D577" s="6">
        <v>31.17</v>
      </c>
      <c r="E577" s="6">
        <v>317</v>
      </c>
    </row>
    <row r="578" spans="1:5" x14ac:dyDescent="0.25">
      <c r="A578" s="6" t="s">
        <v>476</v>
      </c>
      <c r="B578" s="6">
        <v>3.56</v>
      </c>
      <c r="C578" s="6">
        <v>59</v>
      </c>
      <c r="D578" s="6">
        <v>15.25</v>
      </c>
      <c r="E578" s="6">
        <v>126</v>
      </c>
    </row>
    <row r="579" spans="1:5" x14ac:dyDescent="0.25">
      <c r="A579" s="6" t="s">
        <v>587</v>
      </c>
      <c r="B579" s="6">
        <v>10.130000000000001</v>
      </c>
      <c r="C579" s="6">
        <v>122</v>
      </c>
      <c r="D579" s="6">
        <v>32.799999999999997</v>
      </c>
      <c r="E579" s="6">
        <v>260</v>
      </c>
    </row>
    <row r="580" spans="1:5" x14ac:dyDescent="0.25">
      <c r="A580" s="6" t="s">
        <v>83</v>
      </c>
      <c r="B580" s="6">
        <v>5.13</v>
      </c>
      <c r="C580" s="6">
        <v>84</v>
      </c>
      <c r="D580" s="6">
        <v>15.75</v>
      </c>
      <c r="E580" s="6">
        <v>144</v>
      </c>
    </row>
    <row r="581" spans="1:5" x14ac:dyDescent="0.25">
      <c r="A581" s="6" t="s">
        <v>81</v>
      </c>
      <c r="B581" s="6">
        <v>2.35</v>
      </c>
      <c r="C581" s="6">
        <v>38</v>
      </c>
      <c r="D581" s="6">
        <v>4.99</v>
      </c>
      <c r="E581" s="6">
        <v>35</v>
      </c>
    </row>
    <row r="582" spans="1:5" x14ac:dyDescent="0.25">
      <c r="A582" s="6" t="s">
        <v>540</v>
      </c>
      <c r="B582" s="6">
        <v>1.25</v>
      </c>
      <c r="C582" s="6">
        <v>32</v>
      </c>
      <c r="D582" s="6">
        <v>23.05</v>
      </c>
      <c r="E582" s="6">
        <v>296</v>
      </c>
    </row>
    <row r="583" spans="1:5" x14ac:dyDescent="0.25">
      <c r="A583" s="6" t="s">
        <v>354</v>
      </c>
      <c r="B583" s="6">
        <v>5.37</v>
      </c>
      <c r="C583" s="6">
        <v>86</v>
      </c>
      <c r="D583" s="6">
        <v>35.1</v>
      </c>
      <c r="E583" s="6">
        <v>387</v>
      </c>
    </row>
    <row r="584" spans="1:5" x14ac:dyDescent="0.25">
      <c r="A584" s="6" t="s">
        <v>478</v>
      </c>
      <c r="B584" s="6">
        <v>1.73</v>
      </c>
      <c r="C584" s="6">
        <v>42</v>
      </c>
      <c r="D584" s="6">
        <v>11.72</v>
      </c>
      <c r="E584" s="6">
        <v>128</v>
      </c>
    </row>
    <row r="585" spans="1:5" x14ac:dyDescent="0.25">
      <c r="A585" s="6" t="s">
        <v>2</v>
      </c>
      <c r="B585" s="6">
        <v>5.51</v>
      </c>
      <c r="C585" s="6">
        <v>72</v>
      </c>
      <c r="D585" s="6">
        <v>33.07</v>
      </c>
      <c r="E585" s="6">
        <v>412</v>
      </c>
    </row>
    <row r="586" spans="1:5" x14ac:dyDescent="0.25">
      <c r="A586" s="6" t="s">
        <v>172</v>
      </c>
      <c r="B586" s="6">
        <v>13.24</v>
      </c>
      <c r="C586" s="6">
        <v>135</v>
      </c>
      <c r="D586" s="6">
        <v>24.71</v>
      </c>
      <c r="E586" s="6">
        <v>148</v>
      </c>
    </row>
    <row r="587" spans="1:5" x14ac:dyDescent="0.25">
      <c r="A587" s="6" t="s">
        <v>361</v>
      </c>
      <c r="B587" s="6">
        <v>2.82</v>
      </c>
      <c r="C587" s="6">
        <v>53</v>
      </c>
      <c r="D587" s="6">
        <v>16.14</v>
      </c>
      <c r="E587" s="6">
        <v>171</v>
      </c>
    </row>
    <row r="588" spans="1:5" x14ac:dyDescent="0.25">
      <c r="A588" s="6" t="s">
        <v>250</v>
      </c>
      <c r="B588" s="6">
        <v>6.73</v>
      </c>
      <c r="C588" s="6">
        <v>100</v>
      </c>
      <c r="D588" s="6">
        <v>25.17</v>
      </c>
      <c r="E588" s="6">
        <v>270</v>
      </c>
    </row>
    <row r="589" spans="1:5" x14ac:dyDescent="0.25">
      <c r="A589" s="6" t="s">
        <v>263</v>
      </c>
      <c r="B589" s="6">
        <v>14.57</v>
      </c>
      <c r="C589" s="6">
        <v>155</v>
      </c>
      <c r="D589" s="6">
        <v>46.25</v>
      </c>
      <c r="E589" s="6">
        <v>519</v>
      </c>
    </row>
    <row r="590" spans="1:5" x14ac:dyDescent="0.25">
      <c r="A590" s="6" t="s">
        <v>355</v>
      </c>
      <c r="B590" s="6">
        <v>8</v>
      </c>
      <c r="C590" s="6">
        <v>107</v>
      </c>
      <c r="D590" s="6">
        <v>39.1</v>
      </c>
      <c r="E590" s="6">
        <v>309</v>
      </c>
    </row>
    <row r="591" spans="1:5" x14ac:dyDescent="0.25">
      <c r="A591" s="6" t="s">
        <v>838</v>
      </c>
      <c r="B591" s="6">
        <v>1.98</v>
      </c>
      <c r="C591" s="6">
        <v>43</v>
      </c>
      <c r="D591" s="6">
        <v>20.94</v>
      </c>
      <c r="E591" s="6">
        <v>247</v>
      </c>
    </row>
    <row r="592" spans="1:5" x14ac:dyDescent="0.25">
      <c r="A592" s="6" t="s">
        <v>634</v>
      </c>
      <c r="B592" s="6">
        <v>7.51</v>
      </c>
      <c r="C592" s="6">
        <v>113</v>
      </c>
      <c r="D592" s="6">
        <v>25.41</v>
      </c>
      <c r="E592" s="6">
        <v>261</v>
      </c>
    </row>
    <row r="593" spans="1:5" x14ac:dyDescent="0.25">
      <c r="A593" s="6" t="s">
        <v>532</v>
      </c>
      <c r="B593" s="6">
        <v>2.48</v>
      </c>
      <c r="C593" s="6">
        <v>49</v>
      </c>
      <c r="D593" s="6">
        <v>27.96</v>
      </c>
      <c r="E593" s="6">
        <v>271</v>
      </c>
    </row>
    <row r="594" spans="1:5" x14ac:dyDescent="0.25">
      <c r="A594" s="6" t="s">
        <v>194</v>
      </c>
      <c r="B594" s="6">
        <v>13.71</v>
      </c>
      <c r="C594" s="6">
        <v>165</v>
      </c>
      <c r="D594" s="6">
        <v>34.08</v>
      </c>
      <c r="E594" s="6">
        <v>227</v>
      </c>
    </row>
    <row r="595" spans="1:5" x14ac:dyDescent="0.25">
      <c r="A595" s="6" t="s">
        <v>525</v>
      </c>
      <c r="B595" s="6">
        <v>6.77</v>
      </c>
      <c r="C595" s="6">
        <v>96</v>
      </c>
      <c r="D595" s="6">
        <v>26.85</v>
      </c>
      <c r="E595" s="6">
        <v>299</v>
      </c>
    </row>
    <row r="596" spans="1:5" x14ac:dyDescent="0.25">
      <c r="A596" s="6" t="s">
        <v>839</v>
      </c>
      <c r="B596" s="6">
        <v>6.94</v>
      </c>
      <c r="C596" s="6">
        <v>96</v>
      </c>
      <c r="D596" s="6">
        <v>30.35</v>
      </c>
      <c r="E596" s="6">
        <v>280</v>
      </c>
    </row>
    <row r="597" spans="1:5" x14ac:dyDescent="0.25">
      <c r="A597" s="6" t="s">
        <v>190</v>
      </c>
      <c r="B597" s="6">
        <v>6.6</v>
      </c>
      <c r="C597" s="6">
        <v>90</v>
      </c>
      <c r="D597" s="6">
        <v>17.850000000000001</v>
      </c>
      <c r="E597" s="6">
        <v>114</v>
      </c>
    </row>
    <row r="598" spans="1:5" x14ac:dyDescent="0.25">
      <c r="A598" s="6" t="s">
        <v>840</v>
      </c>
      <c r="B598" s="6">
        <v>6.61</v>
      </c>
      <c r="C598" s="6">
        <v>90</v>
      </c>
      <c r="D598" s="6">
        <v>37.32</v>
      </c>
      <c r="E598" s="6">
        <v>330</v>
      </c>
    </row>
    <row r="599" spans="1:5" x14ac:dyDescent="0.25">
      <c r="A599" s="6" t="s">
        <v>556</v>
      </c>
      <c r="B599" s="6">
        <v>11.69</v>
      </c>
      <c r="C599" s="6">
        <v>132</v>
      </c>
      <c r="D599" s="6">
        <v>25.03</v>
      </c>
      <c r="E599" s="6">
        <v>222</v>
      </c>
    </row>
    <row r="600" spans="1:5" x14ac:dyDescent="0.25">
      <c r="A600" s="6" t="s">
        <v>197</v>
      </c>
      <c r="B600" s="6">
        <v>4.6900000000000004</v>
      </c>
      <c r="C600" s="6">
        <v>73</v>
      </c>
      <c r="D600" s="6">
        <v>21.8</v>
      </c>
      <c r="E600" s="6">
        <v>166</v>
      </c>
    </row>
    <row r="601" spans="1:5" x14ac:dyDescent="0.25">
      <c r="A601" s="6" t="s">
        <v>593</v>
      </c>
      <c r="B601" s="6">
        <v>6.78</v>
      </c>
      <c r="C601" s="6">
        <v>95</v>
      </c>
      <c r="D601" s="6">
        <v>48.97</v>
      </c>
      <c r="E601" s="6">
        <v>419</v>
      </c>
    </row>
    <row r="602" spans="1:5" x14ac:dyDescent="0.25">
      <c r="A602" s="6" t="s">
        <v>667</v>
      </c>
      <c r="B602" s="6">
        <v>3.89</v>
      </c>
      <c r="C602" s="6">
        <v>66</v>
      </c>
      <c r="D602" s="6">
        <v>12.63</v>
      </c>
      <c r="E602" s="6">
        <v>93</v>
      </c>
    </row>
    <row r="603" spans="1:5" x14ac:dyDescent="0.25">
      <c r="A603" s="6" t="s">
        <v>253</v>
      </c>
      <c r="B603" s="6">
        <v>8.61</v>
      </c>
      <c r="C603" s="6">
        <v>109</v>
      </c>
      <c r="D603" s="6">
        <v>35.799999999999997</v>
      </c>
      <c r="E603" s="6">
        <v>351</v>
      </c>
    </row>
    <row r="604" spans="1:5" x14ac:dyDescent="0.25">
      <c r="A604" s="6" t="s">
        <v>235</v>
      </c>
      <c r="B604" s="6">
        <v>8.65</v>
      </c>
      <c r="C604" s="6">
        <v>137</v>
      </c>
      <c r="D604" s="6">
        <v>21.77</v>
      </c>
      <c r="E604" s="6">
        <v>177</v>
      </c>
    </row>
    <row r="605" spans="1:5" x14ac:dyDescent="0.25">
      <c r="A605" s="6" t="s">
        <v>641</v>
      </c>
      <c r="B605" s="6">
        <v>18.29</v>
      </c>
      <c r="C605" s="6">
        <v>167</v>
      </c>
      <c r="D605" s="6">
        <v>51.98</v>
      </c>
      <c r="E605" s="6">
        <v>396</v>
      </c>
    </row>
    <row r="606" spans="1:5" x14ac:dyDescent="0.25">
      <c r="A606" s="6" t="s">
        <v>522</v>
      </c>
      <c r="B606" s="6">
        <v>5.75</v>
      </c>
      <c r="C606" s="6">
        <v>93</v>
      </c>
      <c r="D606" s="6">
        <v>17.399999999999999</v>
      </c>
      <c r="E606" s="6">
        <v>172</v>
      </c>
    </row>
    <row r="607" spans="1:5" x14ac:dyDescent="0.25">
      <c r="A607" s="6" t="s">
        <v>25</v>
      </c>
      <c r="B607" s="6">
        <v>7</v>
      </c>
      <c r="C607" s="6">
        <v>96</v>
      </c>
      <c r="D607" s="6">
        <v>42.64</v>
      </c>
      <c r="E607" s="6">
        <v>418</v>
      </c>
    </row>
    <row r="608" spans="1:5" x14ac:dyDescent="0.25">
      <c r="A608" s="6" t="s">
        <v>271</v>
      </c>
      <c r="B608" s="6">
        <v>12.82</v>
      </c>
      <c r="C608" s="6">
        <v>133</v>
      </c>
      <c r="D608" s="6">
        <v>30.83</v>
      </c>
      <c r="E608" s="6">
        <v>284</v>
      </c>
    </row>
    <row r="609" spans="1:5" x14ac:dyDescent="0.25">
      <c r="A609" s="6" t="s">
        <v>446</v>
      </c>
      <c r="B609" s="6">
        <v>10.63</v>
      </c>
      <c r="C609" s="6">
        <v>103</v>
      </c>
      <c r="D609" s="6">
        <v>37.880000000000003</v>
      </c>
      <c r="E609" s="6">
        <v>264</v>
      </c>
    </row>
    <row r="610" spans="1:5" x14ac:dyDescent="0.25">
      <c r="A610" s="6" t="s">
        <v>169</v>
      </c>
      <c r="B610" s="6">
        <v>15.63</v>
      </c>
      <c r="C610" s="6">
        <v>138</v>
      </c>
      <c r="D610" s="6">
        <v>33.94</v>
      </c>
      <c r="E610" s="6">
        <v>226</v>
      </c>
    </row>
    <row r="611" spans="1:5" x14ac:dyDescent="0.25">
      <c r="A611" s="6" t="s">
        <v>841</v>
      </c>
      <c r="B611" s="6">
        <v>5.17</v>
      </c>
      <c r="C611" s="6">
        <v>94</v>
      </c>
      <c r="D611" s="6">
        <v>27.73</v>
      </c>
      <c r="E611" s="6">
        <v>277</v>
      </c>
    </row>
    <row r="612" spans="1:5" x14ac:dyDescent="0.25">
      <c r="A612" s="6" t="s">
        <v>720</v>
      </c>
      <c r="B612" s="6">
        <v>2.23</v>
      </c>
      <c r="C612" s="6">
        <v>50</v>
      </c>
      <c r="D612" s="6">
        <v>20.84</v>
      </c>
      <c r="E612" s="6">
        <v>207</v>
      </c>
    </row>
    <row r="613" spans="1:5" x14ac:dyDescent="0.25">
      <c r="A613" s="6" t="s">
        <v>27</v>
      </c>
      <c r="B613" s="6">
        <v>5.64</v>
      </c>
      <c r="C613" s="6">
        <v>80</v>
      </c>
      <c r="D613" s="6">
        <v>34.39</v>
      </c>
      <c r="E613" s="6">
        <v>566</v>
      </c>
    </row>
    <row r="614" spans="1:5" x14ac:dyDescent="0.25">
      <c r="A614" s="6" t="s">
        <v>479</v>
      </c>
      <c r="B614" s="6">
        <v>2.4300000000000002</v>
      </c>
      <c r="C614" s="6">
        <v>48</v>
      </c>
      <c r="D614" s="6">
        <v>9.73</v>
      </c>
      <c r="E614" s="6">
        <v>97</v>
      </c>
    </row>
    <row r="615" spans="1:5" x14ac:dyDescent="0.25">
      <c r="A615" s="6" t="s">
        <v>842</v>
      </c>
      <c r="B615" s="6">
        <v>6.52</v>
      </c>
      <c r="C615" s="6">
        <v>100</v>
      </c>
      <c r="D615" s="6">
        <v>26.87</v>
      </c>
      <c r="E615" s="6">
        <v>241</v>
      </c>
    </row>
    <row r="616" spans="1:5" x14ac:dyDescent="0.25">
      <c r="A616" s="6" t="s">
        <v>359</v>
      </c>
      <c r="B616" s="6">
        <v>13.52</v>
      </c>
      <c r="C616" s="6">
        <v>142</v>
      </c>
      <c r="D616" s="6">
        <v>62.29</v>
      </c>
      <c r="E616" s="6">
        <v>469</v>
      </c>
    </row>
    <row r="617" spans="1:5" x14ac:dyDescent="0.25">
      <c r="A617" s="6" t="s">
        <v>843</v>
      </c>
      <c r="B617" s="6">
        <v>100.42</v>
      </c>
      <c r="C617" s="6">
        <v>432</v>
      </c>
      <c r="D617" s="6">
        <v>64</v>
      </c>
      <c r="E617" s="6">
        <v>316</v>
      </c>
    </row>
    <row r="618" spans="1:5" x14ac:dyDescent="0.25">
      <c r="A618" s="6" t="s">
        <v>844</v>
      </c>
      <c r="B618" s="6">
        <v>4.6399999999999997</v>
      </c>
      <c r="C618" s="6">
        <v>81</v>
      </c>
      <c r="D618" s="6">
        <v>31.19</v>
      </c>
      <c r="E618" s="6">
        <v>264</v>
      </c>
    </row>
    <row r="619" spans="1:5" x14ac:dyDescent="0.25">
      <c r="A619" s="6" t="s">
        <v>35</v>
      </c>
      <c r="B619" s="6">
        <v>4.3099999999999996</v>
      </c>
      <c r="C619" s="6">
        <v>68</v>
      </c>
      <c r="D619" s="6">
        <v>23.98</v>
      </c>
      <c r="E619" s="6">
        <v>186</v>
      </c>
    </row>
    <row r="620" spans="1:5" x14ac:dyDescent="0.25">
      <c r="A620" s="6" t="s">
        <v>113</v>
      </c>
      <c r="B620" s="6">
        <v>3.87</v>
      </c>
      <c r="C620" s="6">
        <v>72</v>
      </c>
      <c r="D620" s="6">
        <v>9.6</v>
      </c>
      <c r="E620" s="6">
        <v>71</v>
      </c>
    </row>
    <row r="621" spans="1:5" x14ac:dyDescent="0.25">
      <c r="A621" s="6" t="s">
        <v>289</v>
      </c>
      <c r="B621" s="6">
        <v>9.8800000000000008</v>
      </c>
      <c r="C621" s="6">
        <v>127</v>
      </c>
      <c r="D621" s="6">
        <v>33.450000000000003</v>
      </c>
      <c r="E621" s="6">
        <v>328</v>
      </c>
    </row>
    <row r="622" spans="1:5" x14ac:dyDescent="0.25">
      <c r="A622" s="6" t="s">
        <v>227</v>
      </c>
      <c r="B622" s="6">
        <v>3.3</v>
      </c>
      <c r="C622" s="6">
        <v>57</v>
      </c>
      <c r="D622" s="6">
        <v>20.170000000000002</v>
      </c>
      <c r="E622" s="6">
        <v>190</v>
      </c>
    </row>
    <row r="623" spans="1:5" x14ac:dyDescent="0.25">
      <c r="A623" s="6" t="s">
        <v>80</v>
      </c>
      <c r="B623" s="6">
        <v>5.45</v>
      </c>
      <c r="C623" s="6">
        <v>67</v>
      </c>
      <c r="D623" s="6">
        <v>30.47</v>
      </c>
      <c r="E623" s="6">
        <v>228</v>
      </c>
    </row>
    <row r="624" spans="1:5" x14ac:dyDescent="0.25">
      <c r="A624" s="6" t="s">
        <v>41</v>
      </c>
      <c r="B624" s="6">
        <v>15.43</v>
      </c>
      <c r="C624" s="6">
        <v>153</v>
      </c>
      <c r="D624" s="6">
        <v>35.86</v>
      </c>
      <c r="E624" s="6">
        <v>207</v>
      </c>
    </row>
    <row r="625" spans="1:5" x14ac:dyDescent="0.25">
      <c r="A625" s="6" t="s">
        <v>195</v>
      </c>
      <c r="B625" s="6">
        <v>6.38</v>
      </c>
      <c r="C625" s="6">
        <v>95</v>
      </c>
      <c r="D625" s="6">
        <v>26.71</v>
      </c>
      <c r="E625" s="6">
        <v>280</v>
      </c>
    </row>
    <row r="626" spans="1:5" x14ac:dyDescent="0.25">
      <c r="A626" s="6" t="s">
        <v>621</v>
      </c>
      <c r="B626" s="6">
        <v>20.13</v>
      </c>
      <c r="C626" s="6">
        <v>126</v>
      </c>
      <c r="D626" s="6">
        <v>64.97</v>
      </c>
      <c r="E626" s="6">
        <v>464</v>
      </c>
    </row>
    <row r="627" spans="1:5" x14ac:dyDescent="0.25">
      <c r="A627" s="6" t="s">
        <v>554</v>
      </c>
      <c r="B627" s="6">
        <v>11.65</v>
      </c>
      <c r="C627" s="6">
        <v>140</v>
      </c>
      <c r="D627" s="6">
        <v>32.11</v>
      </c>
      <c r="E627" s="6">
        <v>304</v>
      </c>
    </row>
    <row r="628" spans="1:5" x14ac:dyDescent="0.25">
      <c r="A628" s="6" t="s">
        <v>845</v>
      </c>
      <c r="B628" s="6">
        <v>4.84</v>
      </c>
      <c r="C628" s="6">
        <v>82</v>
      </c>
      <c r="D628" s="6">
        <v>36.9</v>
      </c>
      <c r="E628" s="6">
        <v>452</v>
      </c>
    </row>
    <row r="629" spans="1:5" x14ac:dyDescent="0.25">
      <c r="A629" s="6" t="s">
        <v>846</v>
      </c>
      <c r="B629" s="6">
        <v>15.58</v>
      </c>
      <c r="C629" s="6">
        <v>235</v>
      </c>
      <c r="D629" s="6">
        <v>34.81</v>
      </c>
      <c r="E629" s="6">
        <v>361</v>
      </c>
    </row>
    <row r="630" spans="1:5" x14ac:dyDescent="0.25">
      <c r="A630" s="6" t="s">
        <v>103</v>
      </c>
      <c r="B630" s="6">
        <v>6.43</v>
      </c>
      <c r="C630" s="6">
        <v>105</v>
      </c>
      <c r="D630" s="6">
        <v>30.83</v>
      </c>
      <c r="E630" s="6">
        <v>324</v>
      </c>
    </row>
    <row r="631" spans="1:5" x14ac:dyDescent="0.25">
      <c r="A631" s="6" t="s">
        <v>577</v>
      </c>
      <c r="B631" s="6">
        <v>6.64</v>
      </c>
      <c r="C631" s="6">
        <v>105</v>
      </c>
      <c r="D631" s="6">
        <v>33.67</v>
      </c>
      <c r="E631" s="6">
        <v>408</v>
      </c>
    </row>
    <row r="632" spans="1:5" x14ac:dyDescent="0.25">
      <c r="A632" s="6" t="s">
        <v>74</v>
      </c>
      <c r="B632" s="6">
        <v>5.12</v>
      </c>
      <c r="C632" s="6">
        <v>77</v>
      </c>
      <c r="D632" s="6">
        <v>29.23</v>
      </c>
      <c r="E632" s="6">
        <v>281</v>
      </c>
    </row>
    <row r="633" spans="1:5" x14ac:dyDescent="0.25">
      <c r="A633" s="6" t="s">
        <v>254</v>
      </c>
      <c r="B633" s="6">
        <v>7.07</v>
      </c>
      <c r="C633" s="6">
        <v>104</v>
      </c>
      <c r="D633" s="6">
        <v>28.44</v>
      </c>
      <c r="E633" s="6">
        <v>296</v>
      </c>
    </row>
    <row r="634" spans="1:5" x14ac:dyDescent="0.25">
      <c r="A634" s="6" t="s">
        <v>177</v>
      </c>
      <c r="B634" s="6">
        <v>2.72</v>
      </c>
      <c r="C634" s="6">
        <v>55</v>
      </c>
      <c r="D634" s="6">
        <v>18.12</v>
      </c>
      <c r="E634" s="6">
        <v>223</v>
      </c>
    </row>
    <row r="635" spans="1:5" x14ac:dyDescent="0.25">
      <c r="A635" s="6" t="s">
        <v>272</v>
      </c>
      <c r="B635" s="6">
        <v>2.16</v>
      </c>
      <c r="C635" s="6">
        <v>47</v>
      </c>
      <c r="D635" s="6">
        <v>9.1999999999999993</v>
      </c>
      <c r="E635" s="6">
        <v>70</v>
      </c>
    </row>
    <row r="636" spans="1:5" x14ac:dyDescent="0.25">
      <c r="A636" s="6" t="s">
        <v>736</v>
      </c>
      <c r="B636" s="6">
        <v>2.4700000000000002</v>
      </c>
      <c r="C636" s="6">
        <v>39</v>
      </c>
      <c r="D636" s="6">
        <v>21.89</v>
      </c>
      <c r="E636" s="6">
        <v>235</v>
      </c>
    </row>
    <row r="637" spans="1:5" x14ac:dyDescent="0.25">
      <c r="A637" s="6" t="s">
        <v>414</v>
      </c>
      <c r="B637" s="6">
        <v>11.56</v>
      </c>
      <c r="C637" s="6">
        <v>188</v>
      </c>
      <c r="D637" s="6">
        <v>37.01</v>
      </c>
      <c r="E637" s="6">
        <v>359</v>
      </c>
    </row>
    <row r="638" spans="1:5" x14ac:dyDescent="0.25">
      <c r="A638" s="6" t="s">
        <v>847</v>
      </c>
      <c r="B638" s="6">
        <v>19.05</v>
      </c>
      <c r="C638" s="6">
        <v>277</v>
      </c>
      <c r="D638" s="6">
        <v>24</v>
      </c>
      <c r="E638" s="6">
        <v>234</v>
      </c>
    </row>
    <row r="639" spans="1:5" x14ac:dyDescent="0.25">
      <c r="A639" s="6" t="s">
        <v>363</v>
      </c>
      <c r="B639" s="6">
        <v>8.15</v>
      </c>
      <c r="C639" s="6">
        <v>99</v>
      </c>
      <c r="D639" s="6">
        <v>42.66</v>
      </c>
      <c r="E639" s="6">
        <v>342</v>
      </c>
    </row>
    <row r="640" spans="1:5" x14ac:dyDescent="0.25">
      <c r="A640" s="6" t="s">
        <v>458</v>
      </c>
      <c r="B640" s="6">
        <v>6.09</v>
      </c>
      <c r="C640" s="6">
        <v>93</v>
      </c>
      <c r="D640" s="6">
        <v>42.13</v>
      </c>
      <c r="E640" s="6">
        <v>403</v>
      </c>
    </row>
    <row r="641" spans="1:5" x14ac:dyDescent="0.25">
      <c r="A641" s="6" t="s">
        <v>371</v>
      </c>
      <c r="B641" s="6">
        <v>5.75</v>
      </c>
      <c r="C641" s="6">
        <v>83</v>
      </c>
      <c r="D641" s="6">
        <v>23.55</v>
      </c>
      <c r="E641" s="6">
        <v>197</v>
      </c>
    </row>
    <row r="642" spans="1:5" x14ac:dyDescent="0.25">
      <c r="A642" s="6" t="s">
        <v>231</v>
      </c>
      <c r="B642" s="6">
        <v>8.5</v>
      </c>
      <c r="C642" s="6">
        <v>112</v>
      </c>
      <c r="D642" s="6">
        <v>26.2</v>
      </c>
      <c r="E642" s="6">
        <v>236</v>
      </c>
    </row>
    <row r="643" spans="1:5" x14ac:dyDescent="0.25">
      <c r="A643" s="6" t="s">
        <v>422</v>
      </c>
      <c r="B643" s="6">
        <v>22.01</v>
      </c>
      <c r="C643" s="6">
        <v>143</v>
      </c>
      <c r="D643" s="6">
        <v>45.07</v>
      </c>
      <c r="E643" s="6">
        <v>321</v>
      </c>
    </row>
    <row r="644" spans="1:5" x14ac:dyDescent="0.25">
      <c r="A644" s="6" t="s">
        <v>708</v>
      </c>
      <c r="B644" s="6">
        <v>3.38</v>
      </c>
      <c r="C644" s="6">
        <v>59</v>
      </c>
      <c r="D644" s="6">
        <v>26.36</v>
      </c>
      <c r="E644" s="6">
        <v>313</v>
      </c>
    </row>
    <row r="645" spans="1:5" x14ac:dyDescent="0.25">
      <c r="A645" s="6" t="s">
        <v>274</v>
      </c>
      <c r="B645" s="6">
        <v>5.34</v>
      </c>
      <c r="C645" s="6">
        <v>88</v>
      </c>
      <c r="D645" s="6">
        <v>24.83</v>
      </c>
      <c r="E645" s="6">
        <v>279</v>
      </c>
    </row>
    <row r="646" spans="1:5" x14ac:dyDescent="0.25">
      <c r="A646" s="6" t="s">
        <v>229</v>
      </c>
      <c r="B646" s="6">
        <v>12.34</v>
      </c>
      <c r="C646" s="6">
        <v>147</v>
      </c>
      <c r="D646" s="6">
        <v>24.33</v>
      </c>
      <c r="E646" s="6">
        <v>226</v>
      </c>
    </row>
    <row r="647" spans="1:5" x14ac:dyDescent="0.25">
      <c r="A647" s="6" t="s">
        <v>306</v>
      </c>
      <c r="B647" s="6">
        <v>4.38</v>
      </c>
      <c r="C647" s="6">
        <v>85</v>
      </c>
      <c r="D647" s="6">
        <v>19.52</v>
      </c>
      <c r="E647" s="6">
        <v>205</v>
      </c>
    </row>
    <row r="648" spans="1:5" x14ac:dyDescent="0.25">
      <c r="A648" s="6" t="s">
        <v>710</v>
      </c>
      <c r="B648" s="6">
        <v>5.23</v>
      </c>
      <c r="C648" s="6">
        <v>84</v>
      </c>
      <c r="D648" s="6">
        <v>17.7</v>
      </c>
      <c r="E648" s="6">
        <v>191</v>
      </c>
    </row>
    <row r="649" spans="1:5" x14ac:dyDescent="0.25">
      <c r="A649" s="6" t="s">
        <v>684</v>
      </c>
      <c r="B649" s="6">
        <v>6.92</v>
      </c>
      <c r="C649" s="6">
        <v>97</v>
      </c>
      <c r="D649" s="6">
        <v>26.39</v>
      </c>
      <c r="E649" s="6">
        <v>284</v>
      </c>
    </row>
    <row r="650" spans="1:5" x14ac:dyDescent="0.25">
      <c r="A650" s="6" t="s">
        <v>420</v>
      </c>
      <c r="B650" s="6">
        <v>3.38</v>
      </c>
      <c r="C650" s="6">
        <v>69</v>
      </c>
      <c r="D650" s="6">
        <v>8.32</v>
      </c>
      <c r="E650" s="6">
        <v>70</v>
      </c>
    </row>
    <row r="651" spans="1:5" x14ac:dyDescent="0.25">
      <c r="A651" s="6" t="s">
        <v>848</v>
      </c>
      <c r="B651" s="6">
        <v>20.81</v>
      </c>
      <c r="C651" s="6">
        <v>276</v>
      </c>
      <c r="D651" s="6">
        <v>43.7</v>
      </c>
      <c r="E651" s="6">
        <v>411</v>
      </c>
    </row>
    <row r="652" spans="1:5" x14ac:dyDescent="0.25">
      <c r="A652" s="6" t="s">
        <v>849</v>
      </c>
      <c r="B652" s="6">
        <v>8.59</v>
      </c>
      <c r="C652" s="6">
        <v>116</v>
      </c>
      <c r="D652" s="6">
        <v>36.76</v>
      </c>
      <c r="E652" s="6">
        <v>369</v>
      </c>
    </row>
    <row r="653" spans="1:5" x14ac:dyDescent="0.25">
      <c r="A653" s="6" t="s">
        <v>555</v>
      </c>
      <c r="B653" s="6">
        <v>6.49</v>
      </c>
      <c r="C653" s="6">
        <v>95</v>
      </c>
      <c r="D653" s="6">
        <v>26.31</v>
      </c>
      <c r="E653" s="6">
        <v>287</v>
      </c>
    </row>
    <row r="654" spans="1:5" x14ac:dyDescent="0.25">
      <c r="A654" s="6" t="s">
        <v>367</v>
      </c>
      <c r="B654" s="6">
        <v>4.6500000000000004</v>
      </c>
      <c r="C654" s="6">
        <v>70</v>
      </c>
      <c r="D654" s="6">
        <v>35.590000000000003</v>
      </c>
      <c r="E654" s="6">
        <v>303</v>
      </c>
    </row>
    <row r="655" spans="1:5" x14ac:dyDescent="0.25">
      <c r="A655" s="6" t="s">
        <v>489</v>
      </c>
      <c r="B655" s="6">
        <v>8.4600000000000009</v>
      </c>
      <c r="C655" s="6">
        <v>113</v>
      </c>
      <c r="D655" s="6">
        <v>77.180000000000007</v>
      </c>
      <c r="E655" s="6">
        <v>720</v>
      </c>
    </row>
    <row r="656" spans="1:5" x14ac:dyDescent="0.25">
      <c r="A656" s="6" t="s">
        <v>550</v>
      </c>
      <c r="B656" s="6">
        <v>18.64</v>
      </c>
      <c r="C656" s="6">
        <v>189</v>
      </c>
      <c r="D656" s="6">
        <v>57.97</v>
      </c>
      <c r="E656" s="6">
        <v>666</v>
      </c>
    </row>
    <row r="657" spans="1:5" x14ac:dyDescent="0.25">
      <c r="A657" s="6" t="s">
        <v>678</v>
      </c>
      <c r="B657" s="6">
        <v>7.61</v>
      </c>
      <c r="C657" s="6">
        <v>105</v>
      </c>
      <c r="D657" s="6">
        <v>60.34</v>
      </c>
      <c r="E657" s="6">
        <v>656</v>
      </c>
    </row>
    <row r="658" spans="1:5" x14ac:dyDescent="0.25">
      <c r="A658" s="6" t="s">
        <v>850</v>
      </c>
      <c r="B658" s="6">
        <v>5.67</v>
      </c>
      <c r="C658" s="6">
        <v>93</v>
      </c>
      <c r="D658" s="6">
        <v>41.91</v>
      </c>
      <c r="E658" s="6">
        <v>404</v>
      </c>
    </row>
    <row r="659" spans="1:5" x14ac:dyDescent="0.25">
      <c r="A659" s="6" t="s">
        <v>579</v>
      </c>
      <c r="B659" s="6">
        <v>7.17</v>
      </c>
      <c r="C659" s="6">
        <v>89</v>
      </c>
      <c r="D659" s="6">
        <v>25.5</v>
      </c>
      <c r="E659" s="6">
        <v>198</v>
      </c>
    </row>
    <row r="660" spans="1:5" x14ac:dyDescent="0.25">
      <c r="A660" s="6" t="s">
        <v>87</v>
      </c>
      <c r="B660" s="6">
        <v>9.24</v>
      </c>
      <c r="C660" s="6">
        <v>124</v>
      </c>
      <c r="D660" s="6">
        <v>13.11</v>
      </c>
      <c r="E660" s="6">
        <v>67</v>
      </c>
    </row>
    <row r="661" spans="1:5" x14ac:dyDescent="0.25">
      <c r="A661" s="6" t="s">
        <v>112</v>
      </c>
      <c r="B661" s="6">
        <v>5.35</v>
      </c>
      <c r="C661" s="6">
        <v>73</v>
      </c>
      <c r="D661" s="6">
        <v>46.73</v>
      </c>
      <c r="E661" s="6">
        <v>371</v>
      </c>
    </row>
    <row r="662" spans="1:5" x14ac:dyDescent="0.25">
      <c r="A662" s="6" t="s">
        <v>433</v>
      </c>
      <c r="B662" s="6">
        <v>15.99</v>
      </c>
      <c r="C662" s="6">
        <v>190</v>
      </c>
      <c r="D662" s="6">
        <v>23.64</v>
      </c>
      <c r="E662" s="6">
        <v>177</v>
      </c>
    </row>
    <row r="663" spans="1:5" x14ac:dyDescent="0.25">
      <c r="A663" s="6" t="s">
        <v>529</v>
      </c>
      <c r="B663" s="6">
        <v>6.55</v>
      </c>
      <c r="C663" s="6">
        <v>104</v>
      </c>
      <c r="D663" s="6">
        <v>29.51</v>
      </c>
      <c r="E663" s="6">
        <v>275</v>
      </c>
    </row>
    <row r="664" spans="1:5" x14ac:dyDescent="0.25">
      <c r="A664" s="6" t="s">
        <v>851</v>
      </c>
      <c r="B664" s="6">
        <v>11.48</v>
      </c>
      <c r="C664" s="6">
        <v>134</v>
      </c>
      <c r="D664" s="6">
        <v>31.64</v>
      </c>
      <c r="E664" s="6">
        <v>302</v>
      </c>
    </row>
    <row r="665" spans="1:5" x14ac:dyDescent="0.25">
      <c r="A665" s="6" t="s">
        <v>538</v>
      </c>
      <c r="B665" s="6">
        <v>7.72</v>
      </c>
      <c r="C665" s="6">
        <v>118</v>
      </c>
      <c r="D665" s="6">
        <v>24.94</v>
      </c>
      <c r="E665" s="6">
        <v>225</v>
      </c>
    </row>
    <row r="666" spans="1:5" x14ac:dyDescent="0.25">
      <c r="A666" s="6" t="s">
        <v>659</v>
      </c>
      <c r="B666" s="6">
        <v>11.03</v>
      </c>
      <c r="C666" s="6">
        <v>143</v>
      </c>
      <c r="D666" s="6">
        <v>13.7</v>
      </c>
      <c r="E666" s="6">
        <v>135</v>
      </c>
    </row>
    <row r="667" spans="1:5" x14ac:dyDescent="0.25">
      <c r="A667" s="6" t="s">
        <v>852</v>
      </c>
      <c r="B667" s="6">
        <v>10.29</v>
      </c>
      <c r="C667" s="6">
        <v>126</v>
      </c>
      <c r="D667" s="6">
        <v>30.89</v>
      </c>
      <c r="E667" s="6">
        <v>340</v>
      </c>
    </row>
    <row r="668" spans="1:5" x14ac:dyDescent="0.25">
      <c r="A668" s="6" t="s">
        <v>622</v>
      </c>
      <c r="B668" s="6">
        <v>9.59</v>
      </c>
      <c r="C668" s="6">
        <v>121</v>
      </c>
      <c r="D668" s="6">
        <v>47.29</v>
      </c>
      <c r="E668" s="6">
        <v>468</v>
      </c>
    </row>
    <row r="669" spans="1:5" x14ac:dyDescent="0.25">
      <c r="A669" s="6" t="s">
        <v>185</v>
      </c>
      <c r="B669" s="6">
        <v>5.28</v>
      </c>
      <c r="C669" s="6">
        <v>92</v>
      </c>
      <c r="D669" s="6">
        <v>15.17</v>
      </c>
      <c r="E669" s="6">
        <v>199</v>
      </c>
    </row>
    <row r="670" spans="1:5" x14ac:dyDescent="0.25">
      <c r="A670" s="6" t="s">
        <v>640</v>
      </c>
      <c r="B670" s="6">
        <v>5.29</v>
      </c>
      <c r="C670" s="6">
        <v>93</v>
      </c>
      <c r="D670" s="6">
        <v>35.96</v>
      </c>
      <c r="E670" s="6">
        <v>411</v>
      </c>
    </row>
    <row r="671" spans="1:5" x14ac:dyDescent="0.25">
      <c r="A671" s="6" t="s">
        <v>853</v>
      </c>
      <c r="B671" s="6">
        <v>14.3</v>
      </c>
      <c r="C671" s="6">
        <v>195</v>
      </c>
      <c r="D671" s="6">
        <v>27.13</v>
      </c>
      <c r="E671" s="6">
        <v>279</v>
      </c>
    </row>
    <row r="672" spans="1:5" x14ac:dyDescent="0.25">
      <c r="A672" s="6" t="s">
        <v>653</v>
      </c>
      <c r="B672" s="6">
        <v>7.39</v>
      </c>
      <c r="C672" s="6">
        <v>95</v>
      </c>
      <c r="D672" s="6">
        <v>39.909999999999997</v>
      </c>
      <c r="E672" s="6">
        <v>384</v>
      </c>
    </row>
    <row r="673" spans="1:5" x14ac:dyDescent="0.25">
      <c r="A673" s="6" t="s">
        <v>854</v>
      </c>
      <c r="B673" s="6">
        <v>9.1</v>
      </c>
      <c r="C673" s="6">
        <v>125</v>
      </c>
      <c r="D673" s="6">
        <v>25.66</v>
      </c>
      <c r="E673" s="6">
        <v>247</v>
      </c>
    </row>
    <row r="674" spans="1:5" x14ac:dyDescent="0.25">
      <c r="A674" s="6" t="s">
        <v>606</v>
      </c>
      <c r="B674" s="6">
        <v>11.57</v>
      </c>
      <c r="C674" s="6">
        <v>153</v>
      </c>
      <c r="D674" s="6">
        <v>45.69</v>
      </c>
      <c r="E674" s="6">
        <v>419</v>
      </c>
    </row>
    <row r="675" spans="1:5" x14ac:dyDescent="0.25">
      <c r="A675" s="6" t="s">
        <v>411</v>
      </c>
      <c r="B675" s="6">
        <v>6.29</v>
      </c>
      <c r="C675" s="6">
        <v>81</v>
      </c>
      <c r="D675" s="6">
        <v>28.47</v>
      </c>
      <c r="E675" s="6">
        <v>230</v>
      </c>
    </row>
    <row r="676" spans="1:5" x14ac:dyDescent="0.25">
      <c r="A676" s="6" t="s">
        <v>449</v>
      </c>
      <c r="B676" s="6">
        <v>13.07</v>
      </c>
      <c r="C676" s="6">
        <v>124</v>
      </c>
      <c r="D676" s="6">
        <v>25.25</v>
      </c>
      <c r="E676" s="6">
        <v>163</v>
      </c>
    </row>
    <row r="677" spans="1:5" x14ac:dyDescent="0.25">
      <c r="A677" s="6" t="s">
        <v>141</v>
      </c>
      <c r="B677" s="6">
        <v>6.95</v>
      </c>
      <c r="C677" s="6">
        <v>114</v>
      </c>
      <c r="D677" s="6">
        <v>13.23</v>
      </c>
      <c r="E677" s="6">
        <v>92</v>
      </c>
    </row>
    <row r="678" spans="1:5" x14ac:dyDescent="0.25">
      <c r="A678" s="6" t="s">
        <v>314</v>
      </c>
      <c r="B678" s="6">
        <v>7.13</v>
      </c>
      <c r="C678" s="6">
        <v>108</v>
      </c>
      <c r="D678" s="6">
        <v>20.7</v>
      </c>
      <c r="E678" s="6">
        <v>136</v>
      </c>
    </row>
    <row r="679" spans="1:5" x14ac:dyDescent="0.25">
      <c r="A679" s="6" t="s">
        <v>209</v>
      </c>
      <c r="B679" s="6">
        <v>17.14</v>
      </c>
      <c r="C679" s="6">
        <v>160</v>
      </c>
      <c r="D679" s="6">
        <v>43.24</v>
      </c>
      <c r="E679" s="6">
        <v>267</v>
      </c>
    </row>
    <row r="680" spans="1:5" x14ac:dyDescent="0.25">
      <c r="A680" s="6" t="s">
        <v>157</v>
      </c>
      <c r="B680" s="6">
        <v>3.48</v>
      </c>
      <c r="C680" s="6">
        <v>62</v>
      </c>
      <c r="D680" s="6">
        <v>23.53</v>
      </c>
      <c r="E680" s="6">
        <v>219</v>
      </c>
    </row>
    <row r="681" spans="1:5" x14ac:dyDescent="0.25">
      <c r="A681" s="6" t="s">
        <v>85</v>
      </c>
      <c r="B681" s="6">
        <v>3.63</v>
      </c>
      <c r="C681" s="6">
        <v>54</v>
      </c>
      <c r="D681" s="6">
        <v>32.17</v>
      </c>
      <c r="E681" s="6">
        <v>364</v>
      </c>
    </row>
    <row r="682" spans="1:5" x14ac:dyDescent="0.25">
      <c r="A682" s="6" t="s">
        <v>88</v>
      </c>
      <c r="B682" s="6">
        <v>7.65</v>
      </c>
      <c r="C682" s="6">
        <v>89</v>
      </c>
      <c r="D682" s="6">
        <v>51.95</v>
      </c>
      <c r="E682" s="6">
        <v>423</v>
      </c>
    </row>
    <row r="683" spans="1:5" x14ac:dyDescent="0.25">
      <c r="A683" s="6" t="s">
        <v>302</v>
      </c>
      <c r="B683" s="6">
        <v>3.36</v>
      </c>
      <c r="C683" s="6">
        <v>60</v>
      </c>
      <c r="D683" s="6">
        <v>11.09</v>
      </c>
      <c r="E683" s="6">
        <v>117</v>
      </c>
    </row>
    <row r="684" spans="1:5" x14ac:dyDescent="0.25">
      <c r="A684" s="6" t="s">
        <v>130</v>
      </c>
      <c r="B684" s="6">
        <v>1.83</v>
      </c>
      <c r="C684" s="6">
        <v>40</v>
      </c>
      <c r="D684" s="6">
        <v>9.0299999999999994</v>
      </c>
      <c r="E684" s="6">
        <v>94</v>
      </c>
    </row>
    <row r="685" spans="1:5" x14ac:dyDescent="0.25">
      <c r="A685" s="6" t="s">
        <v>511</v>
      </c>
      <c r="B685" s="6">
        <v>11.26</v>
      </c>
      <c r="C685" s="6">
        <v>155</v>
      </c>
      <c r="D685" s="6">
        <v>20.22</v>
      </c>
      <c r="E685" s="6">
        <v>207</v>
      </c>
    </row>
    <row r="686" spans="1:5" x14ac:dyDescent="0.25">
      <c r="A686" s="6" t="s">
        <v>224</v>
      </c>
      <c r="B686" s="6">
        <v>9.1199999999999992</v>
      </c>
      <c r="C686" s="6">
        <v>93</v>
      </c>
      <c r="D686" s="6">
        <v>24.49</v>
      </c>
      <c r="E686" s="6">
        <v>189</v>
      </c>
    </row>
    <row r="687" spans="1:5" x14ac:dyDescent="0.25">
      <c r="A687" s="6" t="s">
        <v>346</v>
      </c>
      <c r="B687" s="6">
        <v>7.56</v>
      </c>
      <c r="C687" s="6">
        <v>125</v>
      </c>
      <c r="D687" s="6">
        <v>19.03</v>
      </c>
      <c r="E687" s="6">
        <v>257</v>
      </c>
    </row>
    <row r="688" spans="1:5" x14ac:dyDescent="0.25">
      <c r="A688" s="6" t="s">
        <v>547</v>
      </c>
      <c r="B688" s="6">
        <v>12.44</v>
      </c>
      <c r="C688" s="6">
        <v>155</v>
      </c>
      <c r="D688" s="6">
        <v>40.549999999999997</v>
      </c>
      <c r="E688" s="6">
        <v>353</v>
      </c>
    </row>
    <row r="689" spans="1:5" x14ac:dyDescent="0.25">
      <c r="A689" s="6" t="s">
        <v>56</v>
      </c>
      <c r="B689" s="6">
        <v>5.72</v>
      </c>
      <c r="C689" s="6">
        <v>87</v>
      </c>
      <c r="D689" s="6">
        <v>23.89</v>
      </c>
      <c r="E689" s="6">
        <v>219</v>
      </c>
    </row>
    <row r="690" spans="1:5" x14ac:dyDescent="0.25">
      <c r="A690" s="6" t="s">
        <v>148</v>
      </c>
      <c r="B690" s="6">
        <v>15.49</v>
      </c>
      <c r="C690" s="6">
        <v>179</v>
      </c>
      <c r="D690" s="6">
        <v>34.19</v>
      </c>
      <c r="E690" s="6">
        <v>376</v>
      </c>
    </row>
    <row r="691" spans="1:5" x14ac:dyDescent="0.25">
      <c r="A691" s="6" t="s">
        <v>96</v>
      </c>
      <c r="B691" s="6">
        <v>5.19</v>
      </c>
      <c r="C691" s="6">
        <v>91</v>
      </c>
      <c r="D691" s="6">
        <v>31.87</v>
      </c>
      <c r="E691" s="6">
        <v>404</v>
      </c>
    </row>
    <row r="692" spans="1:5" x14ac:dyDescent="0.25">
      <c r="A692" s="6" t="s">
        <v>470</v>
      </c>
      <c r="B692" s="6">
        <v>5.9</v>
      </c>
      <c r="C692" s="6">
        <v>90</v>
      </c>
      <c r="D692" s="6">
        <v>19.57</v>
      </c>
      <c r="E692" s="6">
        <v>188</v>
      </c>
    </row>
    <row r="693" spans="1:5" x14ac:dyDescent="0.25">
      <c r="A693" s="6" t="s">
        <v>695</v>
      </c>
      <c r="B693" s="6">
        <v>9.1999999999999993</v>
      </c>
      <c r="C693" s="6">
        <v>101</v>
      </c>
      <c r="D693" s="6">
        <v>21.56</v>
      </c>
      <c r="E693" s="6">
        <v>170</v>
      </c>
    </row>
    <row r="694" spans="1:5" x14ac:dyDescent="0.25">
      <c r="A694" s="6" t="s">
        <v>855</v>
      </c>
      <c r="B694" s="6">
        <v>14.17</v>
      </c>
      <c r="C694" s="6">
        <v>177</v>
      </c>
      <c r="D694" s="6">
        <v>77.89</v>
      </c>
      <c r="E694" s="6">
        <v>819</v>
      </c>
    </row>
    <row r="695" spans="1:5" x14ac:dyDescent="0.25">
      <c r="A695" s="6" t="s">
        <v>856</v>
      </c>
      <c r="B695" s="6">
        <v>17.96</v>
      </c>
      <c r="C695" s="6">
        <v>210</v>
      </c>
      <c r="D695" s="6">
        <v>14.26</v>
      </c>
      <c r="E695" s="6">
        <v>95</v>
      </c>
    </row>
    <row r="696" spans="1:5" x14ac:dyDescent="0.25">
      <c r="A696" s="6" t="s">
        <v>4</v>
      </c>
      <c r="B696" s="6">
        <v>4.78</v>
      </c>
      <c r="C696" s="6">
        <v>68</v>
      </c>
      <c r="D696" s="6">
        <v>32.42</v>
      </c>
      <c r="E696" s="6">
        <v>356</v>
      </c>
    </row>
    <row r="697" spans="1:5" x14ac:dyDescent="0.25">
      <c r="A697" s="6" t="s">
        <v>857</v>
      </c>
      <c r="B697" s="6">
        <v>12.21</v>
      </c>
      <c r="C697" s="6">
        <v>147</v>
      </c>
      <c r="D697" s="6">
        <v>57.44</v>
      </c>
      <c r="E697" s="6">
        <v>619</v>
      </c>
    </row>
    <row r="698" spans="1:5" x14ac:dyDescent="0.25">
      <c r="A698" s="6" t="s">
        <v>18</v>
      </c>
      <c r="B698" s="6">
        <v>6.33</v>
      </c>
      <c r="C698" s="6">
        <v>96</v>
      </c>
      <c r="D698" s="6">
        <v>32.39</v>
      </c>
      <c r="E698" s="6">
        <v>279</v>
      </c>
    </row>
    <row r="699" spans="1:5" x14ac:dyDescent="0.25">
      <c r="A699" s="6" t="s">
        <v>623</v>
      </c>
      <c r="B699" s="6">
        <v>5.74</v>
      </c>
      <c r="C699" s="6">
        <v>94</v>
      </c>
      <c r="D699" s="6">
        <v>30.59</v>
      </c>
      <c r="E699" s="6">
        <v>265</v>
      </c>
    </row>
    <row r="700" spans="1:5" x14ac:dyDescent="0.25">
      <c r="A700" s="6" t="s">
        <v>205</v>
      </c>
      <c r="B700" s="6">
        <v>7.6</v>
      </c>
      <c r="C700" s="6">
        <v>114</v>
      </c>
      <c r="D700" s="6">
        <v>53.1</v>
      </c>
      <c r="E700" s="6">
        <v>481</v>
      </c>
    </row>
    <row r="701" spans="1:5" x14ac:dyDescent="0.25">
      <c r="A701" s="6" t="s">
        <v>99</v>
      </c>
      <c r="B701" s="6">
        <v>9.01</v>
      </c>
      <c r="C701" s="6">
        <v>101</v>
      </c>
      <c r="D701" s="6">
        <v>46.42</v>
      </c>
      <c r="E701" s="6">
        <v>421</v>
      </c>
    </row>
    <row r="702" spans="1:5" x14ac:dyDescent="0.25">
      <c r="A702" s="6" t="s">
        <v>21</v>
      </c>
      <c r="B702" s="6">
        <v>5.83</v>
      </c>
      <c r="C702" s="6">
        <v>91</v>
      </c>
      <c r="D702" s="6">
        <v>26.5</v>
      </c>
      <c r="E702" s="6">
        <v>277</v>
      </c>
    </row>
    <row r="703" spans="1:5" x14ac:dyDescent="0.25">
      <c r="A703" s="6" t="s">
        <v>858</v>
      </c>
      <c r="B703" s="6">
        <v>12.76</v>
      </c>
      <c r="C703" s="6">
        <v>182</v>
      </c>
      <c r="D703" s="6">
        <v>19.48</v>
      </c>
      <c r="E703" s="6">
        <v>179</v>
      </c>
    </row>
    <row r="704" spans="1:5" x14ac:dyDescent="0.25">
      <c r="A704" s="6" t="s">
        <v>216</v>
      </c>
      <c r="B704" s="6">
        <v>5.0599999999999996</v>
      </c>
      <c r="C704" s="6">
        <v>75</v>
      </c>
      <c r="D704" s="6">
        <v>39.44</v>
      </c>
      <c r="E704" s="6">
        <v>477</v>
      </c>
    </row>
    <row r="705" spans="1:5" x14ac:dyDescent="0.25">
      <c r="A705" s="6" t="s">
        <v>637</v>
      </c>
      <c r="B705" s="6">
        <v>2.5299999999999998</v>
      </c>
      <c r="C705" s="6">
        <v>48</v>
      </c>
      <c r="D705" s="6">
        <v>23.72</v>
      </c>
      <c r="E705" s="6">
        <v>259</v>
      </c>
    </row>
    <row r="706" spans="1:5" x14ac:dyDescent="0.25">
      <c r="A706" s="6" t="s">
        <v>138</v>
      </c>
      <c r="B706" s="6">
        <v>2.68</v>
      </c>
      <c r="C706" s="6">
        <v>48</v>
      </c>
      <c r="D706" s="6">
        <v>18.41</v>
      </c>
      <c r="E706" s="6">
        <v>198</v>
      </c>
    </row>
    <row r="707" spans="1:5" x14ac:dyDescent="0.25">
      <c r="A707" s="6" t="s">
        <v>311</v>
      </c>
      <c r="B707" s="6">
        <v>4.8899999999999997</v>
      </c>
      <c r="C707" s="6">
        <v>90</v>
      </c>
      <c r="D707" s="6">
        <v>19.739999999999998</v>
      </c>
      <c r="E707" s="6">
        <v>199</v>
      </c>
    </row>
    <row r="708" spans="1:5" x14ac:dyDescent="0.25">
      <c r="A708" s="6" t="s">
        <v>60</v>
      </c>
      <c r="B708" s="6">
        <v>11.51</v>
      </c>
      <c r="C708" s="6">
        <v>145</v>
      </c>
      <c r="D708" s="6">
        <v>34.799999999999997</v>
      </c>
      <c r="E708" s="6">
        <v>297</v>
      </c>
    </row>
    <row r="709" spans="1:5" x14ac:dyDescent="0.25">
      <c r="A709" s="6" t="s">
        <v>416</v>
      </c>
      <c r="B709" s="6">
        <v>11.9</v>
      </c>
      <c r="C709" s="6">
        <v>121</v>
      </c>
      <c r="D709" s="6">
        <v>36.75</v>
      </c>
      <c r="E709" s="6">
        <v>339</v>
      </c>
    </row>
    <row r="710" spans="1:5" x14ac:dyDescent="0.25">
      <c r="A710" s="6" t="s">
        <v>717</v>
      </c>
      <c r="B710" s="6">
        <v>9.77</v>
      </c>
      <c r="C710" s="6">
        <v>102</v>
      </c>
      <c r="D710" s="6">
        <v>29.43</v>
      </c>
      <c r="E710" s="6">
        <v>254</v>
      </c>
    </row>
    <row r="711" spans="1:5" x14ac:dyDescent="0.25">
      <c r="A711" s="6" t="s">
        <v>572</v>
      </c>
      <c r="B711" s="6">
        <v>1.94</v>
      </c>
      <c r="C711" s="6">
        <v>37</v>
      </c>
      <c r="D711" s="6">
        <v>31.82</v>
      </c>
      <c r="E711" s="6">
        <v>394</v>
      </c>
    </row>
    <row r="712" spans="1:5" x14ac:dyDescent="0.25">
      <c r="A712" s="6" t="s">
        <v>859</v>
      </c>
      <c r="B712" s="6">
        <v>18.899999999999999</v>
      </c>
      <c r="C712" s="6">
        <v>247</v>
      </c>
      <c r="D712" s="6">
        <v>49.68</v>
      </c>
      <c r="E712" s="6">
        <v>532</v>
      </c>
    </row>
    <row r="713" spans="1:5" x14ac:dyDescent="0.25">
      <c r="A713" s="6" t="s">
        <v>715</v>
      </c>
      <c r="B713" s="6">
        <v>4.63</v>
      </c>
      <c r="C713" s="6">
        <v>79</v>
      </c>
      <c r="D713" s="6">
        <v>36.61</v>
      </c>
      <c r="E713" s="6">
        <v>331</v>
      </c>
    </row>
    <row r="714" spans="1:5" x14ac:dyDescent="0.25">
      <c r="A714" s="6" t="s">
        <v>436</v>
      </c>
      <c r="B714" s="6">
        <v>5.62</v>
      </c>
      <c r="C714" s="6">
        <v>73</v>
      </c>
      <c r="D714" s="6">
        <v>41.03</v>
      </c>
      <c r="E714" s="6">
        <v>383</v>
      </c>
    </row>
    <row r="715" spans="1:5" x14ac:dyDescent="0.25">
      <c r="A715" s="6" t="s">
        <v>268</v>
      </c>
      <c r="B715" s="6">
        <v>3.79</v>
      </c>
      <c r="C715" s="6">
        <v>70</v>
      </c>
      <c r="D715" s="6">
        <v>9.73</v>
      </c>
      <c r="E715" s="6">
        <v>52</v>
      </c>
    </row>
    <row r="716" spans="1:5" x14ac:dyDescent="0.25">
      <c r="A716" s="6" t="s">
        <v>438</v>
      </c>
      <c r="B716" s="6">
        <v>2.44</v>
      </c>
      <c r="C716" s="6">
        <v>49</v>
      </c>
      <c r="D716" s="6">
        <v>17.850000000000001</v>
      </c>
      <c r="E716" s="6">
        <v>160</v>
      </c>
    </row>
    <row r="717" spans="1:5" x14ac:dyDescent="0.25">
      <c r="A717" s="6" t="s">
        <v>735</v>
      </c>
      <c r="B717" s="6">
        <v>8.84</v>
      </c>
      <c r="C717" s="6">
        <v>124</v>
      </c>
      <c r="D717" s="6">
        <v>40.74</v>
      </c>
      <c r="E717" s="6">
        <v>397</v>
      </c>
    </row>
    <row r="718" spans="1:5" x14ac:dyDescent="0.25">
      <c r="A718" s="6" t="s">
        <v>655</v>
      </c>
      <c r="B718" s="6">
        <v>6.79</v>
      </c>
      <c r="C718" s="6">
        <v>89</v>
      </c>
      <c r="D718" s="6">
        <v>32.25</v>
      </c>
      <c r="E718" s="6">
        <v>275</v>
      </c>
    </row>
    <row r="719" spans="1:5" x14ac:dyDescent="0.25">
      <c r="A719" s="6" t="s">
        <v>626</v>
      </c>
      <c r="B719" s="6">
        <v>27.67</v>
      </c>
      <c r="C719" s="6">
        <v>251</v>
      </c>
      <c r="D719" s="6">
        <v>38.31</v>
      </c>
      <c r="E719" s="6">
        <v>214</v>
      </c>
    </row>
    <row r="720" spans="1:5" x14ac:dyDescent="0.25">
      <c r="A720" s="6" t="s">
        <v>686</v>
      </c>
      <c r="B720" s="6">
        <v>6.57</v>
      </c>
      <c r="C720" s="6">
        <v>99</v>
      </c>
      <c r="D720" s="6">
        <v>43.34</v>
      </c>
      <c r="E720" s="6">
        <v>401</v>
      </c>
    </row>
    <row r="721" spans="1:5" x14ac:dyDescent="0.25">
      <c r="A721" s="6" t="s">
        <v>471</v>
      </c>
      <c r="B721" s="6">
        <v>14.82</v>
      </c>
      <c r="C721" s="6">
        <v>163</v>
      </c>
      <c r="D721" s="6">
        <v>22.94</v>
      </c>
      <c r="E721" s="6">
        <v>151</v>
      </c>
    </row>
    <row r="722" spans="1:5" x14ac:dyDescent="0.25">
      <c r="A722" s="6" t="s">
        <v>860</v>
      </c>
      <c r="B722" s="6">
        <v>56.45</v>
      </c>
      <c r="C722" s="6">
        <v>764</v>
      </c>
      <c r="D722" s="6">
        <v>32.49</v>
      </c>
      <c r="E722" s="6">
        <v>375</v>
      </c>
    </row>
    <row r="723" spans="1:5" x14ac:dyDescent="0.25">
      <c r="A723" s="6" t="s">
        <v>688</v>
      </c>
      <c r="B723" s="6">
        <v>3.32</v>
      </c>
      <c r="C723" s="6">
        <v>62</v>
      </c>
      <c r="D723" s="6">
        <v>21.1</v>
      </c>
      <c r="E723" s="6">
        <v>218</v>
      </c>
    </row>
    <row r="724" spans="1:5" x14ac:dyDescent="0.25">
      <c r="A724" s="6" t="s">
        <v>861</v>
      </c>
      <c r="B724" s="6">
        <v>7.25</v>
      </c>
      <c r="C724" s="6">
        <v>120</v>
      </c>
      <c r="D724" s="6">
        <v>22.6</v>
      </c>
      <c r="E724" s="6">
        <v>249</v>
      </c>
    </row>
    <row r="725" spans="1:5" x14ac:dyDescent="0.25">
      <c r="A725" s="6" t="s">
        <v>364</v>
      </c>
      <c r="B725" s="6">
        <v>5.34</v>
      </c>
      <c r="C725" s="6">
        <v>99</v>
      </c>
      <c r="D725" s="6">
        <v>9.6</v>
      </c>
      <c r="E725" s="6">
        <v>95</v>
      </c>
    </row>
    <row r="726" spans="1:5" x14ac:dyDescent="0.25">
      <c r="A726" s="6" t="s">
        <v>55</v>
      </c>
      <c r="B726" s="6">
        <v>7.34</v>
      </c>
      <c r="C726" s="6">
        <v>94</v>
      </c>
      <c r="D726" s="6">
        <v>41.1</v>
      </c>
      <c r="E726" s="6">
        <v>345</v>
      </c>
    </row>
    <row r="727" spans="1:5" x14ac:dyDescent="0.25">
      <c r="A727" s="6" t="s">
        <v>19</v>
      </c>
      <c r="B727" s="6">
        <v>6.69</v>
      </c>
      <c r="C727" s="6">
        <v>114</v>
      </c>
      <c r="D727" s="6">
        <v>31.61</v>
      </c>
      <c r="E727" s="6">
        <v>300</v>
      </c>
    </row>
    <row r="728" spans="1:5" x14ac:dyDescent="0.25">
      <c r="A728" s="6" t="s">
        <v>183</v>
      </c>
      <c r="B728" s="6">
        <v>11.35</v>
      </c>
      <c r="C728" s="6">
        <v>134</v>
      </c>
      <c r="D728" s="6">
        <v>23.72</v>
      </c>
      <c r="E728" s="6">
        <v>152</v>
      </c>
    </row>
    <row r="729" spans="1:5" x14ac:dyDescent="0.25">
      <c r="A729" s="6" t="s">
        <v>687</v>
      </c>
      <c r="B729" s="6">
        <v>4.8099999999999996</v>
      </c>
      <c r="C729" s="6">
        <v>85</v>
      </c>
      <c r="D729" s="6">
        <v>22.31</v>
      </c>
      <c r="E729" s="6">
        <v>294</v>
      </c>
    </row>
    <row r="730" spans="1:5" x14ac:dyDescent="0.25">
      <c r="A730" s="6" t="s">
        <v>51</v>
      </c>
      <c r="B730" s="6">
        <v>7.19</v>
      </c>
      <c r="C730" s="6">
        <v>96</v>
      </c>
      <c r="D730" s="6">
        <v>23.75</v>
      </c>
      <c r="E730" s="6">
        <v>245</v>
      </c>
    </row>
    <row r="731" spans="1:5" x14ac:dyDescent="0.25">
      <c r="A731" s="6" t="s">
        <v>106</v>
      </c>
      <c r="B731" s="6">
        <v>7.84</v>
      </c>
      <c r="C731" s="6">
        <v>99</v>
      </c>
      <c r="D731" s="6">
        <v>25.16</v>
      </c>
      <c r="E731" s="6">
        <v>249</v>
      </c>
    </row>
    <row r="732" spans="1:5" x14ac:dyDescent="0.25">
      <c r="A732" s="6" t="s">
        <v>628</v>
      </c>
      <c r="B732" s="6">
        <v>6.64</v>
      </c>
      <c r="C732" s="6">
        <v>88</v>
      </c>
      <c r="D732" s="6">
        <v>43.75</v>
      </c>
      <c r="E732" s="6">
        <v>521</v>
      </c>
    </row>
    <row r="733" spans="1:5" x14ac:dyDescent="0.25">
      <c r="A733" s="6" t="s">
        <v>862</v>
      </c>
      <c r="B733" s="6">
        <v>19.07</v>
      </c>
      <c r="C733" s="6">
        <v>260</v>
      </c>
      <c r="D733" s="6">
        <v>64.11</v>
      </c>
      <c r="E733" s="6">
        <v>545</v>
      </c>
    </row>
    <row r="734" spans="1:5" x14ac:dyDescent="0.25">
      <c r="A734" s="6" t="s">
        <v>863</v>
      </c>
      <c r="B734" s="6">
        <v>67.150000000000006</v>
      </c>
      <c r="C734" s="6">
        <v>736</v>
      </c>
      <c r="D734" s="6">
        <v>34.36</v>
      </c>
      <c r="E734" s="6">
        <v>345</v>
      </c>
    </row>
    <row r="735" spans="1:5" x14ac:dyDescent="0.25">
      <c r="A735" s="6" t="s">
        <v>297</v>
      </c>
      <c r="B735" s="6">
        <v>3.05</v>
      </c>
      <c r="C735" s="6">
        <v>56</v>
      </c>
      <c r="D735" s="6">
        <v>22.86</v>
      </c>
      <c r="E735" s="6">
        <v>292</v>
      </c>
    </row>
    <row r="736" spans="1:5" x14ac:dyDescent="0.25">
      <c r="A736" s="6" t="s">
        <v>864</v>
      </c>
      <c r="B736" s="6">
        <v>20.93</v>
      </c>
      <c r="C736" s="6">
        <v>221</v>
      </c>
      <c r="D736" s="6">
        <v>48.42</v>
      </c>
      <c r="E736" s="6">
        <v>408</v>
      </c>
    </row>
    <row r="737" spans="1:5" x14ac:dyDescent="0.25">
      <c r="A737" s="6" t="s">
        <v>500</v>
      </c>
      <c r="B737" s="6">
        <v>14.29</v>
      </c>
      <c r="C737" s="6">
        <v>139</v>
      </c>
      <c r="D737" s="6">
        <v>46.01</v>
      </c>
      <c r="E737" s="6">
        <v>370</v>
      </c>
    </row>
    <row r="738" spans="1:5" x14ac:dyDescent="0.25">
      <c r="A738" s="6" t="s">
        <v>518</v>
      </c>
      <c r="B738" s="6">
        <v>9.4700000000000006</v>
      </c>
      <c r="C738" s="6">
        <v>97</v>
      </c>
      <c r="D738" s="6">
        <v>38.78</v>
      </c>
      <c r="E738" s="6">
        <v>440</v>
      </c>
    </row>
    <row r="739" spans="1:5" x14ac:dyDescent="0.25">
      <c r="A739" s="6" t="s">
        <v>624</v>
      </c>
      <c r="B739" s="6">
        <v>11.34</v>
      </c>
      <c r="C739" s="6">
        <v>132</v>
      </c>
      <c r="D739" s="6">
        <v>49.75</v>
      </c>
      <c r="E739" s="6">
        <v>410</v>
      </c>
    </row>
    <row r="740" spans="1:5" x14ac:dyDescent="0.25">
      <c r="A740" s="6" t="s">
        <v>344</v>
      </c>
      <c r="B740" s="6">
        <v>15.62</v>
      </c>
      <c r="C740" s="6">
        <v>162</v>
      </c>
      <c r="D740" s="6">
        <v>25.35</v>
      </c>
      <c r="E740" s="6">
        <v>222</v>
      </c>
    </row>
    <row r="741" spans="1:5" x14ac:dyDescent="0.25">
      <c r="A741" s="6" t="s">
        <v>865</v>
      </c>
      <c r="B741" s="6">
        <v>18.32</v>
      </c>
      <c r="C741" s="6">
        <v>228</v>
      </c>
      <c r="D741" s="6">
        <v>39.53</v>
      </c>
      <c r="E741" s="6">
        <v>431</v>
      </c>
    </row>
    <row r="742" spans="1:5" x14ac:dyDescent="0.25">
      <c r="A742" s="6" t="s">
        <v>273</v>
      </c>
      <c r="B742" s="6">
        <v>12.66</v>
      </c>
      <c r="C742" s="6">
        <v>140</v>
      </c>
      <c r="D742" s="6">
        <v>17.8</v>
      </c>
      <c r="E742" s="6">
        <v>126</v>
      </c>
    </row>
    <row r="743" spans="1:5" x14ac:dyDescent="0.25">
      <c r="A743" s="6" t="s">
        <v>149</v>
      </c>
      <c r="B743" s="6">
        <v>10.18</v>
      </c>
      <c r="C743" s="6">
        <v>139</v>
      </c>
      <c r="D743" s="6">
        <v>30.76</v>
      </c>
      <c r="E743" s="6">
        <v>330</v>
      </c>
    </row>
    <row r="744" spans="1:5" x14ac:dyDescent="0.25">
      <c r="A744" s="6" t="s">
        <v>866</v>
      </c>
      <c r="B744" s="6">
        <v>7.91</v>
      </c>
      <c r="C744" s="6">
        <v>114</v>
      </c>
      <c r="D744" s="6">
        <v>31.78</v>
      </c>
      <c r="E744" s="6">
        <v>346</v>
      </c>
    </row>
    <row r="745" spans="1:5" x14ac:dyDescent="0.25">
      <c r="A745" s="6" t="s">
        <v>76</v>
      </c>
      <c r="B745" s="6">
        <v>5.2</v>
      </c>
      <c r="C745" s="6">
        <v>81</v>
      </c>
      <c r="D745" s="6">
        <v>49.6</v>
      </c>
      <c r="E745" s="6">
        <v>525</v>
      </c>
    </row>
    <row r="746" spans="1:5" x14ac:dyDescent="0.25">
      <c r="A746" s="6" t="s">
        <v>360</v>
      </c>
      <c r="B746" s="6">
        <v>19.899999999999999</v>
      </c>
      <c r="C746" s="6">
        <v>188</v>
      </c>
      <c r="D746" s="6">
        <v>41</v>
      </c>
      <c r="E746" s="6">
        <v>297</v>
      </c>
    </row>
    <row r="747" spans="1:5" x14ac:dyDescent="0.25">
      <c r="A747" s="6" t="s">
        <v>867</v>
      </c>
      <c r="B747" s="6">
        <v>20.65</v>
      </c>
      <c r="C747" s="6">
        <v>248</v>
      </c>
      <c r="D747" s="6">
        <v>37.17</v>
      </c>
      <c r="E747" s="6">
        <v>396</v>
      </c>
    </row>
    <row r="748" spans="1:5" x14ac:dyDescent="0.25">
      <c r="A748" s="6" t="s">
        <v>33</v>
      </c>
      <c r="B748" s="6">
        <v>8.92</v>
      </c>
      <c r="C748" s="6">
        <v>125</v>
      </c>
      <c r="D748" s="6">
        <v>34.31</v>
      </c>
      <c r="E748" s="6">
        <v>359</v>
      </c>
    </row>
    <row r="749" spans="1:5" x14ac:dyDescent="0.25">
      <c r="A749" s="6" t="s">
        <v>568</v>
      </c>
      <c r="B749" s="6">
        <v>6.15</v>
      </c>
      <c r="C749" s="6">
        <v>83</v>
      </c>
      <c r="D749" s="6">
        <v>31.36</v>
      </c>
      <c r="E749" s="6">
        <v>327</v>
      </c>
    </row>
    <row r="750" spans="1:5" x14ac:dyDescent="0.25">
      <c r="A750" s="6" t="s">
        <v>98</v>
      </c>
      <c r="B750" s="6">
        <v>5.0999999999999996</v>
      </c>
      <c r="C750" s="6">
        <v>83</v>
      </c>
      <c r="D750" s="6">
        <v>17.93</v>
      </c>
      <c r="E750" s="6">
        <v>122</v>
      </c>
    </row>
    <row r="751" spans="1:5" x14ac:dyDescent="0.25">
      <c r="A751" s="6" t="s">
        <v>574</v>
      </c>
      <c r="B751" s="6">
        <v>3.7</v>
      </c>
      <c r="C751" s="6">
        <v>62</v>
      </c>
      <c r="D751" s="6">
        <v>12.74</v>
      </c>
      <c r="E751" s="6">
        <v>95</v>
      </c>
    </row>
    <row r="752" spans="1:5" x14ac:dyDescent="0.25">
      <c r="A752" s="6" t="s">
        <v>111</v>
      </c>
      <c r="B752" s="6">
        <v>4.63</v>
      </c>
      <c r="C752" s="6">
        <v>71</v>
      </c>
      <c r="D752" s="6">
        <v>23.26</v>
      </c>
      <c r="E752" s="6">
        <v>191</v>
      </c>
    </row>
    <row r="753" spans="1:5" x14ac:dyDescent="0.25">
      <c r="A753" s="6" t="s">
        <v>868</v>
      </c>
      <c r="B753" s="6">
        <v>25.35</v>
      </c>
      <c r="C753" s="6">
        <v>413</v>
      </c>
      <c r="D753" s="6">
        <v>14.1</v>
      </c>
      <c r="E753" s="6">
        <v>96</v>
      </c>
    </row>
    <row r="754" spans="1:5" x14ac:dyDescent="0.25">
      <c r="A754" s="6" t="s">
        <v>247</v>
      </c>
      <c r="B754" s="6">
        <v>5.32</v>
      </c>
      <c r="C754" s="6">
        <v>72</v>
      </c>
      <c r="D754" s="6">
        <v>50.08</v>
      </c>
      <c r="E754" s="6">
        <v>426</v>
      </c>
    </row>
    <row r="755" spans="1:5" x14ac:dyDescent="0.25">
      <c r="A755" s="6" t="s">
        <v>37</v>
      </c>
      <c r="B755" s="6">
        <v>5.28</v>
      </c>
      <c r="C755" s="6">
        <v>87</v>
      </c>
      <c r="D755" s="6">
        <v>19.920000000000002</v>
      </c>
      <c r="E755" s="6">
        <v>167</v>
      </c>
    </row>
    <row r="756" spans="1:5" x14ac:dyDescent="0.25">
      <c r="A756" s="6" t="s">
        <v>869</v>
      </c>
      <c r="B756" s="6">
        <v>24.28</v>
      </c>
      <c r="C756" s="6">
        <v>252</v>
      </c>
      <c r="D756" s="6">
        <v>34.229999999999997</v>
      </c>
      <c r="E756" s="6">
        <v>280</v>
      </c>
    </row>
    <row r="757" spans="1:5" x14ac:dyDescent="0.25">
      <c r="A757" s="6" t="s">
        <v>115</v>
      </c>
      <c r="B757" s="6">
        <v>3.6</v>
      </c>
      <c r="C757" s="6">
        <v>63</v>
      </c>
      <c r="D757" s="6">
        <v>40.14</v>
      </c>
      <c r="E757" s="6">
        <v>393</v>
      </c>
    </row>
    <row r="758" spans="1:5" x14ac:dyDescent="0.25">
      <c r="A758" s="6" t="s">
        <v>549</v>
      </c>
      <c r="B758" s="6">
        <v>9.7200000000000006</v>
      </c>
      <c r="C758" s="6">
        <v>110</v>
      </c>
      <c r="D758" s="6">
        <v>23.74</v>
      </c>
      <c r="E758" s="6">
        <v>174</v>
      </c>
    </row>
    <row r="759" spans="1:5" x14ac:dyDescent="0.25">
      <c r="A759" s="6" t="s">
        <v>222</v>
      </c>
      <c r="B759" s="6">
        <v>14.25</v>
      </c>
      <c r="C759" s="6">
        <v>204</v>
      </c>
      <c r="D759" s="6">
        <v>19.21</v>
      </c>
      <c r="E759" s="6">
        <v>247</v>
      </c>
    </row>
    <row r="760" spans="1:5" x14ac:dyDescent="0.25">
      <c r="A760" s="6" t="s">
        <v>20</v>
      </c>
      <c r="B760" s="6">
        <v>8.51</v>
      </c>
      <c r="C760" s="6">
        <v>106</v>
      </c>
      <c r="D760" s="6">
        <v>29.82</v>
      </c>
      <c r="E760" s="6">
        <v>254</v>
      </c>
    </row>
    <row r="761" spans="1:5" x14ac:dyDescent="0.25">
      <c r="A761" s="6" t="s">
        <v>0</v>
      </c>
      <c r="B761" s="6">
        <v>5.35</v>
      </c>
      <c r="C761" s="6">
        <v>90</v>
      </c>
      <c r="D761" s="6">
        <v>34.64</v>
      </c>
      <c r="E761" s="6">
        <v>340</v>
      </c>
    </row>
    <row r="762" spans="1:5" x14ac:dyDescent="0.25">
      <c r="A762" s="6" t="s">
        <v>345</v>
      </c>
      <c r="B762" s="6">
        <v>8.69</v>
      </c>
      <c r="C762" s="6">
        <v>123</v>
      </c>
      <c r="D762" s="6">
        <v>43.15</v>
      </c>
      <c r="E762" s="6">
        <v>492</v>
      </c>
    </row>
    <row r="763" spans="1:5" x14ac:dyDescent="0.25">
      <c r="A763" s="6" t="s">
        <v>275</v>
      </c>
      <c r="B763" s="6">
        <v>3.78</v>
      </c>
      <c r="C763" s="6">
        <v>63</v>
      </c>
      <c r="D763" s="6">
        <v>22.79</v>
      </c>
      <c r="E763" s="6">
        <v>250</v>
      </c>
    </row>
    <row r="764" spans="1:5" x14ac:dyDescent="0.25">
      <c r="A764" s="6" t="s">
        <v>604</v>
      </c>
      <c r="B764" s="6">
        <v>5.6</v>
      </c>
      <c r="C764" s="6">
        <v>83</v>
      </c>
      <c r="D764" s="6">
        <v>22.12</v>
      </c>
      <c r="E764" s="6">
        <v>194</v>
      </c>
    </row>
    <row r="765" spans="1:5" x14ac:dyDescent="0.25">
      <c r="A765" s="6" t="s">
        <v>870</v>
      </c>
      <c r="B765" s="6">
        <v>13.92</v>
      </c>
      <c r="C765" s="6">
        <v>163</v>
      </c>
      <c r="D765" s="6">
        <v>48.17</v>
      </c>
      <c r="E765" s="6">
        <v>442</v>
      </c>
    </row>
    <row r="766" spans="1:5" x14ac:dyDescent="0.25">
      <c r="A766" s="6" t="s">
        <v>495</v>
      </c>
      <c r="B766" s="6">
        <v>3.53</v>
      </c>
      <c r="C766" s="6">
        <v>75</v>
      </c>
      <c r="D766" s="6">
        <v>9.7100000000000009</v>
      </c>
      <c r="E766" s="6">
        <v>92</v>
      </c>
    </row>
    <row r="767" spans="1:5" x14ac:dyDescent="0.25">
      <c r="A767" s="6" t="s">
        <v>49</v>
      </c>
      <c r="B767" s="6">
        <v>7.69</v>
      </c>
      <c r="C767" s="6">
        <v>132</v>
      </c>
      <c r="D767" s="6">
        <v>17.25</v>
      </c>
      <c r="E767" s="6">
        <v>175</v>
      </c>
    </row>
    <row r="768" spans="1:5" x14ac:dyDescent="0.25">
      <c r="A768" s="6" t="s">
        <v>390</v>
      </c>
      <c r="B768" s="6">
        <v>14.06</v>
      </c>
      <c r="C768" s="6">
        <v>147</v>
      </c>
      <c r="D768" s="6">
        <v>44.61</v>
      </c>
      <c r="E768" s="6">
        <v>482</v>
      </c>
    </row>
    <row r="769" spans="1:5" x14ac:dyDescent="0.25">
      <c r="A769" s="6" t="s">
        <v>350</v>
      </c>
      <c r="B769" s="6">
        <v>8.4700000000000006</v>
      </c>
      <c r="C769" s="6">
        <v>95</v>
      </c>
      <c r="D769" s="6">
        <v>39.43</v>
      </c>
      <c r="E769" s="6">
        <v>260</v>
      </c>
    </row>
    <row r="770" spans="1:5" x14ac:dyDescent="0.25">
      <c r="A770" s="6" t="s">
        <v>545</v>
      </c>
      <c r="B770" s="6">
        <v>3.6</v>
      </c>
      <c r="C770" s="6">
        <v>63</v>
      </c>
      <c r="D770" s="6">
        <v>47.19</v>
      </c>
      <c r="E770" s="6">
        <v>546</v>
      </c>
    </row>
    <row r="771" spans="1:5" x14ac:dyDescent="0.25">
      <c r="A771" s="6" t="s">
        <v>284</v>
      </c>
      <c r="B771" s="6">
        <v>3.31</v>
      </c>
      <c r="C771" s="6">
        <v>55</v>
      </c>
      <c r="D771" s="6">
        <v>24</v>
      </c>
      <c r="E771" s="6">
        <v>244</v>
      </c>
    </row>
    <row r="772" spans="1:5" x14ac:dyDescent="0.25">
      <c r="A772" s="6" t="s">
        <v>871</v>
      </c>
      <c r="B772" s="6">
        <v>9.26</v>
      </c>
      <c r="C772" s="6">
        <v>149</v>
      </c>
      <c r="D772" s="6">
        <v>22.03</v>
      </c>
      <c r="E772" s="6">
        <v>199</v>
      </c>
    </row>
    <row r="773" spans="1:5" x14ac:dyDescent="0.25">
      <c r="A773" s="6" t="s">
        <v>28</v>
      </c>
      <c r="B773" s="6">
        <v>6.21</v>
      </c>
      <c r="C773" s="6">
        <v>84</v>
      </c>
      <c r="D773" s="6">
        <v>28.67</v>
      </c>
      <c r="E773" s="6">
        <v>296</v>
      </c>
    </row>
    <row r="774" spans="1:5" x14ac:dyDescent="0.25">
      <c r="A774" s="6" t="s">
        <v>368</v>
      </c>
      <c r="B774" s="6">
        <v>10</v>
      </c>
      <c r="C774" s="6">
        <v>134</v>
      </c>
      <c r="D774" s="6">
        <v>29.73</v>
      </c>
      <c r="E774" s="6">
        <v>236</v>
      </c>
    </row>
    <row r="775" spans="1:5" x14ac:dyDescent="0.25">
      <c r="A775" s="6" t="s">
        <v>198</v>
      </c>
      <c r="B775" s="6">
        <v>4.41</v>
      </c>
      <c r="C775" s="6">
        <v>68</v>
      </c>
      <c r="D775" s="6">
        <v>20.05</v>
      </c>
      <c r="E775" s="6">
        <v>192</v>
      </c>
    </row>
    <row r="776" spans="1:5" x14ac:dyDescent="0.25">
      <c r="A776" s="6" t="s">
        <v>461</v>
      </c>
      <c r="B776" s="6">
        <v>8.31</v>
      </c>
      <c r="C776" s="6">
        <v>123</v>
      </c>
      <c r="D776" s="6">
        <v>36.96</v>
      </c>
      <c r="E776" s="6">
        <v>308</v>
      </c>
    </row>
    <row r="777" spans="1:5" x14ac:dyDescent="0.25">
      <c r="A777" s="6" t="s">
        <v>324</v>
      </c>
      <c r="B777" s="6">
        <v>4.45</v>
      </c>
      <c r="C777" s="6">
        <v>70</v>
      </c>
      <c r="D777" s="6">
        <v>32.07</v>
      </c>
      <c r="E777" s="6">
        <v>339</v>
      </c>
    </row>
    <row r="778" spans="1:5" x14ac:dyDescent="0.25">
      <c r="A778" s="6" t="s">
        <v>373</v>
      </c>
      <c r="B778" s="6">
        <v>9.23</v>
      </c>
      <c r="C778" s="6">
        <v>120</v>
      </c>
      <c r="D778" s="6">
        <v>38.520000000000003</v>
      </c>
      <c r="E778" s="6">
        <v>319</v>
      </c>
    </row>
    <row r="779" spans="1:5" x14ac:dyDescent="0.25">
      <c r="A779" s="6" t="s">
        <v>459</v>
      </c>
      <c r="B779" s="6">
        <v>5.44</v>
      </c>
      <c r="C779" s="6">
        <v>82</v>
      </c>
      <c r="D779" s="6">
        <v>25.12</v>
      </c>
      <c r="E779" s="6">
        <v>295</v>
      </c>
    </row>
    <row r="780" spans="1:5" x14ac:dyDescent="0.25">
      <c r="A780" s="6" t="s">
        <v>243</v>
      </c>
      <c r="B780" s="6">
        <v>7.33</v>
      </c>
      <c r="C780" s="6">
        <v>117</v>
      </c>
      <c r="D780" s="6">
        <v>44.37</v>
      </c>
      <c r="E780" s="6">
        <v>487</v>
      </c>
    </row>
    <row r="781" spans="1:5" x14ac:dyDescent="0.25">
      <c r="A781" s="6" t="s">
        <v>578</v>
      </c>
      <c r="B781" s="6">
        <v>7.85</v>
      </c>
      <c r="C781" s="6">
        <v>111</v>
      </c>
      <c r="D781" s="6">
        <v>41.17</v>
      </c>
      <c r="E781" s="6">
        <v>428</v>
      </c>
    </row>
    <row r="782" spans="1:5" x14ac:dyDescent="0.25">
      <c r="A782" s="6" t="s">
        <v>153</v>
      </c>
      <c r="B782" s="6">
        <v>4.2</v>
      </c>
      <c r="C782" s="6">
        <v>64</v>
      </c>
      <c r="D782" s="6">
        <v>26.98</v>
      </c>
      <c r="E782" s="6">
        <v>301</v>
      </c>
    </row>
    <row r="783" spans="1:5" x14ac:dyDescent="0.25">
      <c r="A783" s="6" t="s">
        <v>491</v>
      </c>
      <c r="B783" s="6">
        <v>2.82</v>
      </c>
      <c r="C783" s="6">
        <v>60</v>
      </c>
      <c r="D783" s="6">
        <v>13.03</v>
      </c>
      <c r="E783" s="6">
        <v>109</v>
      </c>
    </row>
    <row r="784" spans="1:5" x14ac:dyDescent="0.25">
      <c r="A784" s="6" t="s">
        <v>132</v>
      </c>
      <c r="B784" s="6">
        <v>2.87</v>
      </c>
      <c r="C784" s="6">
        <v>55</v>
      </c>
      <c r="D784" s="6">
        <v>11.66</v>
      </c>
      <c r="E784" s="6">
        <v>118</v>
      </c>
    </row>
    <row r="785" spans="1:5" x14ac:dyDescent="0.25">
      <c r="A785" s="6" t="s">
        <v>677</v>
      </c>
      <c r="B785" s="6">
        <v>4.2</v>
      </c>
      <c r="C785" s="6">
        <v>73</v>
      </c>
      <c r="D785" s="6">
        <v>27.02</v>
      </c>
      <c r="E785" s="6">
        <v>326</v>
      </c>
    </row>
    <row r="786" spans="1:5" x14ac:dyDescent="0.25">
      <c r="A786" s="6" t="s">
        <v>166</v>
      </c>
      <c r="B786" s="6">
        <v>2.44</v>
      </c>
      <c r="C786" s="6">
        <v>48</v>
      </c>
      <c r="D786" s="6">
        <v>21.9</v>
      </c>
      <c r="E786" s="6">
        <v>310</v>
      </c>
    </row>
    <row r="787" spans="1:5" x14ac:dyDescent="0.25">
      <c r="A787" s="6" t="s">
        <v>588</v>
      </c>
      <c r="B787" s="6">
        <v>7.06</v>
      </c>
      <c r="C787" s="6">
        <v>89</v>
      </c>
      <c r="D787" s="6">
        <v>26.72</v>
      </c>
      <c r="E787" s="6">
        <v>201</v>
      </c>
    </row>
    <row r="788" spans="1:5" x14ac:dyDescent="0.25">
      <c r="A788" s="6" t="s">
        <v>441</v>
      </c>
      <c r="B788" s="6">
        <v>6.27</v>
      </c>
      <c r="C788" s="6">
        <v>101</v>
      </c>
      <c r="D788" s="6">
        <v>14.99</v>
      </c>
      <c r="E788" s="6">
        <v>134</v>
      </c>
    </row>
    <row r="789" spans="1:5" x14ac:dyDescent="0.25">
      <c r="A789" s="6" t="s">
        <v>351</v>
      </c>
      <c r="B789" s="6">
        <v>6.15</v>
      </c>
      <c r="C789" s="6">
        <v>72</v>
      </c>
      <c r="D789" s="6">
        <v>41.64</v>
      </c>
      <c r="E789" s="6">
        <v>480</v>
      </c>
    </row>
    <row r="790" spans="1:5" x14ac:dyDescent="0.25">
      <c r="A790" s="6" t="s">
        <v>681</v>
      </c>
      <c r="B790" s="6">
        <v>8.5500000000000007</v>
      </c>
      <c r="C790" s="6">
        <v>93</v>
      </c>
      <c r="D790" s="6">
        <v>45.27</v>
      </c>
      <c r="E790" s="6">
        <v>416</v>
      </c>
    </row>
    <row r="791" spans="1:5" x14ac:dyDescent="0.25">
      <c r="A791" s="6" t="s">
        <v>202</v>
      </c>
      <c r="B791" s="6">
        <v>7.97</v>
      </c>
      <c r="C791" s="6">
        <v>106</v>
      </c>
      <c r="D791" s="6">
        <v>26.45</v>
      </c>
      <c r="E791" s="6">
        <v>174</v>
      </c>
    </row>
    <row r="792" spans="1:5" x14ac:dyDescent="0.25">
      <c r="A792" s="6" t="s">
        <v>475</v>
      </c>
      <c r="B792" s="6">
        <v>12.66</v>
      </c>
      <c r="C792" s="6">
        <v>140</v>
      </c>
      <c r="D792" s="6">
        <v>12.64</v>
      </c>
      <c r="E792" s="6">
        <v>67</v>
      </c>
    </row>
    <row r="793" spans="1:5" x14ac:dyDescent="0.25">
      <c r="A793" s="6" t="s">
        <v>92</v>
      </c>
      <c r="B793" s="6">
        <v>18.78</v>
      </c>
      <c r="C793" s="6">
        <v>247</v>
      </c>
      <c r="D793" s="6">
        <v>43.19</v>
      </c>
      <c r="E793" s="6">
        <v>340</v>
      </c>
    </row>
    <row r="794" spans="1:5" x14ac:dyDescent="0.25">
      <c r="A794" s="6" t="s">
        <v>335</v>
      </c>
      <c r="B794" s="6">
        <v>17.420000000000002</v>
      </c>
      <c r="C794" s="6">
        <v>193</v>
      </c>
      <c r="D794" s="6">
        <v>30.71</v>
      </c>
      <c r="E794" s="6">
        <v>244</v>
      </c>
    </row>
    <row r="795" spans="1:5" x14ac:dyDescent="0.25">
      <c r="A795" s="6" t="s">
        <v>872</v>
      </c>
      <c r="B795" s="6">
        <v>21.9</v>
      </c>
      <c r="C795" s="6">
        <v>282</v>
      </c>
      <c r="D795" s="6">
        <v>35.35</v>
      </c>
      <c r="E795" s="6">
        <v>294</v>
      </c>
    </row>
    <row r="796" spans="1:5" x14ac:dyDescent="0.25">
      <c r="A796" s="6" t="s">
        <v>703</v>
      </c>
      <c r="B796" s="6">
        <v>7.8</v>
      </c>
      <c r="C796" s="6">
        <v>115</v>
      </c>
      <c r="D796" s="6">
        <v>35.94</v>
      </c>
      <c r="E796" s="6">
        <v>338</v>
      </c>
    </row>
    <row r="797" spans="1:5" x14ac:dyDescent="0.25">
      <c r="A797" s="6" t="s">
        <v>492</v>
      </c>
      <c r="B797" s="6">
        <v>4.5199999999999996</v>
      </c>
      <c r="C797" s="6">
        <v>70</v>
      </c>
      <c r="D797" s="6">
        <v>10.199999999999999</v>
      </c>
      <c r="E797" s="6">
        <v>65</v>
      </c>
    </row>
    <row r="798" spans="1:5" x14ac:dyDescent="0.25">
      <c r="A798" s="6" t="s">
        <v>608</v>
      </c>
      <c r="B798" s="6">
        <v>7.06</v>
      </c>
      <c r="C798" s="6">
        <v>101</v>
      </c>
      <c r="D798" s="6">
        <v>25.27</v>
      </c>
      <c r="E798" s="6">
        <v>251</v>
      </c>
    </row>
    <row r="799" spans="1:5" x14ac:dyDescent="0.25">
      <c r="A799" s="6" t="s">
        <v>873</v>
      </c>
      <c r="B799" s="6">
        <v>4.22</v>
      </c>
      <c r="C799" s="6">
        <v>77</v>
      </c>
      <c r="D799" s="6">
        <v>41.77</v>
      </c>
      <c r="E799" s="6">
        <v>435</v>
      </c>
    </row>
    <row r="800" spans="1:5" x14ac:dyDescent="0.25">
      <c r="A800" s="6" t="s">
        <v>57</v>
      </c>
      <c r="B800" s="6">
        <v>5.69</v>
      </c>
      <c r="C800" s="6">
        <v>98</v>
      </c>
      <c r="D800" s="6">
        <v>21.2</v>
      </c>
      <c r="E800" s="6">
        <v>217</v>
      </c>
    </row>
    <row r="801" spans="1:5" x14ac:dyDescent="0.25">
      <c r="A801" s="6" t="s">
        <v>347</v>
      </c>
      <c r="B801" s="6">
        <v>7.92</v>
      </c>
      <c r="C801" s="6">
        <v>102</v>
      </c>
      <c r="D801" s="6">
        <v>32.409999999999997</v>
      </c>
      <c r="E801" s="6">
        <v>286</v>
      </c>
    </row>
    <row r="802" spans="1:5" x14ac:dyDescent="0.25">
      <c r="A802" s="6" t="s">
        <v>17</v>
      </c>
      <c r="B802" s="6">
        <v>5.09</v>
      </c>
      <c r="C802" s="6">
        <v>88</v>
      </c>
      <c r="D802" s="6">
        <v>7.13</v>
      </c>
      <c r="E802" s="6">
        <v>46</v>
      </c>
    </row>
    <row r="803" spans="1:5" x14ac:dyDescent="0.25">
      <c r="A803" s="6" t="s">
        <v>598</v>
      </c>
      <c r="B803" s="6">
        <v>4.3</v>
      </c>
      <c r="C803" s="6">
        <v>78</v>
      </c>
      <c r="D803" s="6">
        <v>21.5</v>
      </c>
      <c r="E803" s="6">
        <v>281</v>
      </c>
    </row>
    <row r="804" spans="1:5" x14ac:dyDescent="0.25">
      <c r="A804" s="6" t="s">
        <v>403</v>
      </c>
      <c r="B804" s="6">
        <v>15.72</v>
      </c>
      <c r="C804" s="6">
        <v>194</v>
      </c>
      <c r="D804" s="6">
        <v>28.94</v>
      </c>
      <c r="E804" s="6">
        <v>276</v>
      </c>
    </row>
    <row r="805" spans="1:5" x14ac:dyDescent="0.25">
      <c r="A805" s="6" t="s">
        <v>646</v>
      </c>
      <c r="B805" s="6">
        <v>8.67</v>
      </c>
      <c r="C805" s="6">
        <v>119</v>
      </c>
      <c r="D805" s="6">
        <v>45.21</v>
      </c>
      <c r="E805" s="6">
        <v>446</v>
      </c>
    </row>
    <row r="806" spans="1:5" x14ac:dyDescent="0.25">
      <c r="A806" s="6" t="s">
        <v>874</v>
      </c>
      <c r="B806" s="6">
        <v>10.45</v>
      </c>
      <c r="C806" s="6">
        <v>182</v>
      </c>
      <c r="D806" s="6">
        <v>11.45</v>
      </c>
      <c r="E806" s="6">
        <v>116</v>
      </c>
    </row>
    <row r="807" spans="1:5" x14ac:dyDescent="0.25">
      <c r="A807" s="6" t="s">
        <v>89</v>
      </c>
      <c r="B807" s="6">
        <v>6.9</v>
      </c>
      <c r="C807" s="6">
        <v>114</v>
      </c>
      <c r="D807" s="6">
        <v>36.86</v>
      </c>
      <c r="E807" s="6">
        <v>394</v>
      </c>
    </row>
    <row r="808" spans="1:5" x14ac:dyDescent="0.25">
      <c r="A808" s="6" t="s">
        <v>875</v>
      </c>
      <c r="B808" s="6">
        <v>27.05</v>
      </c>
      <c r="C808" s="6">
        <v>434</v>
      </c>
      <c r="D808" s="6">
        <v>9.8000000000000007</v>
      </c>
      <c r="E808" s="6">
        <v>44</v>
      </c>
    </row>
    <row r="809" spans="1:5" x14ac:dyDescent="0.25">
      <c r="A809" s="6" t="s">
        <v>251</v>
      </c>
      <c r="B809" s="6">
        <v>5.65</v>
      </c>
      <c r="C809" s="6">
        <v>89</v>
      </c>
      <c r="D809" s="6">
        <v>29.05</v>
      </c>
      <c r="E809" s="6">
        <v>216</v>
      </c>
    </row>
    <row r="810" spans="1:5" x14ac:dyDescent="0.25">
      <c r="A810" s="6" t="s">
        <v>423</v>
      </c>
      <c r="B810" s="6">
        <v>10.56</v>
      </c>
      <c r="C810" s="6">
        <v>109</v>
      </c>
      <c r="D810" s="6">
        <v>39.01</v>
      </c>
      <c r="E810" s="6">
        <v>429</v>
      </c>
    </row>
    <row r="811" spans="1:5" x14ac:dyDescent="0.25">
      <c r="A811" s="6" t="s">
        <v>704</v>
      </c>
      <c r="B811" s="6">
        <v>4.53</v>
      </c>
      <c r="C811" s="6">
        <v>71</v>
      </c>
      <c r="D811" s="6">
        <v>33.700000000000003</v>
      </c>
      <c r="E811" s="6">
        <v>273</v>
      </c>
    </row>
    <row r="812" spans="1:5" x14ac:dyDescent="0.25">
      <c r="A812" s="6" t="s">
        <v>260</v>
      </c>
      <c r="B812" s="6">
        <v>15.68</v>
      </c>
      <c r="C812" s="6">
        <v>144</v>
      </c>
      <c r="D812" s="6">
        <v>44.81</v>
      </c>
      <c r="E812" s="6">
        <v>392</v>
      </c>
    </row>
    <row r="813" spans="1:5" x14ac:dyDescent="0.25">
      <c r="A813" s="6" t="s">
        <v>876</v>
      </c>
      <c r="B813" s="6">
        <v>6.71</v>
      </c>
      <c r="C813" s="6">
        <v>102</v>
      </c>
      <c r="D813" s="6">
        <v>23.24</v>
      </c>
      <c r="E813" s="6">
        <v>187</v>
      </c>
    </row>
    <row r="814" spans="1:5" x14ac:dyDescent="0.25">
      <c r="A814" s="6" t="s">
        <v>11</v>
      </c>
      <c r="B814" s="6">
        <v>4.8899999999999997</v>
      </c>
      <c r="C814" s="6">
        <v>89</v>
      </c>
      <c r="D814" s="6">
        <v>17.41</v>
      </c>
      <c r="E814" s="6">
        <v>117</v>
      </c>
    </row>
    <row r="815" spans="1:5" x14ac:dyDescent="0.25">
      <c r="A815" s="6" t="s">
        <v>463</v>
      </c>
      <c r="B815" s="6">
        <v>6.42</v>
      </c>
      <c r="C815" s="6">
        <v>91</v>
      </c>
      <c r="D815" s="6">
        <v>33.71</v>
      </c>
      <c r="E815" s="6">
        <v>340</v>
      </c>
    </row>
    <row r="816" spans="1:5" x14ac:dyDescent="0.25">
      <c r="A816" s="6" t="s">
        <v>396</v>
      </c>
      <c r="B816" s="6">
        <v>7.11</v>
      </c>
      <c r="C816" s="6">
        <v>107</v>
      </c>
      <c r="D816" s="6">
        <v>20.12</v>
      </c>
      <c r="E816" s="6">
        <v>165</v>
      </c>
    </row>
    <row r="817" spans="1:5" x14ac:dyDescent="0.25">
      <c r="A817" s="6" t="s">
        <v>537</v>
      </c>
      <c r="B817" s="6">
        <v>4.04</v>
      </c>
      <c r="C817" s="6">
        <v>72</v>
      </c>
      <c r="D817" s="6">
        <v>23.83</v>
      </c>
      <c r="E817" s="6">
        <v>272</v>
      </c>
    </row>
    <row r="818" spans="1:5" x14ac:dyDescent="0.25">
      <c r="A818" s="6" t="s">
        <v>481</v>
      </c>
      <c r="B818" s="6">
        <v>5.53</v>
      </c>
      <c r="C818" s="6">
        <v>79</v>
      </c>
      <c r="D818" s="6">
        <v>23.06</v>
      </c>
      <c r="E818" s="6">
        <v>290</v>
      </c>
    </row>
    <row r="819" spans="1:5" x14ac:dyDescent="0.25">
      <c r="A819" s="6" t="s">
        <v>676</v>
      </c>
      <c r="B819" s="6">
        <v>15.99</v>
      </c>
      <c r="C819" s="6">
        <v>188</v>
      </c>
      <c r="D819" s="6">
        <v>23.59</v>
      </c>
      <c r="E819" s="6">
        <v>191</v>
      </c>
    </row>
    <row r="820" spans="1:5" x14ac:dyDescent="0.25">
      <c r="A820" s="6" t="s">
        <v>104</v>
      </c>
      <c r="B820" s="6">
        <v>3.68</v>
      </c>
      <c r="C820" s="6">
        <v>67</v>
      </c>
      <c r="D820" s="6">
        <v>21.07</v>
      </c>
      <c r="E820" s="6">
        <v>239</v>
      </c>
    </row>
    <row r="821" spans="1:5" x14ac:dyDescent="0.25">
      <c r="A821" s="6" t="s">
        <v>585</v>
      </c>
      <c r="B821" s="6">
        <v>7.4</v>
      </c>
      <c r="C821" s="6">
        <v>105</v>
      </c>
      <c r="D821" s="6">
        <v>27.5</v>
      </c>
      <c r="E821" s="6">
        <v>303</v>
      </c>
    </row>
    <row r="822" spans="1:5" x14ac:dyDescent="0.25">
      <c r="A822" s="6" t="s">
        <v>647</v>
      </c>
      <c r="B822" s="6">
        <v>7.78</v>
      </c>
      <c r="C822" s="6">
        <v>113</v>
      </c>
      <c r="D822" s="6">
        <v>24.88</v>
      </c>
      <c r="E822" s="6">
        <v>283</v>
      </c>
    </row>
    <row r="823" spans="1:5" x14ac:dyDescent="0.25">
      <c r="A823" s="6" t="s">
        <v>63</v>
      </c>
      <c r="B823" s="6">
        <v>4.4000000000000004</v>
      </c>
      <c r="C823" s="6">
        <v>66</v>
      </c>
      <c r="D823" s="6">
        <v>19.260000000000002</v>
      </c>
      <c r="E823" s="6">
        <v>166</v>
      </c>
    </row>
    <row r="824" spans="1:5" x14ac:dyDescent="0.25">
      <c r="A824" s="6" t="s">
        <v>419</v>
      </c>
      <c r="B824" s="6">
        <v>2.41</v>
      </c>
      <c r="C824" s="6">
        <v>51</v>
      </c>
      <c r="D824" s="6">
        <v>12.33</v>
      </c>
      <c r="E824" s="6">
        <v>147</v>
      </c>
    </row>
    <row r="825" spans="1:5" x14ac:dyDescent="0.25">
      <c r="A825" s="6" t="s">
        <v>299</v>
      </c>
      <c r="B825" s="6">
        <v>4.3099999999999996</v>
      </c>
      <c r="C825" s="6">
        <v>71</v>
      </c>
      <c r="D825" s="6">
        <v>18.09</v>
      </c>
      <c r="E825" s="6">
        <v>158</v>
      </c>
    </row>
    <row r="826" spans="1:5" x14ac:dyDescent="0.25">
      <c r="A826" s="6" t="s">
        <v>700</v>
      </c>
      <c r="B826" s="6">
        <v>7.91</v>
      </c>
      <c r="C826" s="6">
        <v>96</v>
      </c>
      <c r="D826" s="6">
        <v>27.12</v>
      </c>
      <c r="E826" s="6">
        <v>297</v>
      </c>
    </row>
    <row r="827" spans="1:5" x14ac:dyDescent="0.25">
      <c r="A827" s="6" t="s">
        <v>456</v>
      </c>
      <c r="B827" s="6">
        <v>17.96</v>
      </c>
      <c r="C827" s="6">
        <v>187</v>
      </c>
      <c r="D827" s="6">
        <v>24.07</v>
      </c>
      <c r="E827" s="6">
        <v>191</v>
      </c>
    </row>
    <row r="828" spans="1:5" x14ac:dyDescent="0.25">
      <c r="A828" s="6" t="s">
        <v>877</v>
      </c>
      <c r="B828" s="6">
        <v>20.02</v>
      </c>
      <c r="C828" s="6">
        <v>199</v>
      </c>
      <c r="D828" s="6">
        <v>74.63</v>
      </c>
      <c r="E828" s="6">
        <v>658</v>
      </c>
    </row>
    <row r="829" spans="1:5" x14ac:dyDescent="0.25">
      <c r="A829" s="6" t="s">
        <v>487</v>
      </c>
      <c r="B829" s="6">
        <v>4.54</v>
      </c>
      <c r="C829" s="6">
        <v>71</v>
      </c>
      <c r="D829" s="6">
        <v>24.37</v>
      </c>
      <c r="E829" s="6">
        <v>204</v>
      </c>
    </row>
    <row r="830" spans="1:5" x14ac:dyDescent="0.25">
      <c r="A830" s="6" t="s">
        <v>208</v>
      </c>
      <c r="B830" s="6">
        <v>2.66</v>
      </c>
      <c r="C830" s="6">
        <v>58</v>
      </c>
      <c r="D830" s="6">
        <v>14.87</v>
      </c>
      <c r="E830" s="6">
        <v>126</v>
      </c>
    </row>
    <row r="831" spans="1:5" x14ac:dyDescent="0.25">
      <c r="A831" s="6" t="s">
        <v>731</v>
      </c>
      <c r="B831" s="6">
        <v>5.55</v>
      </c>
      <c r="C831" s="6">
        <v>78</v>
      </c>
      <c r="D831" s="6">
        <v>24.3</v>
      </c>
      <c r="E831" s="6">
        <v>221</v>
      </c>
    </row>
    <row r="832" spans="1:5" x14ac:dyDescent="0.25">
      <c r="A832" s="6" t="s">
        <v>878</v>
      </c>
      <c r="B832" s="6">
        <v>6.67</v>
      </c>
      <c r="C832" s="6">
        <v>105</v>
      </c>
      <c r="D832" s="6">
        <v>21.25</v>
      </c>
      <c r="E832" s="6">
        <v>173</v>
      </c>
    </row>
    <row r="833" spans="1:5" x14ac:dyDescent="0.25">
      <c r="A833" s="6" t="s">
        <v>879</v>
      </c>
      <c r="B833" s="6">
        <v>9.4600000000000009</v>
      </c>
      <c r="C833" s="6">
        <v>118</v>
      </c>
      <c r="D833" s="6">
        <v>18.649999999999999</v>
      </c>
      <c r="E833" s="6">
        <v>114</v>
      </c>
    </row>
    <row r="834" spans="1:5" x14ac:dyDescent="0.25">
      <c r="A834" s="6" t="s">
        <v>560</v>
      </c>
      <c r="B834" s="6">
        <v>4.79</v>
      </c>
      <c r="C834" s="6">
        <v>86</v>
      </c>
      <c r="D834" s="6">
        <v>26.24</v>
      </c>
      <c r="E834" s="6">
        <v>196</v>
      </c>
    </row>
    <row r="835" spans="1:5" x14ac:dyDescent="0.25">
      <c r="A835" s="6" t="s">
        <v>539</v>
      </c>
      <c r="B835" s="6">
        <v>4.6399999999999997</v>
      </c>
      <c r="C835" s="6">
        <v>74</v>
      </c>
      <c r="D835" s="6">
        <v>17.73</v>
      </c>
      <c r="E835" s="6">
        <v>142</v>
      </c>
    </row>
    <row r="836" spans="1:5" x14ac:dyDescent="0.25">
      <c r="A836" s="6" t="s">
        <v>340</v>
      </c>
      <c r="B836" s="6">
        <v>15.26</v>
      </c>
      <c r="C836" s="6">
        <v>140</v>
      </c>
      <c r="D836" s="6">
        <v>35.1</v>
      </c>
      <c r="E836" s="6">
        <v>261</v>
      </c>
    </row>
    <row r="837" spans="1:5" x14ac:dyDescent="0.25">
      <c r="A837" s="6" t="s">
        <v>880</v>
      </c>
      <c r="B837" s="6">
        <v>83.2</v>
      </c>
      <c r="C837" s="6">
        <v>1074</v>
      </c>
      <c r="D837" s="6">
        <v>38.99</v>
      </c>
      <c r="E837" s="6">
        <v>328</v>
      </c>
    </row>
    <row r="838" spans="1:5" x14ac:dyDescent="0.25">
      <c r="A838" s="6" t="s">
        <v>309</v>
      </c>
      <c r="B838" s="6">
        <v>4.42</v>
      </c>
      <c r="C838" s="6">
        <v>74</v>
      </c>
      <c r="D838" s="6">
        <v>26.4</v>
      </c>
      <c r="E838" s="6">
        <v>323</v>
      </c>
    </row>
    <row r="839" spans="1:5" x14ac:dyDescent="0.25">
      <c r="A839" s="6" t="s">
        <v>746</v>
      </c>
      <c r="B839" s="6">
        <v>7.67</v>
      </c>
      <c r="C839" s="6">
        <v>95</v>
      </c>
      <c r="D839" s="6">
        <v>34.04</v>
      </c>
      <c r="E839" s="6">
        <v>312</v>
      </c>
    </row>
    <row r="840" spans="1:5" x14ac:dyDescent="0.25">
      <c r="A840" s="6" t="s">
        <v>530</v>
      </c>
      <c r="B840" s="6">
        <v>6.58</v>
      </c>
      <c r="C840" s="6">
        <v>93</v>
      </c>
      <c r="D840" s="6">
        <v>25.32</v>
      </c>
      <c r="E840" s="6">
        <v>207</v>
      </c>
    </row>
    <row r="841" spans="1:5" x14ac:dyDescent="0.25">
      <c r="A841" s="6" t="s">
        <v>701</v>
      </c>
      <c r="B841" s="6">
        <v>1.82</v>
      </c>
      <c r="C841" s="6">
        <v>41</v>
      </c>
      <c r="D841" s="6">
        <v>13.36</v>
      </c>
      <c r="E841" s="6">
        <v>162</v>
      </c>
    </row>
    <row r="842" spans="1:5" x14ac:dyDescent="0.25">
      <c r="A842" s="6" t="s">
        <v>239</v>
      </c>
      <c r="B842" s="6">
        <v>11.24</v>
      </c>
      <c r="C842" s="6">
        <v>145</v>
      </c>
      <c r="D842" s="6">
        <v>35.380000000000003</v>
      </c>
      <c r="E842" s="6">
        <v>231</v>
      </c>
    </row>
    <row r="843" spans="1:5" x14ac:dyDescent="0.25">
      <c r="A843" s="6" t="s">
        <v>125</v>
      </c>
      <c r="B843" s="6">
        <v>6.3</v>
      </c>
      <c r="C843" s="6">
        <v>94</v>
      </c>
      <c r="D843" s="6">
        <v>8.24</v>
      </c>
      <c r="E843" s="6">
        <v>51</v>
      </c>
    </row>
    <row r="844" spans="1:5" x14ac:dyDescent="0.25">
      <c r="A844" s="6" t="s">
        <v>513</v>
      </c>
      <c r="B844" s="6">
        <v>2.1800000000000002</v>
      </c>
      <c r="C844" s="6">
        <v>43</v>
      </c>
      <c r="D844" s="6">
        <v>16</v>
      </c>
      <c r="E844" s="6">
        <v>161</v>
      </c>
    </row>
    <row r="845" spans="1:5" x14ac:dyDescent="0.25">
      <c r="A845" s="6" t="s">
        <v>377</v>
      </c>
      <c r="B845" s="6">
        <v>11.21</v>
      </c>
      <c r="C845" s="6">
        <v>156</v>
      </c>
      <c r="D845" s="6">
        <v>11.04</v>
      </c>
      <c r="E845" s="6">
        <v>72</v>
      </c>
    </row>
    <row r="846" spans="1:5" x14ac:dyDescent="0.25">
      <c r="A846" s="6" t="s">
        <v>660</v>
      </c>
      <c r="B846" s="6">
        <v>13.16</v>
      </c>
      <c r="C846" s="6">
        <v>135</v>
      </c>
      <c r="D846" s="6">
        <v>42.7</v>
      </c>
      <c r="E846" s="6">
        <v>304</v>
      </c>
    </row>
    <row r="847" spans="1:5" x14ac:dyDescent="0.25">
      <c r="A847" s="6" t="s">
        <v>5</v>
      </c>
      <c r="B847" s="6">
        <v>4.5199999999999996</v>
      </c>
      <c r="C847" s="6">
        <v>78</v>
      </c>
      <c r="D847" s="6">
        <v>18.14</v>
      </c>
      <c r="E847" s="6">
        <v>192</v>
      </c>
    </row>
    <row r="848" spans="1:5" x14ac:dyDescent="0.25">
      <c r="A848" s="6" t="s">
        <v>143</v>
      </c>
      <c r="B848" s="6">
        <v>3.69</v>
      </c>
      <c r="C848" s="6">
        <v>70</v>
      </c>
      <c r="D848" s="6">
        <v>11.87</v>
      </c>
      <c r="E848" s="6">
        <v>74</v>
      </c>
    </row>
    <row r="849" spans="1:5" x14ac:dyDescent="0.25">
      <c r="A849" s="6" t="s">
        <v>527</v>
      </c>
      <c r="B849" s="6">
        <v>11.44</v>
      </c>
      <c r="C849" s="6">
        <v>155</v>
      </c>
      <c r="D849" s="6">
        <v>25.91</v>
      </c>
      <c r="E849" s="6">
        <v>198</v>
      </c>
    </row>
    <row r="850" spans="1:5" x14ac:dyDescent="0.25">
      <c r="A850" s="6" t="s">
        <v>669</v>
      </c>
      <c r="B850" s="6">
        <v>5.64</v>
      </c>
      <c r="C850" s="6">
        <v>90</v>
      </c>
      <c r="D850" s="6">
        <v>32.53</v>
      </c>
      <c r="E850" s="6">
        <v>360</v>
      </c>
    </row>
    <row r="851" spans="1:5" x14ac:dyDescent="0.25">
      <c r="A851" s="6" t="s">
        <v>881</v>
      </c>
      <c r="B851" s="6">
        <v>12.83</v>
      </c>
      <c r="C851" s="6">
        <v>198</v>
      </c>
      <c r="D851" s="6">
        <v>16.93</v>
      </c>
      <c r="E851" s="6">
        <v>151</v>
      </c>
    </row>
    <row r="852" spans="1:5" x14ac:dyDescent="0.25">
      <c r="A852" s="6" t="s">
        <v>265</v>
      </c>
      <c r="B852" s="6">
        <v>5.0999999999999996</v>
      </c>
      <c r="C852" s="6">
        <v>82</v>
      </c>
      <c r="D852" s="6">
        <v>16.96</v>
      </c>
      <c r="E852" s="6">
        <v>118</v>
      </c>
    </row>
    <row r="853" spans="1:5" x14ac:dyDescent="0.25">
      <c r="A853" s="6" t="s">
        <v>570</v>
      </c>
      <c r="B853" s="6">
        <v>20.27</v>
      </c>
      <c r="C853" s="6">
        <v>191</v>
      </c>
      <c r="D853" s="6">
        <v>23.35</v>
      </c>
      <c r="E853" s="6">
        <v>137</v>
      </c>
    </row>
    <row r="854" spans="1:5" x14ac:dyDescent="0.25">
      <c r="A854" s="6" t="s">
        <v>452</v>
      </c>
      <c r="B854" s="6">
        <v>16.690000000000001</v>
      </c>
      <c r="C854" s="6">
        <v>168</v>
      </c>
      <c r="D854" s="6">
        <v>43.93</v>
      </c>
      <c r="E854" s="6">
        <v>337</v>
      </c>
    </row>
    <row r="855" spans="1:5" x14ac:dyDescent="0.25">
      <c r="A855" s="6" t="s">
        <v>705</v>
      </c>
      <c r="B855" s="6">
        <v>23.99</v>
      </c>
      <c r="C855" s="6">
        <v>222</v>
      </c>
      <c r="D855" s="6">
        <v>60.58</v>
      </c>
      <c r="E855" s="6">
        <v>474</v>
      </c>
    </row>
    <row r="856" spans="1:5" x14ac:dyDescent="0.25">
      <c r="A856" s="6" t="s">
        <v>30</v>
      </c>
      <c r="B856" s="6">
        <v>12.56</v>
      </c>
      <c r="C856" s="6">
        <v>121</v>
      </c>
      <c r="D856" s="6">
        <v>23.49</v>
      </c>
      <c r="E856" s="6">
        <v>126</v>
      </c>
    </row>
    <row r="857" spans="1:5" x14ac:dyDescent="0.25">
      <c r="A857" s="6" t="s">
        <v>424</v>
      </c>
      <c r="B857" s="6">
        <v>14.51</v>
      </c>
      <c r="C857" s="6">
        <v>147</v>
      </c>
      <c r="D857" s="6">
        <v>50.32</v>
      </c>
      <c r="E857" s="6">
        <v>417</v>
      </c>
    </row>
    <row r="858" spans="1:5" x14ac:dyDescent="0.25">
      <c r="A858" s="6" t="s">
        <v>211</v>
      </c>
      <c r="B858" s="6">
        <v>16.28</v>
      </c>
      <c r="C858" s="6">
        <v>161</v>
      </c>
      <c r="D858" s="6">
        <v>31.77</v>
      </c>
      <c r="E858" s="6">
        <v>235</v>
      </c>
    </row>
    <row r="859" spans="1:5" x14ac:dyDescent="0.25">
      <c r="A859" s="6" t="s">
        <v>514</v>
      </c>
      <c r="B859" s="6">
        <v>13.79</v>
      </c>
      <c r="C859" s="6">
        <v>148</v>
      </c>
      <c r="D859" s="6">
        <v>56.81</v>
      </c>
      <c r="E859" s="6">
        <v>699</v>
      </c>
    </row>
    <row r="860" spans="1:5" x14ac:dyDescent="0.25">
      <c r="A860" s="6" t="s">
        <v>378</v>
      </c>
      <c r="B860" s="6">
        <v>5.53</v>
      </c>
      <c r="C860" s="6">
        <v>83</v>
      </c>
      <c r="D860" s="6">
        <v>21.75</v>
      </c>
      <c r="E860" s="6">
        <v>294</v>
      </c>
    </row>
    <row r="861" spans="1:5" x14ac:dyDescent="0.25">
      <c r="A861" s="6" t="s">
        <v>711</v>
      </c>
      <c r="B861" s="6">
        <v>5.8</v>
      </c>
      <c r="C861" s="6">
        <v>92</v>
      </c>
      <c r="D861" s="6">
        <v>22.3</v>
      </c>
      <c r="E861" s="6">
        <v>238</v>
      </c>
    </row>
    <row r="862" spans="1:5" x14ac:dyDescent="0.25">
      <c r="A862" s="6" t="s">
        <v>379</v>
      </c>
      <c r="B862" s="6">
        <v>19.239999999999998</v>
      </c>
      <c r="C862" s="6">
        <v>223</v>
      </c>
      <c r="D862" s="6">
        <v>33.1</v>
      </c>
      <c r="E862" s="6">
        <v>346</v>
      </c>
    </row>
    <row r="863" spans="1:5" x14ac:dyDescent="0.25">
      <c r="A863" s="6" t="s">
        <v>281</v>
      </c>
      <c r="B863" s="6">
        <v>8.01</v>
      </c>
      <c r="C863" s="6">
        <v>94</v>
      </c>
      <c r="D863" s="6">
        <v>32.67</v>
      </c>
      <c r="E863" s="6">
        <v>390</v>
      </c>
    </row>
    <row r="864" spans="1:5" x14ac:dyDescent="0.25">
      <c r="A864" s="6" t="s">
        <v>455</v>
      </c>
      <c r="B864" s="6">
        <v>9.4600000000000009</v>
      </c>
      <c r="C864" s="6">
        <v>115</v>
      </c>
      <c r="D864" s="6">
        <v>50.57</v>
      </c>
      <c r="E864" s="6">
        <v>455</v>
      </c>
    </row>
    <row r="865" spans="1:5" x14ac:dyDescent="0.25">
      <c r="A865" s="6" t="s">
        <v>515</v>
      </c>
      <c r="B865" s="6">
        <v>3.42</v>
      </c>
      <c r="C865" s="6">
        <v>67</v>
      </c>
      <c r="D865" s="6">
        <v>24.51</v>
      </c>
      <c r="E865" s="6">
        <v>216</v>
      </c>
    </row>
    <row r="866" spans="1:5" x14ac:dyDescent="0.25">
      <c r="A866" s="6" t="s">
        <v>341</v>
      </c>
      <c r="B866" s="6">
        <v>10.51</v>
      </c>
      <c r="C866" s="6">
        <v>96</v>
      </c>
      <c r="D866" s="6">
        <v>57.37</v>
      </c>
      <c r="E866" s="6">
        <v>477</v>
      </c>
    </row>
    <row r="867" spans="1:5" x14ac:dyDescent="0.25">
      <c r="A867" s="6" t="s">
        <v>706</v>
      </c>
      <c r="B867" s="6">
        <v>4.2300000000000004</v>
      </c>
      <c r="C867" s="6">
        <v>58</v>
      </c>
      <c r="D867" s="6">
        <v>38.659999999999997</v>
      </c>
      <c r="E867" s="6">
        <v>346</v>
      </c>
    </row>
    <row r="868" spans="1:5" x14ac:dyDescent="0.25">
      <c r="A868" s="6" t="s">
        <v>384</v>
      </c>
      <c r="B868" s="6">
        <v>2.96</v>
      </c>
      <c r="C868" s="6">
        <v>56</v>
      </c>
      <c r="D868" s="6">
        <v>32.270000000000003</v>
      </c>
      <c r="E868" s="6">
        <v>392</v>
      </c>
    </row>
    <row r="869" spans="1:5" x14ac:dyDescent="0.25">
      <c r="A869" s="6" t="s">
        <v>94</v>
      </c>
      <c r="B869" s="6">
        <v>7.9</v>
      </c>
      <c r="C869" s="6">
        <v>111</v>
      </c>
      <c r="D869" s="6">
        <v>39.08</v>
      </c>
      <c r="E869" s="6">
        <v>356</v>
      </c>
    </row>
    <row r="870" spans="1:5" x14ac:dyDescent="0.25">
      <c r="A870" s="6" t="s">
        <v>707</v>
      </c>
      <c r="B870" s="6">
        <v>7.49</v>
      </c>
      <c r="C870" s="6">
        <v>94</v>
      </c>
      <c r="D870" s="6">
        <v>19.46</v>
      </c>
      <c r="E870" s="6">
        <v>155</v>
      </c>
    </row>
    <row r="871" spans="1:5" x14ac:dyDescent="0.25">
      <c r="A871" s="6" t="s">
        <v>615</v>
      </c>
      <c r="B871" s="6">
        <v>3.57</v>
      </c>
      <c r="C871" s="6">
        <v>65</v>
      </c>
      <c r="D871" s="6">
        <v>15.33</v>
      </c>
      <c r="E871" s="6">
        <v>146</v>
      </c>
    </row>
    <row r="872" spans="1:5" x14ac:dyDescent="0.25">
      <c r="A872" s="6" t="s">
        <v>323</v>
      </c>
      <c r="B872" s="6">
        <v>8.25</v>
      </c>
      <c r="C872" s="6">
        <v>107</v>
      </c>
      <c r="D872" s="6">
        <v>32.69</v>
      </c>
      <c r="E872" s="6">
        <v>285</v>
      </c>
    </row>
    <row r="873" spans="1:5" x14ac:dyDescent="0.25">
      <c r="A873" s="6" t="s">
        <v>589</v>
      </c>
      <c r="B873" s="6">
        <v>8.67</v>
      </c>
      <c r="C873" s="6">
        <v>109</v>
      </c>
      <c r="D873" s="6">
        <v>45.04</v>
      </c>
      <c r="E873" s="6">
        <v>334</v>
      </c>
    </row>
    <row r="874" spans="1:5" x14ac:dyDescent="0.25">
      <c r="A874" s="6" t="s">
        <v>387</v>
      </c>
      <c r="B874" s="6">
        <v>6.12</v>
      </c>
      <c r="C874" s="6">
        <v>91</v>
      </c>
      <c r="D874" s="6">
        <v>25.24</v>
      </c>
      <c r="E874" s="6">
        <v>269</v>
      </c>
    </row>
    <row r="875" spans="1:5" x14ac:dyDescent="0.25">
      <c r="A875" s="6" t="s">
        <v>630</v>
      </c>
      <c r="B875" s="6">
        <v>13.2</v>
      </c>
      <c r="C875" s="6">
        <v>197</v>
      </c>
      <c r="D875" s="6">
        <v>8.83</v>
      </c>
      <c r="E875" s="6">
        <v>107</v>
      </c>
    </row>
    <row r="876" spans="1:5" x14ac:dyDescent="0.25">
      <c r="A876" s="6" t="s">
        <v>317</v>
      </c>
      <c r="B876" s="6">
        <v>6.28</v>
      </c>
      <c r="C876" s="6">
        <v>100</v>
      </c>
      <c r="D876" s="6">
        <v>33.229999999999997</v>
      </c>
      <c r="E876" s="6">
        <v>407</v>
      </c>
    </row>
    <row r="877" spans="1:5" x14ac:dyDescent="0.25">
      <c r="A877" s="6" t="s">
        <v>882</v>
      </c>
      <c r="B877" s="6">
        <v>3.86</v>
      </c>
      <c r="C877" s="6">
        <v>79</v>
      </c>
      <c r="D877" s="6">
        <v>24.73</v>
      </c>
      <c r="E877" s="6">
        <v>266</v>
      </c>
    </row>
    <row r="878" spans="1:5" x14ac:dyDescent="0.25">
      <c r="A878" s="6" t="s">
        <v>45</v>
      </c>
      <c r="B878" s="6">
        <v>5.41</v>
      </c>
      <c r="C878" s="6">
        <v>83</v>
      </c>
      <c r="D878" s="6">
        <v>28.06</v>
      </c>
      <c r="E878" s="6">
        <v>316</v>
      </c>
    </row>
    <row r="879" spans="1:5" x14ac:dyDescent="0.25">
      <c r="A879" s="6" t="s">
        <v>257</v>
      </c>
      <c r="B879" s="6">
        <v>3.58</v>
      </c>
      <c r="C879" s="6">
        <v>63</v>
      </c>
      <c r="D879" s="6">
        <v>23.16</v>
      </c>
      <c r="E879" s="6">
        <v>211</v>
      </c>
    </row>
    <row r="880" spans="1:5" x14ac:dyDescent="0.25">
      <c r="A880" s="6" t="s">
        <v>65</v>
      </c>
      <c r="B880" s="6">
        <v>11.91</v>
      </c>
      <c r="C880" s="6">
        <v>135</v>
      </c>
      <c r="D880" s="6">
        <v>39.549999999999997</v>
      </c>
      <c r="E880" s="6">
        <v>292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49"/>
  <sheetViews>
    <sheetView workbookViewId="0">
      <selection activeCell="B1" sqref="B1:C1"/>
    </sheetView>
  </sheetViews>
  <sheetFormatPr defaultColWidth="9" defaultRowHeight="14.4" x14ac:dyDescent="0.25"/>
  <cols>
    <col min="1" max="1" width="31.5546875" style="6" customWidth="1"/>
    <col min="2" max="2" width="15.33203125" style="6" customWidth="1"/>
    <col min="3" max="3" width="22" style="6" customWidth="1"/>
  </cols>
  <sheetData>
    <row r="1" spans="1:3" x14ac:dyDescent="0.25">
      <c r="A1" s="6" t="s">
        <v>748</v>
      </c>
      <c r="B1" s="6" t="s">
        <v>2088</v>
      </c>
      <c r="C1" s="7" t="s">
        <v>2087</v>
      </c>
    </row>
    <row r="2" spans="1:3" x14ac:dyDescent="0.25">
      <c r="A2" s="6" t="s">
        <v>395</v>
      </c>
      <c r="B2" s="6">
        <v>8.8460999999999998E-4</v>
      </c>
      <c r="C2" s="6">
        <v>0.10915628500000001</v>
      </c>
    </row>
    <row r="3" spans="1:3" x14ac:dyDescent="0.25">
      <c r="A3" s="6" t="s">
        <v>82</v>
      </c>
      <c r="B3" s="6">
        <v>2.690944E-2</v>
      </c>
      <c r="C3" s="6">
        <v>2.1235969689999998</v>
      </c>
    </row>
    <row r="4" spans="1:3" x14ac:dyDescent="0.25">
      <c r="A4" s="6" t="s">
        <v>698</v>
      </c>
      <c r="B4" s="6">
        <v>6.7292064999999998E-2</v>
      </c>
      <c r="C4" s="6">
        <v>0.71408583199999998</v>
      </c>
    </row>
    <row r="5" spans="1:3" x14ac:dyDescent="0.25">
      <c r="A5" s="6" t="s">
        <v>417</v>
      </c>
      <c r="B5" s="6">
        <v>4.2758061E-2</v>
      </c>
      <c r="C5" s="6">
        <v>0.66587218199999998</v>
      </c>
    </row>
    <row r="6" spans="1:3" x14ac:dyDescent="0.25">
      <c r="A6" s="6" t="s">
        <v>534</v>
      </c>
      <c r="B6" s="6">
        <v>4.4273082999999998E-2</v>
      </c>
      <c r="C6" s="6">
        <v>8.0082468000000004E-2</v>
      </c>
    </row>
    <row r="7" spans="1:3" x14ac:dyDescent="0.25">
      <c r="A7" s="6" t="s">
        <v>517</v>
      </c>
      <c r="B7" s="6">
        <v>5.1378032999999997E-2</v>
      </c>
      <c r="C7" s="6">
        <v>0.17363646499999999</v>
      </c>
    </row>
    <row r="8" spans="1:3" x14ac:dyDescent="0.25">
      <c r="A8" s="6" t="s">
        <v>557</v>
      </c>
      <c r="B8" s="6">
        <v>0.103252237</v>
      </c>
      <c r="C8" s="6">
        <v>0.27918396099999998</v>
      </c>
    </row>
    <row r="9" spans="1:3" x14ac:dyDescent="0.25">
      <c r="A9" s="6" t="s">
        <v>48</v>
      </c>
      <c r="B9" s="6">
        <v>0.29411572200000002</v>
      </c>
      <c r="C9" s="6">
        <v>0.56417113900000004</v>
      </c>
    </row>
    <row r="10" spans="1:3" x14ac:dyDescent="0.25">
      <c r="A10" s="6" t="s">
        <v>40</v>
      </c>
      <c r="B10" s="6">
        <v>2.3426711999999999E-2</v>
      </c>
      <c r="C10" s="6">
        <v>0.198300634</v>
      </c>
    </row>
    <row r="11" spans="1:3" x14ac:dyDescent="0.25">
      <c r="A11" s="6" t="s">
        <v>472</v>
      </c>
      <c r="B11" s="6">
        <v>0.903066005</v>
      </c>
      <c r="C11" s="6">
        <v>0.124295024</v>
      </c>
    </row>
    <row r="12" spans="1:3" x14ac:dyDescent="0.25">
      <c r="A12" s="6" t="s">
        <v>654</v>
      </c>
      <c r="B12" s="6">
        <v>1.1323421E-2</v>
      </c>
      <c r="C12" s="6">
        <v>2.5013688999999999E-2</v>
      </c>
    </row>
    <row r="13" spans="1:3" x14ac:dyDescent="0.25">
      <c r="A13" s="6" t="s">
        <v>100</v>
      </c>
      <c r="B13" s="6">
        <v>1.0718900440000001</v>
      </c>
      <c r="C13" s="6">
        <v>3.3153167999999997E-2</v>
      </c>
    </row>
    <row r="14" spans="1:3" x14ac:dyDescent="0.25">
      <c r="A14" s="6" t="s">
        <v>508</v>
      </c>
      <c r="B14" s="6">
        <v>0.111487499</v>
      </c>
      <c r="C14" s="6">
        <v>1.3884109229999999</v>
      </c>
    </row>
    <row r="15" spans="1:3" x14ac:dyDescent="0.25">
      <c r="A15" s="6" t="s">
        <v>473</v>
      </c>
      <c r="B15" s="6">
        <v>1.2545828E-2</v>
      </c>
      <c r="C15" s="6">
        <v>0.22283418099999999</v>
      </c>
    </row>
    <row r="16" spans="1:3" x14ac:dyDescent="0.25">
      <c r="A16" s="6" t="s">
        <v>546</v>
      </c>
      <c r="B16" s="6">
        <v>5.1924318999999997E-2</v>
      </c>
      <c r="C16" s="6">
        <v>9.4124931999999994E-2</v>
      </c>
    </row>
    <row r="17" spans="1:3" x14ac:dyDescent="0.25">
      <c r="A17" s="6" t="s">
        <v>270</v>
      </c>
      <c r="B17" s="6">
        <v>2.5894212999999999E-2</v>
      </c>
      <c r="C17" s="6">
        <v>2.1448716010000002</v>
      </c>
    </row>
    <row r="18" spans="1:3" x14ac:dyDescent="0.25">
      <c r="A18" s="6" t="s">
        <v>62</v>
      </c>
      <c r="B18" s="6">
        <v>7.4780242999999996E-2</v>
      </c>
      <c r="C18" s="6">
        <v>0.73452567300000005</v>
      </c>
    </row>
    <row r="19" spans="1:3" x14ac:dyDescent="0.25">
      <c r="A19" s="6" t="s">
        <v>636</v>
      </c>
      <c r="B19" s="6">
        <v>3.6421218999999998E-2</v>
      </c>
      <c r="C19" s="6">
        <v>1.7533311739999999</v>
      </c>
    </row>
    <row r="20" spans="1:3" x14ac:dyDescent="0.25">
      <c r="A20" s="6" t="s">
        <v>413</v>
      </c>
      <c r="B20" s="6">
        <v>3.5350419000000001E-2</v>
      </c>
      <c r="C20" s="6">
        <v>0.22035068199999999</v>
      </c>
    </row>
    <row r="21" spans="1:3" x14ac:dyDescent="0.25">
      <c r="A21" s="6" t="s">
        <v>683</v>
      </c>
      <c r="B21" s="6">
        <v>0.51528993599999995</v>
      </c>
      <c r="C21" s="6">
        <v>0.59755066400000001</v>
      </c>
    </row>
    <row r="22" spans="1:3" x14ac:dyDescent="0.25">
      <c r="A22" s="6" t="s">
        <v>171</v>
      </c>
      <c r="B22" s="6">
        <v>4.4442304000000002E-2</v>
      </c>
      <c r="C22" s="6">
        <v>2.0030260000000001E-2</v>
      </c>
    </row>
    <row r="23" spans="1:3" x14ac:dyDescent="0.25">
      <c r="A23" s="6" t="s">
        <v>590</v>
      </c>
      <c r="B23" s="6">
        <v>3.1180652E-2</v>
      </c>
      <c r="C23" s="6">
        <v>0.66168062400000005</v>
      </c>
    </row>
    <row r="24" spans="1:3" x14ac:dyDescent="0.25">
      <c r="A24" s="6" t="s">
        <v>462</v>
      </c>
      <c r="B24" s="6">
        <v>0.100111188</v>
      </c>
      <c r="C24" s="6">
        <v>0.10599157400000001</v>
      </c>
    </row>
    <row r="25" spans="1:3" x14ac:dyDescent="0.25">
      <c r="A25" s="6" t="s">
        <v>380</v>
      </c>
      <c r="B25" s="6">
        <v>2.2754521999999999E-2</v>
      </c>
      <c r="C25" s="6">
        <v>0.125082362</v>
      </c>
    </row>
    <row r="26" spans="1:3" x14ac:dyDescent="0.25">
      <c r="A26" s="6" t="s">
        <v>358</v>
      </c>
      <c r="B26" s="6">
        <v>0.66985657799999998</v>
      </c>
      <c r="C26" s="6">
        <v>0.32778203700000003</v>
      </c>
    </row>
    <row r="27" spans="1:3" x14ac:dyDescent="0.25">
      <c r="A27" s="6" t="s">
        <v>645</v>
      </c>
      <c r="B27" s="6">
        <v>4.4710132E-2</v>
      </c>
      <c r="C27" s="6">
        <v>0.38273228799999998</v>
      </c>
    </row>
    <row r="28" spans="1:3" x14ac:dyDescent="0.25">
      <c r="A28" s="6" t="s">
        <v>232</v>
      </c>
      <c r="B28" s="6">
        <v>0.96996706399999999</v>
      </c>
      <c r="C28" s="6">
        <v>0.61820046299999998</v>
      </c>
    </row>
    <row r="29" spans="1:3" x14ac:dyDescent="0.25">
      <c r="A29" s="6" t="s">
        <v>620</v>
      </c>
      <c r="B29" s="6">
        <v>4.1863108000000003E-2</v>
      </c>
      <c r="C29" s="6">
        <v>0.243500102</v>
      </c>
    </row>
    <row r="30" spans="1:3" x14ac:dyDescent="0.25">
      <c r="A30" s="6" t="s">
        <v>207</v>
      </c>
      <c r="B30" s="6">
        <v>4.3679695999999997E-2</v>
      </c>
      <c r="C30" s="6">
        <v>0.114556615</v>
      </c>
    </row>
    <row r="31" spans="1:3" x14ac:dyDescent="0.25">
      <c r="A31" s="6" t="s">
        <v>389</v>
      </c>
      <c r="B31" s="6">
        <v>7.5333195000000006E-2</v>
      </c>
      <c r="C31" s="6">
        <v>0.27660878500000002</v>
      </c>
    </row>
    <row r="32" spans="1:3" x14ac:dyDescent="0.25">
      <c r="A32" s="6" t="s">
        <v>651</v>
      </c>
      <c r="B32" s="6">
        <v>0.12809482699999999</v>
      </c>
      <c r="C32" s="6">
        <v>0.327497231</v>
      </c>
    </row>
    <row r="33" spans="1:3" x14ac:dyDescent="0.25">
      <c r="A33" s="6" t="s">
        <v>410</v>
      </c>
      <c r="B33" s="6">
        <v>0.40167689099999998</v>
      </c>
      <c r="C33" s="6">
        <v>0.17895958300000001</v>
      </c>
    </row>
    <row r="34" spans="1:3" x14ac:dyDescent="0.25">
      <c r="A34" s="6" t="s">
        <v>668</v>
      </c>
      <c r="B34" s="6">
        <v>0.121543604</v>
      </c>
      <c r="C34" s="6">
        <v>0.12792150899999999</v>
      </c>
    </row>
    <row r="35" spans="1:3" x14ac:dyDescent="0.25">
      <c r="A35" s="6" t="s">
        <v>167</v>
      </c>
      <c r="B35" s="6">
        <v>0.57212849700000001</v>
      </c>
      <c r="C35" s="6">
        <v>1.2676523070000001</v>
      </c>
    </row>
    <row r="36" spans="1:3" x14ac:dyDescent="0.25">
      <c r="A36" s="6" t="s">
        <v>343</v>
      </c>
      <c r="B36" s="6">
        <v>2.6422779E-2</v>
      </c>
      <c r="C36" s="6">
        <v>0.14807784299999999</v>
      </c>
    </row>
    <row r="37" spans="1:3" x14ac:dyDescent="0.25">
      <c r="A37" s="6" t="s">
        <v>334</v>
      </c>
      <c r="B37" s="6">
        <v>5.4420470999999998E-2</v>
      </c>
      <c r="C37" s="6">
        <v>0.44315292499999998</v>
      </c>
    </row>
    <row r="38" spans="1:3" x14ac:dyDescent="0.25">
      <c r="A38" s="6" t="s">
        <v>72</v>
      </c>
      <c r="B38" s="6">
        <v>0.49194133800000001</v>
      </c>
      <c r="C38" s="6">
        <v>0.95110321499999995</v>
      </c>
    </row>
    <row r="39" spans="1:3" x14ac:dyDescent="0.25">
      <c r="A39" s="6" t="s">
        <v>725</v>
      </c>
      <c r="B39" s="6">
        <v>1.7559326E-2</v>
      </c>
      <c r="C39" s="6">
        <v>0.78470182899999996</v>
      </c>
    </row>
    <row r="40" spans="1:3" x14ac:dyDescent="0.25">
      <c r="A40" s="6" t="s">
        <v>248</v>
      </c>
      <c r="B40" s="6">
        <v>8.8994896000000004E-2</v>
      </c>
      <c r="C40" s="6">
        <v>0.54617273099999997</v>
      </c>
    </row>
    <row r="41" spans="1:3" x14ac:dyDescent="0.25">
      <c r="A41" s="6" t="s">
        <v>721</v>
      </c>
      <c r="B41" s="6">
        <v>8.9477922000000001E-2</v>
      </c>
      <c r="C41" s="6">
        <v>0.12757153399999999</v>
      </c>
    </row>
    <row r="42" spans="1:3" x14ac:dyDescent="0.25">
      <c r="A42" s="6" t="s">
        <v>453</v>
      </c>
      <c r="B42" s="6">
        <v>0.11070255699999999</v>
      </c>
      <c r="C42" s="6">
        <v>3.9252967E-2</v>
      </c>
    </row>
    <row r="43" spans="1:3" x14ac:dyDescent="0.25">
      <c r="A43" s="6" t="s">
        <v>507</v>
      </c>
      <c r="B43" s="6">
        <v>0.142601386</v>
      </c>
      <c r="C43" s="6">
        <v>2.6649501010000001</v>
      </c>
    </row>
    <row r="44" spans="1:3" x14ac:dyDescent="0.25">
      <c r="A44" s="6" t="s">
        <v>407</v>
      </c>
      <c r="B44" s="6">
        <v>2.5180048E-2</v>
      </c>
      <c r="C44" s="6">
        <v>6.5637666999999997E-2</v>
      </c>
    </row>
    <row r="45" spans="1:3" x14ac:dyDescent="0.25">
      <c r="A45" s="6" t="s">
        <v>694</v>
      </c>
      <c r="B45" s="6">
        <v>3.7133128000000001E-2</v>
      </c>
      <c r="C45" s="6">
        <v>3.7315100000000001E-4</v>
      </c>
    </row>
    <row r="46" spans="1:3" x14ac:dyDescent="0.25">
      <c r="A46" s="6" t="s">
        <v>697</v>
      </c>
      <c r="B46" s="6">
        <v>1.4394178000000001E-2</v>
      </c>
      <c r="C46" s="6">
        <v>0.466834464</v>
      </c>
    </row>
    <row r="47" spans="1:3" x14ac:dyDescent="0.25">
      <c r="A47" s="6" t="s">
        <v>401</v>
      </c>
      <c r="B47" s="6">
        <v>0.18731220600000001</v>
      </c>
      <c r="C47" s="6">
        <v>2.3537562000000001E-2</v>
      </c>
    </row>
    <row r="48" spans="1:3" x14ac:dyDescent="0.25">
      <c r="A48" s="6" t="s">
        <v>267</v>
      </c>
      <c r="B48" s="6">
        <v>3.94621E-2</v>
      </c>
      <c r="C48" s="6">
        <v>1.2627617250000001</v>
      </c>
    </row>
    <row r="49" spans="1:3" x14ac:dyDescent="0.25">
      <c r="A49" s="6" t="s">
        <v>61</v>
      </c>
      <c r="B49" s="6">
        <v>7.4572762000000001E-2</v>
      </c>
      <c r="C49" s="6">
        <v>0.37625968500000001</v>
      </c>
    </row>
    <row r="50" spans="1:3" x14ac:dyDescent="0.25">
      <c r="A50" s="6" t="s">
        <v>497</v>
      </c>
      <c r="B50" s="6">
        <v>5.1408969999999998E-2</v>
      </c>
      <c r="C50" s="6">
        <v>0.98708052000000002</v>
      </c>
    </row>
    <row r="51" spans="1:3" x14ac:dyDescent="0.25">
      <c r="A51" s="6" t="s">
        <v>137</v>
      </c>
      <c r="B51" s="6">
        <v>2.0446094000000001E-2</v>
      </c>
      <c r="C51" s="6">
        <v>0.61782980099999996</v>
      </c>
    </row>
    <row r="52" spans="1:3" x14ac:dyDescent="0.25">
      <c r="A52" s="6" t="s">
        <v>259</v>
      </c>
      <c r="B52" s="6">
        <v>0.16859680199999999</v>
      </c>
      <c r="C52" s="6">
        <v>0.52116988200000003</v>
      </c>
    </row>
    <row r="53" spans="1:3" x14ac:dyDescent="0.25">
      <c r="A53" s="6" t="s">
        <v>119</v>
      </c>
      <c r="B53" s="6">
        <v>0.14211597300000001</v>
      </c>
      <c r="C53" s="6">
        <v>2.8272507999999998E-2</v>
      </c>
    </row>
    <row r="54" spans="1:3" x14ac:dyDescent="0.25">
      <c r="A54" s="6" t="s">
        <v>616</v>
      </c>
      <c r="B54" s="6">
        <v>0.28761323</v>
      </c>
      <c r="C54" s="6">
        <v>1.2216800329999999</v>
      </c>
    </row>
    <row r="55" spans="1:3" x14ac:dyDescent="0.25">
      <c r="A55" s="6" t="s">
        <v>744</v>
      </c>
      <c r="B55" s="6">
        <v>0.43785080399999998</v>
      </c>
      <c r="C55" s="6">
        <v>0.19964863399999999</v>
      </c>
    </row>
    <row r="56" spans="1:3" x14ac:dyDescent="0.25">
      <c r="A56" s="6" t="s">
        <v>32</v>
      </c>
      <c r="B56" s="6">
        <v>7.8167028999999999E-2</v>
      </c>
      <c r="C56" s="6">
        <v>0.108562352</v>
      </c>
    </row>
    <row r="57" spans="1:3" x14ac:dyDescent="0.25">
      <c r="A57" s="6" t="s">
        <v>118</v>
      </c>
      <c r="B57" s="6">
        <v>4.8086676000000002E-2</v>
      </c>
      <c r="C57" s="6">
        <v>0.57000953099999996</v>
      </c>
    </row>
    <row r="58" spans="1:3" x14ac:dyDescent="0.25">
      <c r="A58" s="6" t="s">
        <v>635</v>
      </c>
      <c r="B58" s="6">
        <v>0.20346935799999999</v>
      </c>
      <c r="C58" s="6">
        <v>0.83643121899999995</v>
      </c>
    </row>
    <row r="59" spans="1:3" x14ac:dyDescent="0.25">
      <c r="A59" s="6" t="s">
        <v>52</v>
      </c>
      <c r="B59" s="6">
        <v>3.1453026000000002E-2</v>
      </c>
      <c r="C59" s="6">
        <v>0.12364881599999999</v>
      </c>
    </row>
    <row r="60" spans="1:3" x14ac:dyDescent="0.25">
      <c r="A60" s="6" t="s">
        <v>237</v>
      </c>
      <c r="B60" s="6">
        <v>1.6341786000000001E-2</v>
      </c>
      <c r="C60" s="6">
        <v>0.13099803600000001</v>
      </c>
    </row>
    <row r="61" spans="1:3" x14ac:dyDescent="0.25">
      <c r="A61" s="6" t="s">
        <v>54</v>
      </c>
      <c r="B61" s="6">
        <v>0.46341621900000002</v>
      </c>
      <c r="C61" s="6">
        <v>0.84044503500000001</v>
      </c>
    </row>
    <row r="62" spans="1:3" x14ac:dyDescent="0.25">
      <c r="A62" s="6" t="s">
        <v>245</v>
      </c>
      <c r="B62" s="6">
        <v>1.0031547970000001</v>
      </c>
      <c r="C62" s="6">
        <v>9.0376392999999999E-2</v>
      </c>
    </row>
    <row r="63" spans="1:3" x14ac:dyDescent="0.25">
      <c r="A63" s="6" t="s">
        <v>544</v>
      </c>
      <c r="B63" s="6">
        <v>5.5314968999999999E-2</v>
      </c>
      <c r="C63" s="6">
        <v>0.48591434999999999</v>
      </c>
    </row>
    <row r="64" spans="1:3" x14ac:dyDescent="0.25">
      <c r="A64" s="6" t="s">
        <v>381</v>
      </c>
      <c r="B64" s="6">
        <v>0.43525820100000001</v>
      </c>
      <c r="C64" s="6">
        <v>0.66373990800000005</v>
      </c>
    </row>
    <row r="65" spans="1:3" x14ac:dyDescent="0.25">
      <c r="A65" s="6" t="s">
        <v>164</v>
      </c>
      <c r="B65" s="6">
        <v>9.6881984000000004E-2</v>
      </c>
      <c r="C65" s="6">
        <v>0.86273289500000006</v>
      </c>
    </row>
    <row r="66" spans="1:3" x14ac:dyDescent="0.25">
      <c r="A66" s="6" t="s">
        <v>155</v>
      </c>
      <c r="B66" s="6">
        <v>7.6712899000000001E-2</v>
      </c>
      <c r="C66" s="6">
        <v>8.8931937000000003E-2</v>
      </c>
    </row>
    <row r="67" spans="1:3" x14ac:dyDescent="0.25">
      <c r="A67" s="6" t="s">
        <v>573</v>
      </c>
      <c r="B67" s="6">
        <v>2.0257146E-2</v>
      </c>
      <c r="C67" s="6">
        <v>0.33038794100000002</v>
      </c>
    </row>
    <row r="68" spans="1:3" x14ac:dyDescent="0.25">
      <c r="A68" s="6" t="s">
        <v>22</v>
      </c>
      <c r="B68" s="6">
        <v>2.4630276999999999E-2</v>
      </c>
      <c r="C68" s="6">
        <v>0.63867647000000005</v>
      </c>
    </row>
    <row r="69" spans="1:3" x14ac:dyDescent="0.25">
      <c r="A69" s="6" t="s">
        <v>372</v>
      </c>
      <c r="B69" s="6">
        <v>4.7311649999999997E-2</v>
      </c>
      <c r="C69" s="6">
        <v>0.24123455199999999</v>
      </c>
    </row>
    <row r="70" spans="1:3" x14ac:dyDescent="0.25">
      <c r="A70" s="6" t="s">
        <v>283</v>
      </c>
      <c r="B70" s="6">
        <v>0.13110047499999999</v>
      </c>
      <c r="C70" s="6">
        <v>0.126436726</v>
      </c>
    </row>
    <row r="71" spans="1:3" x14ac:dyDescent="0.25">
      <c r="A71" s="6" t="s">
        <v>409</v>
      </c>
      <c r="B71" s="6">
        <v>0.167637278</v>
      </c>
      <c r="C71" s="6">
        <v>0.84200288199999995</v>
      </c>
    </row>
    <row r="72" spans="1:3" x14ac:dyDescent="0.25">
      <c r="A72" s="6" t="s">
        <v>16</v>
      </c>
      <c r="B72" s="6">
        <v>2.4004266999999999E-2</v>
      </c>
      <c r="C72" s="6">
        <v>0.172673253</v>
      </c>
    </row>
    <row r="73" spans="1:3" x14ac:dyDescent="0.25">
      <c r="A73" s="6" t="s">
        <v>512</v>
      </c>
      <c r="B73" s="6">
        <v>0.60734544899999998</v>
      </c>
      <c r="C73" s="6">
        <v>0.21835679199999999</v>
      </c>
    </row>
    <row r="74" spans="1:3" x14ac:dyDescent="0.25">
      <c r="A74" s="6" t="s">
        <v>233</v>
      </c>
      <c r="B74" s="6">
        <v>0.21583514300000001</v>
      </c>
      <c r="C74" s="6">
        <v>0.38515175299999999</v>
      </c>
    </row>
    <row r="75" spans="1:3" x14ac:dyDescent="0.25">
      <c r="A75" s="6" t="s">
        <v>382</v>
      </c>
      <c r="B75" s="6">
        <v>3.6019293000000001E-2</v>
      </c>
      <c r="C75" s="6">
        <v>3.2471760559999998</v>
      </c>
    </row>
    <row r="76" spans="1:3" x14ac:dyDescent="0.25">
      <c r="A76" s="6" t="s">
        <v>679</v>
      </c>
      <c r="B76" s="6">
        <v>2.2753875999999999E-2</v>
      </c>
      <c r="C76" s="6">
        <v>7.9028118999999994E-2</v>
      </c>
    </row>
    <row r="77" spans="1:3" x14ac:dyDescent="0.25">
      <c r="A77" s="6" t="s">
        <v>482</v>
      </c>
      <c r="B77" s="6">
        <v>5.0174140000000004E-3</v>
      </c>
      <c r="C77" s="6">
        <v>0.231419615</v>
      </c>
    </row>
    <row r="78" spans="1:3" x14ac:dyDescent="0.25">
      <c r="A78" s="6" t="s">
        <v>680</v>
      </c>
      <c r="B78" s="6">
        <v>3.7988747000000003E-2</v>
      </c>
      <c r="C78" s="6">
        <v>0.20026145200000001</v>
      </c>
    </row>
    <row r="79" spans="1:3" x14ac:dyDescent="0.25">
      <c r="A79" s="6" t="s">
        <v>581</v>
      </c>
      <c r="B79" s="6">
        <v>3.1316993000000001E-2</v>
      </c>
      <c r="C79" s="6">
        <v>4.3576751910000002</v>
      </c>
    </row>
    <row r="80" spans="1:3" x14ac:dyDescent="0.25">
      <c r="A80" s="6" t="s">
        <v>304</v>
      </c>
      <c r="B80" s="6">
        <v>0.28919841099999999</v>
      </c>
      <c r="C80" s="6">
        <v>1.223004081</v>
      </c>
    </row>
    <row r="81" spans="1:3" x14ac:dyDescent="0.25">
      <c r="A81" s="6" t="s">
        <v>179</v>
      </c>
      <c r="B81" s="6">
        <v>6.3444045000000004E-2</v>
      </c>
      <c r="C81" s="6">
        <v>1.1549826599999999</v>
      </c>
    </row>
    <row r="82" spans="1:3" x14ac:dyDescent="0.25">
      <c r="A82" s="6" t="s">
        <v>316</v>
      </c>
      <c r="B82" s="6">
        <v>0.28910498600000001</v>
      </c>
      <c r="C82" s="6">
        <v>4.7009812999999998E-2</v>
      </c>
    </row>
    <row r="83" spans="1:3" x14ac:dyDescent="0.25">
      <c r="A83" s="6" t="s">
        <v>502</v>
      </c>
      <c r="B83" s="6">
        <v>1.8458223999999999E-2</v>
      </c>
      <c r="C83" s="6">
        <v>5.0840397000000002E-2</v>
      </c>
    </row>
    <row r="84" spans="1:3" x14ac:dyDescent="0.25">
      <c r="A84" s="6" t="s">
        <v>246</v>
      </c>
      <c r="B84" s="6">
        <v>0.127571674</v>
      </c>
      <c r="C84" s="6">
        <v>0.41662787699999998</v>
      </c>
    </row>
    <row r="85" spans="1:3" x14ac:dyDescent="0.25">
      <c r="A85" s="6" t="s">
        <v>575</v>
      </c>
      <c r="B85" s="6">
        <v>0.36358839999999998</v>
      </c>
      <c r="C85" s="6">
        <v>0.41778133299999998</v>
      </c>
    </row>
    <row r="86" spans="1:3" x14ac:dyDescent="0.25">
      <c r="A86" s="6" t="s">
        <v>320</v>
      </c>
      <c r="B86" s="6">
        <v>0.13668920300000001</v>
      </c>
      <c r="C86" s="6">
        <v>0.31974813200000002</v>
      </c>
    </row>
    <row r="87" spans="1:3" x14ac:dyDescent="0.25">
      <c r="A87" s="6" t="s">
        <v>629</v>
      </c>
      <c r="B87" s="6">
        <v>3.1731662000000001E-2</v>
      </c>
      <c r="C87" s="6">
        <v>2.3764918999999999E-2</v>
      </c>
    </row>
    <row r="88" spans="1:3" x14ac:dyDescent="0.25">
      <c r="A88" s="6" t="s">
        <v>187</v>
      </c>
      <c r="B88" s="6">
        <v>2.8199662E-2</v>
      </c>
      <c r="C88" s="6">
        <v>7.4635520999999996E-2</v>
      </c>
    </row>
    <row r="89" spans="1:3" x14ac:dyDescent="0.25">
      <c r="A89" s="6" t="s">
        <v>326</v>
      </c>
      <c r="B89" s="6">
        <v>8.8499408000000002E-2</v>
      </c>
      <c r="C89" s="6">
        <v>0.10791186999999999</v>
      </c>
    </row>
    <row r="90" spans="1:3" x14ac:dyDescent="0.25">
      <c r="A90" s="6" t="s">
        <v>501</v>
      </c>
      <c r="B90" s="6">
        <v>6.1045608000000001E-2</v>
      </c>
      <c r="C90" s="6">
        <v>4.1278456070000002</v>
      </c>
    </row>
    <row r="91" spans="1:3" x14ac:dyDescent="0.25">
      <c r="A91" s="6" t="s">
        <v>418</v>
      </c>
      <c r="B91" s="6">
        <v>7.3847639000000007E-2</v>
      </c>
      <c r="C91" s="6">
        <v>0.56401492399999997</v>
      </c>
    </row>
    <row r="92" spans="1:3" x14ac:dyDescent="0.25">
      <c r="A92" s="6" t="s">
        <v>144</v>
      </c>
      <c r="B92" s="6">
        <v>9.3543886000000007E-2</v>
      </c>
      <c r="C92" s="6">
        <v>0.17719725</v>
      </c>
    </row>
    <row r="93" spans="1:3" x14ac:dyDescent="0.25">
      <c r="A93" s="6" t="s">
        <v>732</v>
      </c>
      <c r="B93" s="6">
        <v>5.6535942999999998E-2</v>
      </c>
      <c r="C93" s="6">
        <v>0.152188605</v>
      </c>
    </row>
    <row r="94" spans="1:3" x14ac:dyDescent="0.25">
      <c r="A94" s="6" t="s">
        <v>121</v>
      </c>
      <c r="B94" s="6">
        <v>5.2760998000000003E-2</v>
      </c>
      <c r="C94" s="6">
        <v>0.53784959600000004</v>
      </c>
    </row>
    <row r="95" spans="1:3" x14ac:dyDescent="0.25">
      <c r="A95" s="6" t="s">
        <v>174</v>
      </c>
      <c r="B95" s="6">
        <v>7.9977621999999998E-2</v>
      </c>
      <c r="C95" s="6">
        <v>0.37005791399999999</v>
      </c>
    </row>
    <row r="96" spans="1:3" x14ac:dyDescent="0.25">
      <c r="A96" s="6" t="s">
        <v>690</v>
      </c>
      <c r="B96" s="6">
        <v>7.1138265000000006E-2</v>
      </c>
      <c r="C96" s="6">
        <v>5.0479247999999997E-2</v>
      </c>
    </row>
    <row r="97" spans="1:3" x14ac:dyDescent="0.25">
      <c r="A97" s="6" t="s">
        <v>536</v>
      </c>
      <c r="B97" s="6">
        <v>0.16566858200000001</v>
      </c>
      <c r="C97" s="6">
        <v>0.211417257</v>
      </c>
    </row>
    <row r="98" spans="1:3" x14ac:dyDescent="0.25">
      <c r="A98" s="6" t="s">
        <v>450</v>
      </c>
      <c r="B98" s="6">
        <v>0.211907347</v>
      </c>
      <c r="C98" s="6">
        <v>0.248541656</v>
      </c>
    </row>
    <row r="99" spans="1:3" x14ac:dyDescent="0.25">
      <c r="A99" s="6" t="s">
        <v>238</v>
      </c>
      <c r="B99" s="6">
        <v>7.4280628000000001E-2</v>
      </c>
      <c r="C99" s="6">
        <v>0.34018678600000002</v>
      </c>
    </row>
    <row r="100" spans="1:3" x14ac:dyDescent="0.25">
      <c r="A100" s="6" t="s">
        <v>643</v>
      </c>
      <c r="B100" s="6">
        <v>0.32064088899999998</v>
      </c>
      <c r="C100" s="6">
        <v>5.3639818999999998E-2</v>
      </c>
    </row>
    <row r="101" spans="1:3" x14ac:dyDescent="0.25">
      <c r="A101" s="6" t="s">
        <v>535</v>
      </c>
      <c r="B101" s="6">
        <v>6.4494736999999996E-2</v>
      </c>
      <c r="C101" s="6">
        <v>0.20896471899999999</v>
      </c>
    </row>
    <row r="102" spans="1:3" x14ac:dyDescent="0.25">
      <c r="A102" s="6" t="s">
        <v>29</v>
      </c>
      <c r="B102" s="6">
        <v>0.621205966</v>
      </c>
      <c r="C102" s="6">
        <v>1.088070648</v>
      </c>
    </row>
    <row r="103" spans="1:3" x14ac:dyDescent="0.25">
      <c r="A103" s="6" t="s">
        <v>291</v>
      </c>
      <c r="B103" s="6">
        <v>2.9770996000000001E-2</v>
      </c>
      <c r="C103" s="6">
        <v>0.18077747799999999</v>
      </c>
    </row>
    <row r="104" spans="1:3" x14ac:dyDescent="0.25">
      <c r="A104" s="6" t="s">
        <v>520</v>
      </c>
      <c r="B104" s="6">
        <v>9.4459548000000004E-2</v>
      </c>
      <c r="C104" s="6">
        <v>6.6806080000000002E-3</v>
      </c>
    </row>
    <row r="105" spans="1:3" x14ac:dyDescent="0.25">
      <c r="A105" s="6" t="s">
        <v>745</v>
      </c>
      <c r="B105" s="6">
        <v>8.0878700999999997E-2</v>
      </c>
      <c r="C105" s="6">
        <v>0.25237342200000001</v>
      </c>
    </row>
    <row r="106" spans="1:3" x14ac:dyDescent="0.25">
      <c r="A106" s="6" t="s">
        <v>226</v>
      </c>
      <c r="B106" s="6">
        <v>0.112517148</v>
      </c>
      <c r="C106" s="6">
        <v>0.43224578899999999</v>
      </c>
    </row>
    <row r="107" spans="1:3" x14ac:dyDescent="0.25">
      <c r="A107" s="6" t="s">
        <v>84</v>
      </c>
      <c r="B107" s="6">
        <v>2.026029E-2</v>
      </c>
      <c r="C107" s="6">
        <v>2.1159506100000001</v>
      </c>
    </row>
    <row r="108" spans="1:3" x14ac:dyDescent="0.25">
      <c r="A108" s="6" t="s">
        <v>34</v>
      </c>
      <c r="B108" s="6">
        <v>2.8754452999999999E-2</v>
      </c>
      <c r="C108" s="6">
        <v>0.23275665200000001</v>
      </c>
    </row>
    <row r="109" spans="1:3" x14ac:dyDescent="0.25">
      <c r="A109" s="6" t="s">
        <v>319</v>
      </c>
      <c r="B109" s="6">
        <v>1.1583583999999999E-2</v>
      </c>
      <c r="C109" s="6">
        <v>8.2642831E-2</v>
      </c>
    </row>
    <row r="110" spans="1:3" x14ac:dyDescent="0.25">
      <c r="A110" s="6" t="s">
        <v>168</v>
      </c>
      <c r="B110" s="6">
        <v>2.5028741E-2</v>
      </c>
      <c r="C110" s="6">
        <v>0.717715086</v>
      </c>
    </row>
    <row r="111" spans="1:3" x14ac:dyDescent="0.25">
      <c r="A111" s="6" t="s">
        <v>240</v>
      </c>
      <c r="B111" s="6">
        <v>3.0686998E-2</v>
      </c>
      <c r="C111" s="6">
        <v>0.26639094699999999</v>
      </c>
    </row>
    <row r="112" spans="1:3" x14ac:dyDescent="0.25">
      <c r="A112" s="6" t="s">
        <v>374</v>
      </c>
      <c r="B112" s="6">
        <v>0.36204898899999999</v>
      </c>
      <c r="C112" s="6">
        <v>0.34183927200000003</v>
      </c>
    </row>
    <row r="113" spans="1:3" x14ac:dyDescent="0.25">
      <c r="A113" s="6" t="s">
        <v>571</v>
      </c>
      <c r="B113" s="6">
        <v>3.2477503999999997E-2</v>
      </c>
      <c r="C113" s="6">
        <v>0.73991074400000001</v>
      </c>
    </row>
    <row r="114" spans="1:3" x14ac:dyDescent="0.25">
      <c r="A114" s="6" t="s">
        <v>252</v>
      </c>
      <c r="B114" s="6">
        <v>1.9845043E-2</v>
      </c>
      <c r="C114" s="6">
        <v>0.18417304900000001</v>
      </c>
    </row>
    <row r="115" spans="1:3" x14ac:dyDescent="0.25">
      <c r="A115" s="6" t="s">
        <v>376</v>
      </c>
      <c r="B115" s="6">
        <v>0.194094077</v>
      </c>
      <c r="C115" s="6">
        <v>0.18569338299999999</v>
      </c>
    </row>
    <row r="116" spans="1:3" x14ac:dyDescent="0.25">
      <c r="A116" s="6" t="s">
        <v>742</v>
      </c>
      <c r="B116" s="6">
        <v>3.0742906E-2</v>
      </c>
      <c r="C116" s="6">
        <v>0.21091759400000001</v>
      </c>
    </row>
    <row r="117" spans="1:3" x14ac:dyDescent="0.25">
      <c r="A117" s="6" t="s">
        <v>342</v>
      </c>
      <c r="B117" s="6">
        <v>7.0163781999999994E-2</v>
      </c>
      <c r="C117" s="6">
        <v>0.22033717999999999</v>
      </c>
    </row>
    <row r="118" spans="1:3" x14ac:dyDescent="0.25">
      <c r="A118" s="6" t="s">
        <v>313</v>
      </c>
      <c r="B118" s="6">
        <v>8.0713393999999994E-2</v>
      </c>
      <c r="C118" s="6">
        <v>0.25459803399999997</v>
      </c>
    </row>
    <row r="119" spans="1:3" x14ac:dyDescent="0.25">
      <c r="A119" s="6" t="s">
        <v>218</v>
      </c>
      <c r="B119" s="6">
        <v>3.5357738E-2</v>
      </c>
      <c r="C119" s="6">
        <v>0.46127220200000002</v>
      </c>
    </row>
    <row r="120" spans="1:3" x14ac:dyDescent="0.25">
      <c r="A120" s="6" t="s">
        <v>639</v>
      </c>
      <c r="B120" s="6">
        <v>3.9299630000000002E-2</v>
      </c>
      <c r="C120" s="6">
        <v>0.122194519</v>
      </c>
    </row>
    <row r="121" spans="1:3" x14ac:dyDescent="0.25">
      <c r="A121" s="6" t="s">
        <v>531</v>
      </c>
      <c r="B121" s="6">
        <v>1.7818344E-2</v>
      </c>
      <c r="C121" s="6">
        <v>0.45561798399999998</v>
      </c>
    </row>
    <row r="122" spans="1:3" x14ac:dyDescent="0.25">
      <c r="A122" s="6" t="s">
        <v>428</v>
      </c>
      <c r="B122" s="6">
        <v>4.0774201000000003E-2</v>
      </c>
      <c r="C122" s="6">
        <v>0.23247588</v>
      </c>
    </row>
    <row r="123" spans="1:3" x14ac:dyDescent="0.25">
      <c r="A123" s="6" t="s">
        <v>670</v>
      </c>
      <c r="B123" s="6">
        <v>2.8175418000000001E-2</v>
      </c>
      <c r="C123" s="6">
        <v>0.58075800799999999</v>
      </c>
    </row>
    <row r="124" spans="1:3" x14ac:dyDescent="0.25">
      <c r="A124" s="6" t="s">
        <v>258</v>
      </c>
      <c r="B124" s="6">
        <v>1.1792406E-2</v>
      </c>
      <c r="C124" s="6">
        <v>2.4869120470000001</v>
      </c>
    </row>
    <row r="125" spans="1:3" x14ac:dyDescent="0.25">
      <c r="A125" s="6" t="s">
        <v>727</v>
      </c>
      <c r="B125" s="6">
        <v>5.8770865999999998E-2</v>
      </c>
      <c r="C125" s="6">
        <v>0.207406706</v>
      </c>
    </row>
    <row r="126" spans="1:3" x14ac:dyDescent="0.25">
      <c r="A126" s="6" t="s">
        <v>632</v>
      </c>
      <c r="B126" s="6">
        <v>0.24821238000000001</v>
      </c>
      <c r="C126" s="6">
        <v>9.0174784999999993E-2</v>
      </c>
    </row>
    <row r="127" spans="1:3" x14ac:dyDescent="0.25">
      <c r="A127" s="6" t="s">
        <v>567</v>
      </c>
      <c r="B127" s="6">
        <v>0.61634395600000003</v>
      </c>
      <c r="C127" s="6">
        <v>4.220618193</v>
      </c>
    </row>
    <row r="128" spans="1:3" x14ac:dyDescent="0.25">
      <c r="A128" s="6" t="s">
        <v>728</v>
      </c>
      <c r="B128" s="6">
        <v>4.8902837999999997E-2</v>
      </c>
      <c r="C128" s="6">
        <v>0.191827567</v>
      </c>
    </row>
    <row r="129" spans="1:3" x14ac:dyDescent="0.25">
      <c r="A129" s="6" t="s">
        <v>301</v>
      </c>
      <c r="B129" s="6">
        <v>0.17147932499999999</v>
      </c>
      <c r="C129" s="6">
        <v>0.48499147300000001</v>
      </c>
    </row>
    <row r="130" spans="1:3" x14ac:dyDescent="0.25">
      <c r="A130" s="6" t="s">
        <v>145</v>
      </c>
      <c r="B130" s="6">
        <v>0.79909731900000003</v>
      </c>
      <c r="C130" s="6">
        <v>0.28206810399999999</v>
      </c>
    </row>
    <row r="131" spans="1:3" x14ac:dyDescent="0.25">
      <c r="A131" s="6" t="s">
        <v>716</v>
      </c>
      <c r="B131" s="6">
        <v>0.10485855299999999</v>
      </c>
      <c r="C131" s="6">
        <v>6.0033752000000003E-2</v>
      </c>
    </row>
    <row r="132" spans="1:3" x14ac:dyDescent="0.25">
      <c r="A132" s="6" t="s">
        <v>217</v>
      </c>
      <c r="B132" s="6">
        <v>2.4210679999999998E-2</v>
      </c>
      <c r="C132" s="6">
        <v>0.239616723</v>
      </c>
    </row>
    <row r="133" spans="1:3" x14ac:dyDescent="0.25">
      <c r="A133" s="6" t="s">
        <v>375</v>
      </c>
      <c r="B133" s="6">
        <v>7.4649238000000007E-2</v>
      </c>
      <c r="C133" s="6">
        <v>0.47543342100000002</v>
      </c>
    </row>
    <row r="134" spans="1:3" x14ac:dyDescent="0.25">
      <c r="A134" s="6" t="s">
        <v>723</v>
      </c>
      <c r="B134" s="6">
        <v>1.2975265E-2</v>
      </c>
      <c r="C134" s="6">
        <v>0.64948168900000003</v>
      </c>
    </row>
    <row r="135" spans="1:3" x14ac:dyDescent="0.25">
      <c r="A135" s="6" t="s">
        <v>108</v>
      </c>
      <c r="B135" s="6">
        <v>0.42606775099999999</v>
      </c>
      <c r="C135" s="6">
        <v>9.4251939999999996E-3</v>
      </c>
    </row>
    <row r="136" spans="1:3" x14ac:dyDescent="0.25">
      <c r="A136" s="6" t="s">
        <v>504</v>
      </c>
      <c r="B136" s="6">
        <v>0.59763245700000001</v>
      </c>
      <c r="C136" s="6">
        <v>0.26214854399999998</v>
      </c>
    </row>
    <row r="137" spans="1:3" x14ac:dyDescent="0.25">
      <c r="A137" s="6" t="s">
        <v>68</v>
      </c>
      <c r="B137" s="6">
        <v>2.9389674000000001E-2</v>
      </c>
      <c r="C137" s="6">
        <v>0.29392471599999997</v>
      </c>
    </row>
    <row r="138" spans="1:3" x14ac:dyDescent="0.25">
      <c r="A138" s="6" t="s">
        <v>175</v>
      </c>
      <c r="B138" s="6">
        <v>6.5600842000000006E-2</v>
      </c>
      <c r="C138" s="6">
        <v>1.257140538</v>
      </c>
    </row>
    <row r="139" spans="1:3" x14ac:dyDescent="0.25">
      <c r="A139" s="6" t="s">
        <v>332</v>
      </c>
      <c r="B139" s="6">
        <v>3.7183855000000002E-2</v>
      </c>
      <c r="C139" s="6">
        <v>8.3036578E-2</v>
      </c>
    </row>
    <row r="140" spans="1:3" x14ac:dyDescent="0.25">
      <c r="A140" s="6" t="s">
        <v>256</v>
      </c>
      <c r="B140" s="6">
        <v>2.6999421999999999E-2</v>
      </c>
      <c r="C140" s="6">
        <v>1.0203289820000001</v>
      </c>
    </row>
    <row r="141" spans="1:3" x14ac:dyDescent="0.25">
      <c r="A141" s="6" t="s">
        <v>408</v>
      </c>
      <c r="B141" s="6">
        <v>2.9764820000000001E-2</v>
      </c>
      <c r="C141" s="6">
        <v>9.2090835999999995E-2</v>
      </c>
    </row>
    <row r="142" spans="1:3" x14ac:dyDescent="0.25">
      <c r="A142" s="6" t="s">
        <v>123</v>
      </c>
      <c r="B142" s="6">
        <v>8.2508682E-2</v>
      </c>
      <c r="C142" s="6">
        <v>9.6628784410000002</v>
      </c>
    </row>
    <row r="143" spans="1:3" x14ac:dyDescent="0.25">
      <c r="A143" s="6" t="s">
        <v>184</v>
      </c>
      <c r="B143" s="6">
        <v>8.3794974999999994E-2</v>
      </c>
      <c r="C143" s="6">
        <v>9.0391521000000002E-2</v>
      </c>
    </row>
    <row r="144" spans="1:3" x14ac:dyDescent="0.25">
      <c r="A144" s="6" t="s">
        <v>618</v>
      </c>
      <c r="B144" s="6">
        <v>1.2169193999999999E-2</v>
      </c>
      <c r="C144" s="6">
        <v>0.29483660900000003</v>
      </c>
    </row>
    <row r="145" spans="1:3" x14ac:dyDescent="0.25">
      <c r="A145" s="6" t="s">
        <v>158</v>
      </c>
      <c r="B145" s="6">
        <v>8.4705960000000004E-3</v>
      </c>
      <c r="C145" s="6">
        <v>8.6853280000000005E-2</v>
      </c>
    </row>
    <row r="146" spans="1:3" x14ac:dyDescent="0.25">
      <c r="A146" s="6" t="s">
        <v>330</v>
      </c>
      <c r="B146" s="6">
        <v>9.5050448999999995E-2</v>
      </c>
      <c r="C146" s="6">
        <v>4.7317381999999998E-2</v>
      </c>
    </row>
    <row r="147" spans="1:3" x14ac:dyDescent="0.25">
      <c r="A147" s="6" t="s">
        <v>180</v>
      </c>
      <c r="B147" s="6">
        <v>4.9548053000000002E-2</v>
      </c>
      <c r="C147" s="6">
        <v>0.203379848</v>
      </c>
    </row>
    <row r="148" spans="1:3" x14ac:dyDescent="0.25">
      <c r="A148" s="6" t="s">
        <v>199</v>
      </c>
      <c r="B148" s="6">
        <v>3.9286328000000002E-2</v>
      </c>
      <c r="C148" s="6">
        <v>1.030576165</v>
      </c>
    </row>
    <row r="149" spans="1:3" x14ac:dyDescent="0.25">
      <c r="A149" s="6" t="s">
        <v>337</v>
      </c>
      <c r="B149" s="6">
        <v>2.7068676999999999E-2</v>
      </c>
      <c r="C149" s="6">
        <v>0.15094107700000001</v>
      </c>
    </row>
    <row r="150" spans="1:3" x14ac:dyDescent="0.25">
      <c r="A150" s="6" t="s">
        <v>466</v>
      </c>
      <c r="B150" s="6">
        <v>4.3304821E-2</v>
      </c>
      <c r="C150" s="6">
        <v>0.88093021999999999</v>
      </c>
    </row>
    <row r="151" spans="1:3" x14ac:dyDescent="0.25">
      <c r="A151" s="6" t="s">
        <v>602</v>
      </c>
      <c r="B151" s="6">
        <v>2.9694661000000001E-2</v>
      </c>
      <c r="C151" s="6">
        <v>1.2359854079999999</v>
      </c>
    </row>
    <row r="152" spans="1:3" x14ac:dyDescent="0.25">
      <c r="A152" s="6" t="s">
        <v>338</v>
      </c>
      <c r="B152" s="6">
        <v>0.46472473399999997</v>
      </c>
      <c r="C152" s="6">
        <v>2.0574216999999999E-2</v>
      </c>
    </row>
    <row r="153" spans="1:3" x14ac:dyDescent="0.25">
      <c r="A153" s="6" t="s">
        <v>599</v>
      </c>
      <c r="B153" s="6">
        <v>0.11220090000000001</v>
      </c>
      <c r="C153" s="6">
        <v>0.44815935200000001</v>
      </c>
    </row>
    <row r="154" spans="1:3" x14ac:dyDescent="0.25">
      <c r="A154" s="6" t="s">
        <v>426</v>
      </c>
      <c r="B154" s="6">
        <v>6.7534996E-2</v>
      </c>
      <c r="C154" s="6">
        <v>5.5664709999999999E-2</v>
      </c>
    </row>
    <row r="155" spans="1:3" x14ac:dyDescent="0.25">
      <c r="A155" s="6" t="s">
        <v>46</v>
      </c>
      <c r="B155" s="6">
        <v>5.5323391999999999E-2</v>
      </c>
      <c r="C155" s="6">
        <v>1.5831790000000001E-3</v>
      </c>
    </row>
    <row r="156" spans="1:3" x14ac:dyDescent="0.25">
      <c r="A156" s="6" t="s">
        <v>605</v>
      </c>
      <c r="B156" s="6">
        <v>3.0225557E-2</v>
      </c>
      <c r="C156" s="6">
        <v>0.189269936</v>
      </c>
    </row>
    <row r="157" spans="1:3" x14ac:dyDescent="0.25">
      <c r="A157" s="6" t="s">
        <v>486</v>
      </c>
      <c r="B157" s="6">
        <v>5.0871518999999997E-2</v>
      </c>
      <c r="C157" s="6">
        <v>0.22951992099999999</v>
      </c>
    </row>
    <row r="158" spans="1:3" x14ac:dyDescent="0.25">
      <c r="A158" s="6" t="s">
        <v>533</v>
      </c>
      <c r="B158" s="6">
        <v>0.34965436999999999</v>
      </c>
      <c r="C158" s="6">
        <v>0.152524513</v>
      </c>
    </row>
    <row r="159" spans="1:3" x14ac:dyDescent="0.25">
      <c r="A159" s="6" t="s">
        <v>13</v>
      </c>
      <c r="B159" s="6">
        <v>0.26599776200000003</v>
      </c>
      <c r="C159" s="6">
        <v>0.219417476</v>
      </c>
    </row>
    <row r="160" spans="1:3" x14ac:dyDescent="0.25">
      <c r="A160" s="6" t="s">
        <v>406</v>
      </c>
      <c r="B160" s="6">
        <v>5.9262361E-2</v>
      </c>
      <c r="C160" s="6">
        <v>0.45363420700000001</v>
      </c>
    </row>
    <row r="161" spans="1:3" x14ac:dyDescent="0.25">
      <c r="A161" s="6" t="s">
        <v>212</v>
      </c>
      <c r="B161" s="6">
        <v>0.40573092100000002</v>
      </c>
      <c r="C161" s="6">
        <v>0.22345964300000001</v>
      </c>
    </row>
    <row r="162" spans="1:3" x14ac:dyDescent="0.25">
      <c r="A162" s="6" t="s">
        <v>6</v>
      </c>
      <c r="B162" s="6">
        <v>8.2826721000000006E-2</v>
      </c>
      <c r="C162" s="6">
        <v>0.13402803399999999</v>
      </c>
    </row>
    <row r="163" spans="1:3" x14ac:dyDescent="0.25">
      <c r="A163" s="6" t="s">
        <v>279</v>
      </c>
      <c r="B163" s="6">
        <v>7.7828492999999999E-2</v>
      </c>
      <c r="C163" s="6">
        <v>0.28623489899999999</v>
      </c>
    </row>
    <row r="164" spans="1:3" x14ac:dyDescent="0.25">
      <c r="A164" s="6" t="s">
        <v>610</v>
      </c>
      <c r="B164" s="6">
        <v>5.8743652E-2</v>
      </c>
      <c r="C164" s="6">
        <v>0.46642537699999997</v>
      </c>
    </row>
    <row r="165" spans="1:3" x14ac:dyDescent="0.25">
      <c r="A165" s="6" t="s">
        <v>307</v>
      </c>
      <c r="B165" s="6">
        <v>1.9400941000000001E-2</v>
      </c>
      <c r="C165" s="6">
        <v>0.29368264500000002</v>
      </c>
    </row>
    <row r="166" spans="1:3" x14ac:dyDescent="0.25">
      <c r="A166" s="6" t="s">
        <v>385</v>
      </c>
      <c r="B166" s="6">
        <v>0.26926155899999998</v>
      </c>
      <c r="C166" s="6">
        <v>1.2010407809999999</v>
      </c>
    </row>
    <row r="167" spans="1:3" x14ac:dyDescent="0.25">
      <c r="A167" s="6" t="s">
        <v>101</v>
      </c>
      <c r="B167" s="6">
        <v>6.6543078000000006E-2</v>
      </c>
      <c r="C167" s="6">
        <v>0.269154844</v>
      </c>
    </row>
    <row r="168" spans="1:3" x14ac:dyDescent="0.25">
      <c r="A168" s="6" t="s">
        <v>719</v>
      </c>
      <c r="B168" s="6">
        <v>3.6208953000000002E-2</v>
      </c>
      <c r="C168" s="6">
        <v>0.28146184200000002</v>
      </c>
    </row>
    <row r="169" spans="1:3" x14ac:dyDescent="0.25">
      <c r="A169" s="6" t="s">
        <v>173</v>
      </c>
      <c r="B169" s="6">
        <v>2.1162778E-2</v>
      </c>
      <c r="C169" s="6">
        <v>6.0598693000000002E-2</v>
      </c>
    </row>
    <row r="170" spans="1:3" x14ac:dyDescent="0.25">
      <c r="A170" s="6" t="s">
        <v>484</v>
      </c>
      <c r="B170" s="6">
        <v>2.4713688000000001E-2</v>
      </c>
      <c r="C170" s="6">
        <v>0.29002753599999997</v>
      </c>
    </row>
    <row r="171" spans="1:3" x14ac:dyDescent="0.25">
      <c r="A171" s="6" t="s">
        <v>445</v>
      </c>
      <c r="B171" s="6">
        <v>5.6808167E-2</v>
      </c>
      <c r="C171" s="6">
        <v>0.46097767699999997</v>
      </c>
    </row>
    <row r="172" spans="1:3" x14ac:dyDescent="0.25">
      <c r="A172" s="6" t="s">
        <v>576</v>
      </c>
      <c r="B172" s="6">
        <v>0.15855460800000001</v>
      </c>
      <c r="C172" s="6">
        <v>0.28752810299999998</v>
      </c>
    </row>
    <row r="173" spans="1:3" x14ac:dyDescent="0.25">
      <c r="A173" s="6" t="s">
        <v>611</v>
      </c>
      <c r="B173" s="6">
        <v>2.1509983E-2</v>
      </c>
      <c r="C173" s="6">
        <v>2.9639917000000002E-2</v>
      </c>
    </row>
    <row r="174" spans="1:3" x14ac:dyDescent="0.25">
      <c r="A174" s="6" t="s">
        <v>186</v>
      </c>
      <c r="B174" s="6">
        <v>8.8804903000000004E-2</v>
      </c>
      <c r="C174" s="6">
        <v>4.0866049000000002E-2</v>
      </c>
    </row>
    <row r="175" spans="1:3" x14ac:dyDescent="0.25">
      <c r="A175" s="6" t="s">
        <v>86</v>
      </c>
      <c r="B175" s="6">
        <v>0.41587100500000002</v>
      </c>
      <c r="C175" s="6">
        <v>0.72773465500000001</v>
      </c>
    </row>
    <row r="176" spans="1:3" x14ac:dyDescent="0.25">
      <c r="A176" s="6" t="s">
        <v>558</v>
      </c>
      <c r="B176" s="6">
        <v>5.6590883000000002E-2</v>
      </c>
      <c r="C176" s="6">
        <v>0.30769579600000002</v>
      </c>
    </row>
    <row r="177" spans="1:3" x14ac:dyDescent="0.25">
      <c r="A177" s="6" t="s">
        <v>447</v>
      </c>
      <c r="B177" s="6">
        <v>2.6585445999999999E-2</v>
      </c>
      <c r="C177" s="6">
        <v>0.42742191400000001</v>
      </c>
    </row>
    <row r="178" spans="1:3" x14ac:dyDescent="0.25">
      <c r="A178" s="6" t="s">
        <v>465</v>
      </c>
      <c r="B178" s="6">
        <v>1.4626238E-2</v>
      </c>
      <c r="C178" s="6">
        <v>0.121622418</v>
      </c>
    </row>
    <row r="179" spans="1:3" x14ac:dyDescent="0.25">
      <c r="A179" s="6" t="s">
        <v>457</v>
      </c>
      <c r="B179" s="6">
        <v>1.9830674999999999E-2</v>
      </c>
      <c r="C179" s="6">
        <v>1.5897354420000001</v>
      </c>
    </row>
    <row r="180" spans="1:3" x14ac:dyDescent="0.25">
      <c r="A180" s="6" t="s">
        <v>339</v>
      </c>
      <c r="B180" s="6">
        <v>6.8780093E-2</v>
      </c>
      <c r="C180" s="6">
        <v>0.44900602099999998</v>
      </c>
    </row>
    <row r="181" spans="1:3" x14ac:dyDescent="0.25">
      <c r="A181" s="6" t="s">
        <v>8</v>
      </c>
      <c r="B181" s="6">
        <v>2.3218855E-2</v>
      </c>
      <c r="C181" s="6">
        <v>0.92366345900000002</v>
      </c>
    </row>
    <row r="182" spans="1:3" x14ac:dyDescent="0.25">
      <c r="A182" s="6" t="s">
        <v>44</v>
      </c>
      <c r="B182" s="6">
        <v>6.9576201000000004E-2</v>
      </c>
      <c r="C182" s="6">
        <v>1.0052030190000001</v>
      </c>
    </row>
    <row r="183" spans="1:3" x14ac:dyDescent="0.25">
      <c r="A183" s="6" t="s">
        <v>206</v>
      </c>
      <c r="B183" s="6">
        <v>3.3974856999999997E-2</v>
      </c>
      <c r="C183" s="6">
        <v>0.17335920099999999</v>
      </c>
    </row>
    <row r="184" spans="1:3" x14ac:dyDescent="0.25">
      <c r="A184" s="6" t="s">
        <v>71</v>
      </c>
      <c r="B184" s="6">
        <v>7.7428285999999999E-2</v>
      </c>
      <c r="C184" s="6">
        <v>4.9304509999999998E-3</v>
      </c>
    </row>
    <row r="185" spans="1:3" x14ac:dyDescent="0.25">
      <c r="A185" s="6" t="s">
        <v>722</v>
      </c>
      <c r="B185" s="6">
        <v>0.55247550999999995</v>
      </c>
      <c r="C185" s="6">
        <v>0.202989896</v>
      </c>
    </row>
    <row r="186" spans="1:3" x14ac:dyDescent="0.25">
      <c r="A186" s="6" t="s">
        <v>203</v>
      </c>
      <c r="B186" s="6">
        <v>6.6645340999999997E-2</v>
      </c>
      <c r="C186" s="6">
        <v>1.021557493</v>
      </c>
    </row>
    <row r="187" spans="1:3" x14ac:dyDescent="0.25">
      <c r="A187" s="6" t="s">
        <v>210</v>
      </c>
      <c r="B187" s="6">
        <v>4.8765865999999998E-2</v>
      </c>
      <c r="C187" s="6">
        <v>8.1168767000000003E-2</v>
      </c>
    </row>
    <row r="188" spans="1:3" x14ac:dyDescent="0.25">
      <c r="A188" s="6" t="s">
        <v>451</v>
      </c>
      <c r="B188" s="6">
        <v>0.89046781399999997</v>
      </c>
      <c r="C188" s="6">
        <v>0.104697264</v>
      </c>
    </row>
    <row r="189" spans="1:3" x14ac:dyDescent="0.25">
      <c r="A189" s="6" t="s">
        <v>91</v>
      </c>
      <c r="B189" s="6">
        <v>2.0854362000000001E-2</v>
      </c>
      <c r="C189" s="6">
        <v>1.0728123389999999</v>
      </c>
    </row>
    <row r="190" spans="1:3" x14ac:dyDescent="0.25">
      <c r="A190" s="6" t="s">
        <v>152</v>
      </c>
      <c r="B190" s="6">
        <v>5.8742811999999998E-2</v>
      </c>
      <c r="C190" s="6">
        <v>0.28062045000000002</v>
      </c>
    </row>
    <row r="191" spans="1:3" x14ac:dyDescent="0.25">
      <c r="A191" s="6" t="s">
        <v>672</v>
      </c>
      <c r="B191" s="6">
        <v>1.3032022000000001E-2</v>
      </c>
      <c r="C191" s="6">
        <v>0.472897334</v>
      </c>
    </row>
    <row r="192" spans="1:3" x14ac:dyDescent="0.25">
      <c r="A192" s="6" t="s">
        <v>70</v>
      </c>
      <c r="B192" s="6">
        <v>0.577944342</v>
      </c>
      <c r="C192" s="6">
        <v>0.26891960500000001</v>
      </c>
    </row>
    <row r="193" spans="1:3" x14ac:dyDescent="0.25">
      <c r="A193" s="6" t="s">
        <v>356</v>
      </c>
      <c r="B193" s="6">
        <v>0.68433022099999996</v>
      </c>
      <c r="C193" s="6">
        <v>0.375237443</v>
      </c>
    </row>
    <row r="194" spans="1:3" x14ac:dyDescent="0.25">
      <c r="A194" s="6" t="s">
        <v>656</v>
      </c>
      <c r="B194" s="6">
        <v>0.128553419</v>
      </c>
      <c r="C194" s="6">
        <v>0.25984028300000001</v>
      </c>
    </row>
    <row r="195" spans="1:3" x14ac:dyDescent="0.25">
      <c r="A195" s="6" t="s">
        <v>220</v>
      </c>
      <c r="B195" s="6">
        <v>5.4885986999999997E-2</v>
      </c>
      <c r="C195" s="6">
        <v>9.6212613000000002E-2</v>
      </c>
    </row>
    <row r="196" spans="1:3" x14ac:dyDescent="0.25">
      <c r="A196" s="6" t="s">
        <v>388</v>
      </c>
      <c r="B196" s="6">
        <v>3.3568377000000003E-2</v>
      </c>
      <c r="C196" s="6">
        <v>0.185687979</v>
      </c>
    </row>
    <row r="197" spans="1:3" x14ac:dyDescent="0.25">
      <c r="A197" s="6" t="s">
        <v>110</v>
      </c>
      <c r="B197" s="6">
        <v>4.0430760000000003E-2</v>
      </c>
      <c r="C197" s="6">
        <v>0.35604813800000001</v>
      </c>
    </row>
    <row r="198" spans="1:3" x14ac:dyDescent="0.25">
      <c r="A198" s="6" t="s">
        <v>292</v>
      </c>
      <c r="B198" s="6">
        <v>0.12085810700000001</v>
      </c>
      <c r="C198" s="6">
        <v>1.033011E-2</v>
      </c>
    </row>
    <row r="199" spans="1:3" x14ac:dyDescent="0.25">
      <c r="A199" s="6" t="s">
        <v>663</v>
      </c>
      <c r="B199" s="6">
        <v>2.4478086999999999E-2</v>
      </c>
      <c r="C199" s="6">
        <v>2.9403571E-2</v>
      </c>
    </row>
    <row r="200" spans="1:3" x14ac:dyDescent="0.25">
      <c r="A200" s="6" t="s">
        <v>734</v>
      </c>
      <c r="B200" s="6">
        <v>7.5936285000000006E-2</v>
      </c>
      <c r="C200" s="6">
        <v>0.13709842899999999</v>
      </c>
    </row>
    <row r="201" spans="1:3" x14ac:dyDescent="0.25">
      <c r="A201" s="6" t="s">
        <v>613</v>
      </c>
      <c r="B201" s="6">
        <v>3.1263087000000002E-2</v>
      </c>
      <c r="C201" s="6">
        <v>0.17071523199999999</v>
      </c>
    </row>
    <row r="202" spans="1:3" x14ac:dyDescent="0.25">
      <c r="A202" s="6" t="s">
        <v>569</v>
      </c>
      <c r="B202" s="6">
        <v>2.0811362999999999E-2</v>
      </c>
      <c r="C202" s="6">
        <v>0.54700631700000002</v>
      </c>
    </row>
    <row r="203" spans="1:3" x14ac:dyDescent="0.25">
      <c r="A203" s="6" t="s">
        <v>671</v>
      </c>
      <c r="B203" s="6">
        <v>0.35109951900000003</v>
      </c>
      <c r="C203" s="6">
        <v>0.122594948</v>
      </c>
    </row>
    <row r="204" spans="1:3" x14ac:dyDescent="0.25">
      <c r="A204" s="6" t="s">
        <v>255</v>
      </c>
      <c r="B204" s="6">
        <v>3.4068724000000002E-2</v>
      </c>
      <c r="C204" s="6">
        <v>0.261832114</v>
      </c>
    </row>
    <row r="205" spans="1:3" x14ac:dyDescent="0.25">
      <c r="A205" s="6" t="s">
        <v>432</v>
      </c>
      <c r="B205" s="6">
        <v>0.49669849799999999</v>
      </c>
      <c r="C205" s="6">
        <v>1.0044513829999999</v>
      </c>
    </row>
    <row r="206" spans="1:3" x14ac:dyDescent="0.25">
      <c r="A206" s="6" t="s">
        <v>223</v>
      </c>
      <c r="B206" s="6">
        <v>7.4955750000000002E-2</v>
      </c>
      <c r="C206" s="6">
        <v>1.4084414999999999E-2</v>
      </c>
    </row>
    <row r="207" spans="1:3" x14ac:dyDescent="0.25">
      <c r="A207" s="6" t="s">
        <v>294</v>
      </c>
      <c r="B207" s="6">
        <v>2.4735159999999999E-2</v>
      </c>
      <c r="C207" s="6">
        <v>0.24963095599999999</v>
      </c>
    </row>
    <row r="208" spans="1:3" x14ac:dyDescent="0.25">
      <c r="A208" s="6" t="s">
        <v>726</v>
      </c>
      <c r="B208" s="6">
        <v>6.4014309000000005E-2</v>
      </c>
      <c r="C208" s="6">
        <v>0.182225738</v>
      </c>
    </row>
    <row r="209" spans="1:3" x14ac:dyDescent="0.25">
      <c r="A209" s="6" t="s">
        <v>303</v>
      </c>
      <c r="B209" s="6">
        <v>0.60976210399999997</v>
      </c>
      <c r="C209" s="6">
        <v>0.674907021</v>
      </c>
    </row>
    <row r="210" spans="1:3" x14ac:dyDescent="0.25">
      <c r="A210" s="6" t="s">
        <v>657</v>
      </c>
      <c r="B210" s="6">
        <v>0.152929643</v>
      </c>
      <c r="C210" s="6">
        <v>0.392695505</v>
      </c>
    </row>
    <row r="211" spans="1:3" x14ac:dyDescent="0.25">
      <c r="A211" s="6" t="s">
        <v>601</v>
      </c>
      <c r="B211" s="6">
        <v>1.4115285999999999E-2</v>
      </c>
      <c r="C211" s="6">
        <v>0.39130009700000001</v>
      </c>
    </row>
    <row r="212" spans="1:3" x14ac:dyDescent="0.25">
      <c r="A212" s="6" t="s">
        <v>365</v>
      </c>
      <c r="B212" s="6">
        <v>8.2070624999999994E-2</v>
      </c>
      <c r="C212" s="6">
        <v>0.36450257200000002</v>
      </c>
    </row>
    <row r="213" spans="1:3" x14ac:dyDescent="0.25">
      <c r="A213" s="6" t="s">
        <v>298</v>
      </c>
      <c r="B213" s="6">
        <v>7.8270243000000003E-2</v>
      </c>
      <c r="C213" s="6">
        <v>2.1628983000000001E-2</v>
      </c>
    </row>
    <row r="214" spans="1:3" x14ac:dyDescent="0.25">
      <c r="A214" s="6" t="s">
        <v>542</v>
      </c>
      <c r="B214" s="6">
        <v>3.5852202999999999E-2</v>
      </c>
      <c r="C214" s="6">
        <v>9.7462880000000005E-3</v>
      </c>
    </row>
    <row r="215" spans="1:3" x14ac:dyDescent="0.25">
      <c r="A215" s="6" t="s">
        <v>154</v>
      </c>
      <c r="B215" s="6">
        <v>6.7628636000000006E-2</v>
      </c>
      <c r="C215" s="6">
        <v>0.173745029</v>
      </c>
    </row>
    <row r="216" spans="1:3" x14ac:dyDescent="0.25">
      <c r="A216" s="6" t="s">
        <v>10</v>
      </c>
      <c r="B216" s="6">
        <v>0.46645262900000001</v>
      </c>
      <c r="C216" s="6">
        <v>0.26359285399999999</v>
      </c>
    </row>
    <row r="217" spans="1:3" x14ac:dyDescent="0.25">
      <c r="A217" s="6" t="s">
        <v>594</v>
      </c>
      <c r="B217" s="6">
        <v>3.5441574000000003E-2</v>
      </c>
      <c r="C217" s="6">
        <v>4.0575712999999999E-2</v>
      </c>
    </row>
    <row r="218" spans="1:3" x14ac:dyDescent="0.25">
      <c r="A218" s="6" t="s">
        <v>627</v>
      </c>
      <c r="B218" s="6">
        <v>2.7725407000000001E-2</v>
      </c>
      <c r="C218" s="6">
        <v>0.37811244199999999</v>
      </c>
    </row>
    <row r="219" spans="1:3" x14ac:dyDescent="0.25">
      <c r="A219" s="6" t="s">
        <v>353</v>
      </c>
      <c r="B219" s="6">
        <v>5.7175825999999999E-2</v>
      </c>
      <c r="C219" s="6">
        <v>0.59916723100000002</v>
      </c>
    </row>
    <row r="220" spans="1:3" x14ac:dyDescent="0.25">
      <c r="A220" s="6" t="s">
        <v>181</v>
      </c>
      <c r="B220" s="6">
        <v>6.8230300999999993E-2</v>
      </c>
      <c r="C220" s="6">
        <v>0.248947052</v>
      </c>
    </row>
    <row r="221" spans="1:3" x14ac:dyDescent="0.25">
      <c r="A221" s="6" t="s">
        <v>434</v>
      </c>
      <c r="B221" s="6">
        <v>7.1287741000000002E-2</v>
      </c>
      <c r="C221" s="6">
        <v>2.4555916000000001E-2</v>
      </c>
    </row>
    <row r="222" spans="1:3" x14ac:dyDescent="0.25">
      <c r="A222" s="6" t="s">
        <v>139</v>
      </c>
      <c r="B222" s="6">
        <v>0.19432217099999999</v>
      </c>
      <c r="C222" s="6">
        <v>0.58513267400000002</v>
      </c>
    </row>
    <row r="223" spans="1:3" x14ac:dyDescent="0.25">
      <c r="A223" s="6" t="s">
        <v>596</v>
      </c>
      <c r="B223" s="6">
        <v>4.2618760999999998E-2</v>
      </c>
      <c r="C223" s="6">
        <v>0.648140037</v>
      </c>
    </row>
    <row r="224" spans="1:3" x14ac:dyDescent="0.25">
      <c r="A224" s="6" t="s">
        <v>393</v>
      </c>
      <c r="B224" s="6">
        <v>0.111780873</v>
      </c>
      <c r="C224" s="6">
        <v>0.56314964000000001</v>
      </c>
    </row>
    <row r="225" spans="1:3" x14ac:dyDescent="0.25">
      <c r="A225" s="6" t="s">
        <v>631</v>
      </c>
      <c r="B225" s="6">
        <v>3.8869586999999997E-2</v>
      </c>
      <c r="C225" s="6">
        <v>1.6146409260000001</v>
      </c>
    </row>
    <row r="226" spans="1:3" x14ac:dyDescent="0.25">
      <c r="A226" s="6" t="s">
        <v>1</v>
      </c>
      <c r="B226" s="6">
        <v>0.155003469</v>
      </c>
      <c r="C226" s="6">
        <v>0.31652655400000002</v>
      </c>
    </row>
    <row r="227" spans="1:3" x14ac:dyDescent="0.25">
      <c r="A227" s="6" t="s">
        <v>321</v>
      </c>
      <c r="B227" s="6">
        <v>0.39444363100000002</v>
      </c>
      <c r="C227" s="6">
        <v>0.733894771</v>
      </c>
    </row>
    <row r="228" spans="1:3" x14ac:dyDescent="0.25">
      <c r="A228" s="6" t="s">
        <v>296</v>
      </c>
      <c r="B228" s="6">
        <v>0.14319443700000001</v>
      </c>
      <c r="C228" s="6">
        <v>0.36792488499999998</v>
      </c>
    </row>
    <row r="229" spans="1:3" x14ac:dyDescent="0.25">
      <c r="A229" s="6" t="s">
        <v>649</v>
      </c>
      <c r="B229" s="6">
        <v>3.4356870999999997E-2</v>
      </c>
      <c r="C229" s="6">
        <v>0.27072153999999998</v>
      </c>
    </row>
    <row r="230" spans="1:3" x14ac:dyDescent="0.25">
      <c r="A230" s="6" t="s">
        <v>693</v>
      </c>
      <c r="B230" s="6">
        <v>4.1289699999999999E-2</v>
      </c>
      <c r="C230" s="6">
        <v>7.8328428000000005E-2</v>
      </c>
    </row>
    <row r="231" spans="1:3" x14ac:dyDescent="0.25">
      <c r="A231" s="6" t="s">
        <v>494</v>
      </c>
      <c r="B231" s="6">
        <v>8.4156210999999995E-2</v>
      </c>
      <c r="C231" s="6">
        <v>0.57900332899999996</v>
      </c>
    </row>
    <row r="232" spans="1:3" x14ac:dyDescent="0.25">
      <c r="A232" s="6" t="s">
        <v>7</v>
      </c>
      <c r="B232" s="6">
        <v>6.2847688999999998E-2</v>
      </c>
      <c r="C232" s="6">
        <v>3.5778239999999998E-3</v>
      </c>
    </row>
    <row r="233" spans="1:3" x14ac:dyDescent="0.25">
      <c r="A233" s="6" t="s">
        <v>493</v>
      </c>
      <c r="B233" s="6">
        <v>0.155046976</v>
      </c>
      <c r="C233" s="6">
        <v>0.25248796000000001</v>
      </c>
    </row>
    <row r="234" spans="1:3" x14ac:dyDescent="0.25">
      <c r="A234" s="6" t="s">
        <v>460</v>
      </c>
      <c r="B234" s="6">
        <v>5.2660593999999998E-2</v>
      </c>
      <c r="C234" s="6">
        <v>0.511721439</v>
      </c>
    </row>
    <row r="235" spans="1:3" x14ac:dyDescent="0.25">
      <c r="A235" s="6" t="s">
        <v>318</v>
      </c>
      <c r="B235" s="6">
        <v>9.0610872999999995E-2</v>
      </c>
      <c r="C235" s="6">
        <v>4.2059059000000003E-2</v>
      </c>
    </row>
    <row r="236" spans="1:3" x14ac:dyDescent="0.25">
      <c r="A236" s="6" t="s">
        <v>150</v>
      </c>
      <c r="B236" s="6">
        <v>2.8002407999999999E-2</v>
      </c>
      <c r="C236" s="6">
        <v>0.19567728200000001</v>
      </c>
    </row>
    <row r="237" spans="1:3" x14ac:dyDescent="0.25">
      <c r="A237" s="6" t="s">
        <v>147</v>
      </c>
      <c r="B237" s="6">
        <v>5.7659256999999998E-2</v>
      </c>
      <c r="C237" s="6">
        <v>0.23383363500000001</v>
      </c>
    </row>
    <row r="238" spans="1:3" x14ac:dyDescent="0.25">
      <c r="A238" s="6" t="s">
        <v>483</v>
      </c>
      <c r="B238" s="6">
        <v>0.105065384</v>
      </c>
      <c r="C238" s="6">
        <v>0.21728397399999999</v>
      </c>
    </row>
    <row r="239" spans="1:3" x14ac:dyDescent="0.25">
      <c r="A239" s="6" t="s">
        <v>308</v>
      </c>
      <c r="B239" s="6">
        <v>4.9587260000000001E-2</v>
      </c>
      <c r="C239" s="6">
        <v>0.19375937700000001</v>
      </c>
    </row>
    <row r="240" spans="1:3" x14ac:dyDescent="0.25">
      <c r="A240" s="6" t="s">
        <v>664</v>
      </c>
      <c r="B240" s="6">
        <v>0.123883338</v>
      </c>
      <c r="C240" s="6">
        <v>0.23918555999999999</v>
      </c>
    </row>
    <row r="241" spans="1:3" x14ac:dyDescent="0.25">
      <c r="A241" s="6" t="s">
        <v>214</v>
      </c>
      <c r="B241" s="6">
        <v>1.143493992</v>
      </c>
      <c r="C241" s="6">
        <v>0.301317575</v>
      </c>
    </row>
    <row r="242" spans="1:3" x14ac:dyDescent="0.25">
      <c r="A242" s="6" t="s">
        <v>404</v>
      </c>
      <c r="B242" s="6">
        <v>6.1557406000000002E-2</v>
      </c>
      <c r="C242" s="6">
        <v>0.330679469</v>
      </c>
    </row>
    <row r="243" spans="1:3" x14ac:dyDescent="0.25">
      <c r="A243" s="6" t="s">
        <v>117</v>
      </c>
      <c r="B243" s="6">
        <v>2.4745357999999999E-2</v>
      </c>
      <c r="C243" s="6">
        <v>1.8900505000000001E-2</v>
      </c>
    </row>
    <row r="244" spans="1:3" x14ac:dyDescent="0.25">
      <c r="A244" s="6" t="s">
        <v>90</v>
      </c>
      <c r="B244" s="6">
        <v>6.7089624E-2</v>
      </c>
      <c r="C244" s="6">
        <v>2.7484980999999999E-2</v>
      </c>
    </row>
    <row r="245" spans="1:3" x14ac:dyDescent="0.25">
      <c r="A245" s="6" t="s">
        <v>286</v>
      </c>
      <c r="B245" s="6">
        <v>0.16969015700000001</v>
      </c>
      <c r="C245" s="6">
        <v>8.9406351999999994E-2</v>
      </c>
    </row>
    <row r="246" spans="1:3" x14ac:dyDescent="0.25">
      <c r="A246" s="6" t="s">
        <v>290</v>
      </c>
      <c r="B246" s="6">
        <v>0.222633635</v>
      </c>
      <c r="C246" s="6">
        <v>0.34023057899999998</v>
      </c>
    </row>
    <row r="247" spans="1:3" x14ac:dyDescent="0.25">
      <c r="A247" s="6" t="s">
        <v>127</v>
      </c>
      <c r="B247" s="6">
        <v>4.5609775999999998E-2</v>
      </c>
      <c r="C247" s="6">
        <v>1.0313824840000001</v>
      </c>
    </row>
    <row r="248" spans="1:3" x14ac:dyDescent="0.25">
      <c r="A248" s="6" t="s">
        <v>566</v>
      </c>
      <c r="B248" s="6">
        <v>7.7156932999999997E-2</v>
      </c>
      <c r="C248" s="6">
        <v>0.28247790900000003</v>
      </c>
    </row>
    <row r="249" spans="1:3" x14ac:dyDescent="0.25">
      <c r="A249" s="6" t="s">
        <v>523</v>
      </c>
      <c r="B249" s="6">
        <v>2.4292458999999999E-2</v>
      </c>
      <c r="C249" s="6">
        <v>0.66460548900000005</v>
      </c>
    </row>
    <row r="250" spans="1:3" x14ac:dyDescent="0.25">
      <c r="A250" s="6" t="s">
        <v>266</v>
      </c>
      <c r="B250" s="6">
        <v>0.68146270399999997</v>
      </c>
      <c r="C250" s="6">
        <v>0.61752317199999995</v>
      </c>
    </row>
    <row r="251" spans="1:3" x14ac:dyDescent="0.25">
      <c r="A251" s="6" t="s">
        <v>730</v>
      </c>
      <c r="B251" s="6">
        <v>5.3894199999999998E-3</v>
      </c>
      <c r="C251" s="6">
        <v>0.35149787700000001</v>
      </c>
    </row>
    <row r="252" spans="1:3" x14ac:dyDescent="0.25">
      <c r="A252" s="6" t="s">
        <v>9</v>
      </c>
      <c r="B252" s="6">
        <v>4.5362682000000001E-2</v>
      </c>
      <c r="C252" s="6">
        <v>2.2745185110000001</v>
      </c>
    </row>
    <row r="253" spans="1:3" x14ac:dyDescent="0.25">
      <c r="A253" s="6" t="s">
        <v>249</v>
      </c>
      <c r="B253" s="6">
        <v>4.6325487999999998E-2</v>
      </c>
      <c r="C253" s="6">
        <v>7.6308173830000001</v>
      </c>
    </row>
    <row r="254" spans="1:3" x14ac:dyDescent="0.25">
      <c r="A254" s="6" t="s">
        <v>287</v>
      </c>
      <c r="B254" s="6">
        <v>5.8800919E-2</v>
      </c>
      <c r="C254" s="6">
        <v>0.55060662699999996</v>
      </c>
    </row>
    <row r="255" spans="1:3" x14ac:dyDescent="0.25">
      <c r="A255" s="6" t="s">
        <v>477</v>
      </c>
      <c r="B255" s="6">
        <v>6.2910269000000005E-2</v>
      </c>
      <c r="C255" s="6">
        <v>0.69272516500000003</v>
      </c>
    </row>
    <row r="256" spans="1:3" x14ac:dyDescent="0.25">
      <c r="A256" s="6" t="s">
        <v>234</v>
      </c>
      <c r="B256" s="6">
        <v>2.2140104000000001E-2</v>
      </c>
      <c r="C256" s="6">
        <v>6.0639263999999998E-2</v>
      </c>
    </row>
    <row r="257" spans="1:3" x14ac:dyDescent="0.25">
      <c r="A257" s="6" t="s">
        <v>276</v>
      </c>
      <c r="B257" s="6">
        <v>1.2555927E-2</v>
      </c>
      <c r="C257" s="6">
        <v>0.22435672600000001</v>
      </c>
    </row>
    <row r="258" spans="1:3" x14ac:dyDescent="0.25">
      <c r="A258" s="6" t="s">
        <v>609</v>
      </c>
      <c r="B258" s="6">
        <v>1.2210315220000001</v>
      </c>
      <c r="C258" s="6">
        <v>0.54374786200000003</v>
      </c>
    </row>
    <row r="259" spans="1:3" x14ac:dyDescent="0.25">
      <c r="A259" s="6" t="s">
        <v>109</v>
      </c>
      <c r="B259" s="6">
        <v>4.7687273000000002E-2</v>
      </c>
      <c r="C259" s="6">
        <v>6.5782868999999994E-2</v>
      </c>
    </row>
    <row r="260" spans="1:3" x14ac:dyDescent="0.25">
      <c r="A260" s="6" t="s">
        <v>692</v>
      </c>
      <c r="B260" s="6">
        <v>5.9411809000000003E-2</v>
      </c>
      <c r="C260" s="6">
        <v>0.210563853</v>
      </c>
    </row>
    <row r="261" spans="1:3" x14ac:dyDescent="0.25">
      <c r="A261" s="6" t="s">
        <v>160</v>
      </c>
      <c r="B261" s="6">
        <v>9.7916258000000006E-2</v>
      </c>
      <c r="C261" s="6">
        <v>0.81566413699999996</v>
      </c>
    </row>
    <row r="262" spans="1:3" x14ac:dyDescent="0.25">
      <c r="A262" s="6" t="s">
        <v>666</v>
      </c>
      <c r="B262" s="6">
        <v>1.3032545E-2</v>
      </c>
      <c r="C262" s="6">
        <v>0.23623261200000001</v>
      </c>
    </row>
    <row r="263" spans="1:3" x14ac:dyDescent="0.25">
      <c r="A263" s="6" t="s">
        <v>200</v>
      </c>
      <c r="B263" s="6">
        <v>8.5848515E-2</v>
      </c>
      <c r="C263" s="6">
        <v>0.66165864600000002</v>
      </c>
    </row>
    <row r="264" spans="1:3" x14ac:dyDescent="0.25">
      <c r="A264" s="6" t="s">
        <v>336</v>
      </c>
      <c r="B264" s="6">
        <v>2.1016034999999999E-2</v>
      </c>
      <c r="C264" s="6">
        <v>0.17309207400000001</v>
      </c>
    </row>
    <row r="265" spans="1:3" x14ac:dyDescent="0.25">
      <c r="A265" s="6" t="s">
        <v>614</v>
      </c>
      <c r="B265" s="6">
        <v>5.7353816000000002E-2</v>
      </c>
      <c r="C265" s="6">
        <v>0.145059878</v>
      </c>
    </row>
    <row r="266" spans="1:3" x14ac:dyDescent="0.25">
      <c r="A266" s="6" t="s">
        <v>102</v>
      </c>
      <c r="B266" s="6">
        <v>0.1495927</v>
      </c>
      <c r="C266" s="6">
        <v>9.5148544019999992</v>
      </c>
    </row>
    <row r="267" spans="1:3" x14ac:dyDescent="0.25">
      <c r="A267" s="6" t="s">
        <v>392</v>
      </c>
      <c r="B267" s="6">
        <v>0.160537394</v>
      </c>
      <c r="C267" s="6">
        <v>2.1557924939999999</v>
      </c>
    </row>
    <row r="268" spans="1:3" x14ac:dyDescent="0.25">
      <c r="A268" s="6" t="s">
        <v>519</v>
      </c>
      <c r="B268" s="6">
        <v>1.4503377E-2</v>
      </c>
      <c r="C268" s="6">
        <v>0.62515829700000003</v>
      </c>
    </row>
    <row r="269" spans="1:3" x14ac:dyDescent="0.25">
      <c r="A269" s="6" t="s">
        <v>77</v>
      </c>
      <c r="B269" s="6">
        <v>5.2345923000000003E-2</v>
      </c>
      <c r="C269" s="6">
        <v>9.9103668000000006E-2</v>
      </c>
    </row>
    <row r="270" spans="1:3" x14ac:dyDescent="0.25">
      <c r="A270" s="6" t="s">
        <v>325</v>
      </c>
      <c r="B270" s="6">
        <v>6.3127380999999996E-2</v>
      </c>
      <c r="C270" s="6">
        <v>0.14056426499999999</v>
      </c>
    </row>
    <row r="271" spans="1:3" x14ac:dyDescent="0.25">
      <c r="A271" s="6" t="s">
        <v>592</v>
      </c>
      <c r="B271" s="6">
        <v>0.58428201099999999</v>
      </c>
      <c r="C271" s="6">
        <v>6.9364322000000006E-2</v>
      </c>
    </row>
    <row r="272" spans="1:3" x14ac:dyDescent="0.25">
      <c r="A272" s="6" t="s">
        <v>429</v>
      </c>
      <c r="B272" s="6">
        <v>3.0583558E-2</v>
      </c>
      <c r="C272" s="6">
        <v>0.113079151</v>
      </c>
    </row>
    <row r="273" spans="1:3" x14ac:dyDescent="0.25">
      <c r="A273" s="6" t="s">
        <v>78</v>
      </c>
      <c r="B273" s="6">
        <v>0.13526090199999999</v>
      </c>
      <c r="C273" s="6">
        <v>0.277593904</v>
      </c>
    </row>
    <row r="274" spans="1:3" x14ac:dyDescent="0.25">
      <c r="A274" s="6" t="s">
        <v>468</v>
      </c>
      <c r="B274" s="6">
        <v>1.3133216E-2</v>
      </c>
      <c r="C274" s="6">
        <v>0.47165529899999997</v>
      </c>
    </row>
    <row r="275" spans="1:3" x14ac:dyDescent="0.25">
      <c r="A275" s="6" t="s">
        <v>603</v>
      </c>
      <c r="B275" s="6">
        <v>2.0215548E-2</v>
      </c>
      <c r="C275" s="6">
        <v>1.2337473940000001</v>
      </c>
    </row>
    <row r="276" spans="1:3" x14ac:dyDescent="0.25">
      <c r="A276" s="6" t="s">
        <v>740</v>
      </c>
      <c r="B276" s="6">
        <v>2.5578320000000002E-2</v>
      </c>
      <c r="C276" s="6">
        <v>0.23756962400000001</v>
      </c>
    </row>
    <row r="277" spans="1:3" x14ac:dyDescent="0.25">
      <c r="A277" s="6" t="s">
        <v>362</v>
      </c>
      <c r="B277" s="6">
        <v>4.6930417000000002E-2</v>
      </c>
      <c r="C277" s="6">
        <v>0.22227382900000001</v>
      </c>
    </row>
    <row r="278" spans="1:3" x14ac:dyDescent="0.25">
      <c r="A278" s="6" t="s">
        <v>38</v>
      </c>
      <c r="B278" s="6">
        <v>0.94740393599999995</v>
      </c>
      <c r="C278" s="6">
        <v>8.4327736E-2</v>
      </c>
    </row>
    <row r="279" spans="1:3" x14ac:dyDescent="0.25">
      <c r="A279" s="6" t="s">
        <v>182</v>
      </c>
      <c r="B279" s="6">
        <v>1.1818964E-2</v>
      </c>
      <c r="C279" s="6">
        <v>3.0262701999999999E-2</v>
      </c>
    </row>
    <row r="280" spans="1:3" x14ac:dyDescent="0.25">
      <c r="A280" s="6" t="s">
        <v>43</v>
      </c>
      <c r="B280" s="6">
        <v>3.1778808999999998E-2</v>
      </c>
      <c r="C280" s="6">
        <v>6.5994960000000005E-2</v>
      </c>
    </row>
    <row r="281" spans="1:3" x14ac:dyDescent="0.25">
      <c r="A281" s="6" t="s">
        <v>696</v>
      </c>
      <c r="B281" s="6">
        <v>7.3033596000000006E-2</v>
      </c>
      <c r="C281" s="6">
        <v>0.10654419399999999</v>
      </c>
    </row>
    <row r="282" spans="1:3" x14ac:dyDescent="0.25">
      <c r="A282" s="6" t="s">
        <v>638</v>
      </c>
      <c r="B282" s="6">
        <v>8.6374084000000004E-2</v>
      </c>
      <c r="C282" s="6">
        <v>0.20126454999999999</v>
      </c>
    </row>
    <row r="283" spans="1:3" x14ac:dyDescent="0.25">
      <c r="A283" s="6" t="s">
        <v>264</v>
      </c>
      <c r="B283" s="6">
        <v>2.4430286999999998E-2</v>
      </c>
      <c r="C283" s="6">
        <v>1.4998421E-2</v>
      </c>
    </row>
    <row r="284" spans="1:3" x14ac:dyDescent="0.25">
      <c r="A284" s="6" t="s">
        <v>553</v>
      </c>
      <c r="B284" s="6">
        <v>0.13275424799999999</v>
      </c>
      <c r="C284" s="6">
        <v>0.64686908899999995</v>
      </c>
    </row>
    <row r="285" spans="1:3" x14ac:dyDescent="0.25">
      <c r="A285" s="6" t="s">
        <v>398</v>
      </c>
      <c r="B285" s="6">
        <v>4.8794007E-2</v>
      </c>
      <c r="C285" s="6">
        <v>0.34025407200000002</v>
      </c>
    </row>
    <row r="286" spans="1:3" x14ac:dyDescent="0.25">
      <c r="A286" s="6" t="s">
        <v>612</v>
      </c>
      <c r="B286" s="6">
        <v>6.2282591999999998E-2</v>
      </c>
      <c r="C286" s="6">
        <v>1.1689250069999999</v>
      </c>
    </row>
    <row r="287" spans="1:3" x14ac:dyDescent="0.25">
      <c r="A287" s="6" t="s">
        <v>244</v>
      </c>
      <c r="B287" s="6">
        <v>4.6820221000000002E-2</v>
      </c>
      <c r="C287" s="6">
        <v>0.70664939199999999</v>
      </c>
    </row>
    <row r="288" spans="1:3" x14ac:dyDescent="0.25">
      <c r="A288" s="6" t="s">
        <v>348</v>
      </c>
      <c r="B288" s="6">
        <v>0.198687908</v>
      </c>
      <c r="C288" s="6">
        <v>0.12465184999999999</v>
      </c>
    </row>
    <row r="289" spans="1:3" x14ac:dyDescent="0.25">
      <c r="A289" s="6" t="s">
        <v>496</v>
      </c>
      <c r="B289" s="6">
        <v>2.6831477999999999E-2</v>
      </c>
      <c r="C289" s="6">
        <v>0.32608162400000001</v>
      </c>
    </row>
    <row r="290" spans="1:3" x14ac:dyDescent="0.25">
      <c r="A290" s="6" t="s">
        <v>241</v>
      </c>
      <c r="B290" s="6">
        <v>7.3934809000000004E-2</v>
      </c>
      <c r="C290" s="6">
        <v>0.20902199299999999</v>
      </c>
    </row>
    <row r="291" spans="1:3" x14ac:dyDescent="0.25">
      <c r="A291" s="6" t="s">
        <v>633</v>
      </c>
      <c r="B291" s="6">
        <v>0.188675068</v>
      </c>
      <c r="C291" s="6">
        <v>3.5692738230000001</v>
      </c>
    </row>
    <row r="292" spans="1:3" x14ac:dyDescent="0.25">
      <c r="A292" s="6" t="s">
        <v>369</v>
      </c>
      <c r="B292" s="6">
        <v>7.0832185000000006E-2</v>
      </c>
      <c r="C292" s="6">
        <v>0.35998300300000002</v>
      </c>
    </row>
    <row r="293" spans="1:3" x14ac:dyDescent="0.25">
      <c r="A293" s="6" t="s">
        <v>53</v>
      </c>
      <c r="B293" s="6">
        <v>4.9056441999999999E-2</v>
      </c>
      <c r="C293" s="6">
        <v>2.3979200569999999</v>
      </c>
    </row>
    <row r="294" spans="1:3" x14ac:dyDescent="0.25">
      <c r="A294" s="6" t="s">
        <v>444</v>
      </c>
      <c r="B294" s="6">
        <v>0.16062047600000001</v>
      </c>
      <c r="C294" s="6">
        <v>0.17238542700000001</v>
      </c>
    </row>
    <row r="295" spans="1:3" x14ac:dyDescent="0.25">
      <c r="A295" s="6" t="s">
        <v>26</v>
      </c>
      <c r="B295" s="6">
        <v>0.45631080699999998</v>
      </c>
      <c r="C295" s="6">
        <v>4.9767361000000003E-2</v>
      </c>
    </row>
    <row r="296" spans="1:3" x14ac:dyDescent="0.25">
      <c r="A296" s="6" t="s">
        <v>485</v>
      </c>
      <c r="B296" s="6">
        <v>2.8489843000000001E-2</v>
      </c>
      <c r="C296" s="6">
        <v>0.27713780700000001</v>
      </c>
    </row>
    <row r="297" spans="1:3" x14ac:dyDescent="0.25">
      <c r="A297" s="6" t="s">
        <v>295</v>
      </c>
      <c r="B297" s="6">
        <v>0.14819610799999999</v>
      </c>
      <c r="C297" s="6">
        <v>1.168782381</v>
      </c>
    </row>
    <row r="298" spans="1:3" x14ac:dyDescent="0.25">
      <c r="A298" s="6" t="s">
        <v>201</v>
      </c>
      <c r="B298" s="6">
        <v>9.0266729000000004E-2</v>
      </c>
      <c r="C298" s="6">
        <v>1.390350958</v>
      </c>
    </row>
    <row r="299" spans="1:3" x14ac:dyDescent="0.25">
      <c r="A299" s="6" t="s">
        <v>12</v>
      </c>
      <c r="B299" s="6">
        <v>7.5317803000000003E-2</v>
      </c>
      <c r="C299" s="6">
        <v>1.9146237E-2</v>
      </c>
    </row>
    <row r="300" spans="1:3" x14ac:dyDescent="0.25">
      <c r="A300" s="6" t="s">
        <v>595</v>
      </c>
      <c r="B300" s="6">
        <v>3.6684498000000003E-2</v>
      </c>
      <c r="C300" s="6">
        <v>9.0374333000000001E-2</v>
      </c>
    </row>
    <row r="301" spans="1:3" x14ac:dyDescent="0.25">
      <c r="A301" s="6" t="s">
        <v>391</v>
      </c>
      <c r="B301" s="6">
        <v>5.2673304999999997E-2</v>
      </c>
      <c r="C301" s="6">
        <v>0.36040425100000001</v>
      </c>
    </row>
    <row r="302" spans="1:3" x14ac:dyDescent="0.25">
      <c r="A302" s="6" t="s">
        <v>488</v>
      </c>
      <c r="B302" s="6">
        <v>8.0827613000000006E-2</v>
      </c>
      <c r="C302" s="6">
        <v>0.52338947499999999</v>
      </c>
    </row>
    <row r="303" spans="1:3" x14ac:dyDescent="0.25">
      <c r="A303" s="6" t="s">
        <v>565</v>
      </c>
      <c r="B303" s="6">
        <v>6.7637023000000004E-2</v>
      </c>
      <c r="C303" s="6">
        <v>0.300416497</v>
      </c>
    </row>
    <row r="304" spans="1:3" x14ac:dyDescent="0.25">
      <c r="A304" s="6" t="s">
        <v>412</v>
      </c>
      <c r="B304" s="6">
        <v>6.2756297000000003E-2</v>
      </c>
      <c r="C304" s="6">
        <v>3.6376755379999999</v>
      </c>
    </row>
    <row r="305" spans="1:3" x14ac:dyDescent="0.25">
      <c r="A305" s="6" t="s">
        <v>349</v>
      </c>
      <c r="B305" s="6">
        <v>1.8872976999999999E-2</v>
      </c>
      <c r="C305" s="6">
        <v>0.37565538300000001</v>
      </c>
    </row>
    <row r="306" spans="1:3" x14ac:dyDescent="0.25">
      <c r="A306" s="6" t="s">
        <v>480</v>
      </c>
      <c r="B306" s="6">
        <v>1.4449609E-2</v>
      </c>
      <c r="C306" s="6">
        <v>0.887459734</v>
      </c>
    </row>
    <row r="307" spans="1:3" x14ac:dyDescent="0.25">
      <c r="A307" s="6" t="s">
        <v>474</v>
      </c>
      <c r="B307" s="6">
        <v>7.0867224000000006E-2</v>
      </c>
      <c r="C307" s="6">
        <v>7.6993590000000002E-3</v>
      </c>
    </row>
    <row r="308" spans="1:3" x14ac:dyDescent="0.25">
      <c r="A308" s="6" t="s">
        <v>31</v>
      </c>
      <c r="B308" s="6">
        <v>1.5482726E-2</v>
      </c>
      <c r="C308" s="6">
        <v>0.51517723199999998</v>
      </c>
    </row>
    <row r="309" spans="1:3" x14ac:dyDescent="0.25">
      <c r="A309" s="6" t="s">
        <v>386</v>
      </c>
      <c r="B309" s="6">
        <v>0.52830770800000004</v>
      </c>
      <c r="C309" s="6">
        <v>7.8909029000000006E-2</v>
      </c>
    </row>
    <row r="310" spans="1:3" x14ac:dyDescent="0.25">
      <c r="A310" s="6" t="s">
        <v>122</v>
      </c>
      <c r="B310" s="6">
        <v>2.0494444000000001E-2</v>
      </c>
      <c r="C310" s="6">
        <v>3.4115746000000002E-2</v>
      </c>
    </row>
    <row r="311" spans="1:3" x14ac:dyDescent="0.25">
      <c r="A311" s="6" t="s">
        <v>230</v>
      </c>
      <c r="B311" s="6">
        <v>0.13295441799999999</v>
      </c>
      <c r="C311" s="6">
        <v>0.39649242000000001</v>
      </c>
    </row>
    <row r="312" spans="1:3" x14ac:dyDescent="0.25">
      <c r="A312" s="6" t="s">
        <v>448</v>
      </c>
      <c r="B312" s="6">
        <v>0.24637401</v>
      </c>
      <c r="C312" s="6">
        <v>0.49156483400000001</v>
      </c>
    </row>
    <row r="313" spans="1:3" x14ac:dyDescent="0.25">
      <c r="A313" s="6" t="s">
        <v>305</v>
      </c>
      <c r="B313" s="6">
        <v>8.7228216999999997E-2</v>
      </c>
      <c r="C313" s="6">
        <v>0.133328742</v>
      </c>
    </row>
    <row r="314" spans="1:3" x14ac:dyDescent="0.25">
      <c r="A314" s="6" t="s">
        <v>583</v>
      </c>
      <c r="B314" s="6">
        <v>7.6383992999999997E-2</v>
      </c>
      <c r="C314" s="6">
        <v>0.86984020500000003</v>
      </c>
    </row>
    <row r="315" spans="1:3" x14ac:dyDescent="0.25">
      <c r="A315" s="6" t="s">
        <v>505</v>
      </c>
      <c r="B315" s="6">
        <v>3.6562457E-2</v>
      </c>
      <c r="C315" s="6">
        <v>0.10301627200000001</v>
      </c>
    </row>
    <row r="316" spans="1:3" x14ac:dyDescent="0.25">
      <c r="A316" s="6" t="s">
        <v>95</v>
      </c>
      <c r="B316" s="6">
        <v>3.0075787999999999E-2</v>
      </c>
      <c r="C316" s="6">
        <v>2.968263506</v>
      </c>
    </row>
    <row r="317" spans="1:3" x14ac:dyDescent="0.25">
      <c r="A317" s="6" t="s">
        <v>563</v>
      </c>
      <c r="B317" s="6">
        <v>9.2930679000000002E-2</v>
      </c>
      <c r="C317" s="6">
        <v>0.16026976500000001</v>
      </c>
    </row>
    <row r="318" spans="1:3" x14ac:dyDescent="0.25">
      <c r="A318" s="6" t="s">
        <v>146</v>
      </c>
      <c r="B318" s="6">
        <v>9.0847395999999997E-2</v>
      </c>
      <c r="C318" s="6">
        <v>0.49840225799999999</v>
      </c>
    </row>
    <row r="319" spans="1:3" x14ac:dyDescent="0.25">
      <c r="A319" s="6" t="s">
        <v>402</v>
      </c>
      <c r="B319" s="6">
        <v>2.0935875999999999E-2</v>
      </c>
      <c r="C319" s="6">
        <v>0.68100765299999999</v>
      </c>
    </row>
    <row r="320" spans="1:3" x14ac:dyDescent="0.25">
      <c r="A320" s="6" t="s">
        <v>105</v>
      </c>
      <c r="B320" s="6">
        <v>2.8629391000000001E-2</v>
      </c>
      <c r="C320" s="6">
        <v>0.50781854999999998</v>
      </c>
    </row>
    <row r="321" spans="1:3" x14ac:dyDescent="0.25">
      <c r="A321" s="6" t="s">
        <v>709</v>
      </c>
      <c r="B321" s="6">
        <v>0.10395009299999999</v>
      </c>
      <c r="C321" s="6">
        <v>3.1530032E-2</v>
      </c>
    </row>
    <row r="322" spans="1:3" x14ac:dyDescent="0.25">
      <c r="A322" s="6" t="s">
        <v>47</v>
      </c>
      <c r="B322" s="6">
        <v>6.6381089999999997E-3</v>
      </c>
      <c r="C322" s="6">
        <v>0.41985638600000003</v>
      </c>
    </row>
    <row r="323" spans="1:3" x14ac:dyDescent="0.25">
      <c r="A323" s="6" t="s">
        <v>242</v>
      </c>
      <c r="B323" s="6">
        <v>1.2171912999999999E-2</v>
      </c>
      <c r="C323" s="6">
        <v>0.107393325</v>
      </c>
    </row>
    <row r="324" spans="1:3" x14ac:dyDescent="0.25">
      <c r="A324" s="6" t="s">
        <v>425</v>
      </c>
      <c r="B324" s="6">
        <v>4.7204450000000002E-2</v>
      </c>
      <c r="C324" s="6">
        <v>0.122090793</v>
      </c>
    </row>
    <row r="325" spans="1:3" x14ac:dyDescent="0.25">
      <c r="A325" s="6" t="s">
        <v>176</v>
      </c>
      <c r="B325" s="6">
        <v>5.1347421999999997E-2</v>
      </c>
      <c r="C325" s="6">
        <v>6.7028992999999995E-2</v>
      </c>
    </row>
    <row r="326" spans="1:3" x14ac:dyDescent="0.25">
      <c r="A326" s="6" t="s">
        <v>124</v>
      </c>
      <c r="B326" s="6">
        <v>2.9683739000000001E-2</v>
      </c>
      <c r="C326" s="6">
        <v>0.104039172</v>
      </c>
    </row>
    <row r="327" spans="1:3" x14ac:dyDescent="0.25">
      <c r="A327" s="6" t="s">
        <v>712</v>
      </c>
      <c r="B327" s="6">
        <v>8.4344613999999998E-2</v>
      </c>
      <c r="C327" s="6">
        <v>0.33519386099999998</v>
      </c>
    </row>
    <row r="328" spans="1:3" x14ac:dyDescent="0.25">
      <c r="A328" s="6" t="s">
        <v>366</v>
      </c>
      <c r="B328" s="6">
        <v>5.9855777999999998E-2</v>
      </c>
      <c r="C328" s="6">
        <v>4.1185838000000002E-2</v>
      </c>
    </row>
    <row r="329" spans="1:3" x14ac:dyDescent="0.25">
      <c r="A329" s="6" t="s">
        <v>467</v>
      </c>
      <c r="B329" s="6">
        <v>2.1473135000000001E-2</v>
      </c>
      <c r="C329" s="6">
        <v>2.5374826079999999</v>
      </c>
    </row>
    <row r="330" spans="1:3" x14ac:dyDescent="0.25">
      <c r="A330" s="6" t="s">
        <v>300</v>
      </c>
      <c r="B330" s="6">
        <v>3.1127882999999999E-2</v>
      </c>
      <c r="C330" s="6">
        <v>0.25470742099999999</v>
      </c>
    </row>
    <row r="331" spans="1:3" x14ac:dyDescent="0.25">
      <c r="A331" s="6" t="s">
        <v>165</v>
      </c>
      <c r="B331" s="6">
        <v>2.2464813E-2</v>
      </c>
      <c r="C331" s="6">
        <v>0.417470336</v>
      </c>
    </row>
    <row r="332" spans="1:3" x14ac:dyDescent="0.25">
      <c r="A332" s="6" t="s">
        <v>327</v>
      </c>
      <c r="B332" s="6">
        <v>9.5205871999999997E-2</v>
      </c>
      <c r="C332" s="6">
        <v>0.19632992099999999</v>
      </c>
    </row>
    <row r="333" spans="1:3" x14ac:dyDescent="0.25">
      <c r="A333" s="6" t="s">
        <v>464</v>
      </c>
      <c r="B333" s="6">
        <v>0.10217322199999999</v>
      </c>
      <c r="C333" s="6">
        <v>0.20604044699999999</v>
      </c>
    </row>
    <row r="334" spans="1:3" x14ac:dyDescent="0.25">
      <c r="A334" s="6" t="s">
        <v>310</v>
      </c>
      <c r="B334" s="6">
        <v>9.3771284999999996E-2</v>
      </c>
      <c r="C334" s="6">
        <v>10.437305589999999</v>
      </c>
    </row>
    <row r="335" spans="1:3" x14ac:dyDescent="0.25">
      <c r="A335" s="6" t="s">
        <v>498</v>
      </c>
      <c r="B335" s="6">
        <v>1.8755489E-2</v>
      </c>
      <c r="C335" s="6">
        <v>0.10665448499999999</v>
      </c>
    </row>
    <row r="336" spans="1:3" x14ac:dyDescent="0.25">
      <c r="A336" s="6" t="s">
        <v>673</v>
      </c>
      <c r="B336" s="6">
        <v>0.76174944200000005</v>
      </c>
      <c r="C336" s="6">
        <v>0.51794794</v>
      </c>
    </row>
    <row r="337" spans="1:3" x14ac:dyDescent="0.25">
      <c r="A337" s="6" t="s">
        <v>644</v>
      </c>
      <c r="B337" s="6">
        <v>2.5501195000000001E-2</v>
      </c>
      <c r="C337" s="6">
        <v>0.70852842500000002</v>
      </c>
    </row>
    <row r="338" spans="1:3" x14ac:dyDescent="0.25">
      <c r="A338" s="6" t="s">
        <v>597</v>
      </c>
      <c r="B338" s="6">
        <v>5.6845911999999998E-2</v>
      </c>
      <c r="C338" s="6">
        <v>0.23147701500000001</v>
      </c>
    </row>
    <row r="339" spans="1:3" x14ac:dyDescent="0.25">
      <c r="A339" s="6" t="s">
        <v>685</v>
      </c>
      <c r="B339" s="6">
        <v>5.1037322000000003E-2</v>
      </c>
      <c r="C339" s="6">
        <v>6.7140956000000002E-2</v>
      </c>
    </row>
    <row r="340" spans="1:3" x14ac:dyDescent="0.25">
      <c r="A340" s="6" t="s">
        <v>729</v>
      </c>
      <c r="B340" s="6">
        <v>0.47240162800000002</v>
      </c>
      <c r="C340" s="6">
        <v>0.72503645000000005</v>
      </c>
    </row>
    <row r="341" spans="1:3" x14ac:dyDescent="0.25">
      <c r="A341" s="6" t="s">
        <v>23</v>
      </c>
      <c r="B341" s="6">
        <v>4.2383262999999997E-2</v>
      </c>
      <c r="C341" s="6">
        <v>0.11196434800000001</v>
      </c>
    </row>
    <row r="342" spans="1:3" x14ac:dyDescent="0.25">
      <c r="A342" s="6" t="s">
        <v>490</v>
      </c>
      <c r="B342" s="6">
        <v>2.7383165000000001E-2</v>
      </c>
      <c r="C342" s="6">
        <v>1.8081266330000001</v>
      </c>
    </row>
    <row r="343" spans="1:3" x14ac:dyDescent="0.25">
      <c r="A343" s="6" t="s">
        <v>650</v>
      </c>
      <c r="B343" s="6">
        <v>0.49800478100000001</v>
      </c>
      <c r="C343" s="6">
        <v>9.4136279000000003E-2</v>
      </c>
    </row>
    <row r="344" spans="1:3" x14ac:dyDescent="0.25">
      <c r="A344" s="6" t="s">
        <v>509</v>
      </c>
      <c r="B344" s="6">
        <v>3.5410437000000003E-2</v>
      </c>
      <c r="C344" s="6">
        <v>0.18713068099999999</v>
      </c>
    </row>
    <row r="345" spans="1:3" x14ac:dyDescent="0.25">
      <c r="A345" s="6" t="s">
        <v>161</v>
      </c>
      <c r="B345" s="6">
        <v>3.3578805000000003E-2</v>
      </c>
      <c r="C345" s="6">
        <v>0.23601776199999999</v>
      </c>
    </row>
    <row r="346" spans="1:3" x14ac:dyDescent="0.25">
      <c r="A346" s="6" t="s">
        <v>552</v>
      </c>
      <c r="B346" s="6">
        <v>8.5628573999999999E-2</v>
      </c>
      <c r="C346" s="6">
        <v>0.30920077299999998</v>
      </c>
    </row>
    <row r="347" spans="1:3" x14ac:dyDescent="0.25">
      <c r="A347" s="6" t="s">
        <v>528</v>
      </c>
      <c r="B347" s="6">
        <v>2.2874208E-2</v>
      </c>
      <c r="C347" s="6">
        <v>0.222822097</v>
      </c>
    </row>
    <row r="348" spans="1:3" x14ac:dyDescent="0.25">
      <c r="A348" s="6" t="s">
        <v>394</v>
      </c>
      <c r="B348" s="6">
        <v>4.5414466000000001E-2</v>
      </c>
      <c r="C348" s="6">
        <v>0.64168218600000004</v>
      </c>
    </row>
    <row r="349" spans="1:3" x14ac:dyDescent="0.25">
      <c r="A349" s="6" t="s">
        <v>442</v>
      </c>
      <c r="B349" s="6">
        <v>0.18920192399999999</v>
      </c>
      <c r="C349" s="6">
        <v>0.27400939699999999</v>
      </c>
    </row>
    <row r="350" spans="1:3" x14ac:dyDescent="0.25">
      <c r="A350" s="6" t="s">
        <v>24</v>
      </c>
      <c r="B350" s="6">
        <v>2.8770618000000001E-2</v>
      </c>
      <c r="C350" s="6">
        <v>0.13324522699999999</v>
      </c>
    </row>
    <row r="351" spans="1:3" x14ac:dyDescent="0.25">
      <c r="A351" s="6" t="s">
        <v>439</v>
      </c>
      <c r="B351" s="6">
        <v>2.6178324999999999E-2</v>
      </c>
      <c r="C351" s="6">
        <v>1.1211564949999999</v>
      </c>
    </row>
    <row r="352" spans="1:3" x14ac:dyDescent="0.25">
      <c r="A352" s="6" t="s">
        <v>541</v>
      </c>
      <c r="B352" s="6">
        <v>4.2483196000000001E-2</v>
      </c>
      <c r="C352" s="6">
        <v>7.8949007000000002E-2</v>
      </c>
    </row>
    <row r="353" spans="1:3" x14ac:dyDescent="0.25">
      <c r="A353" s="6" t="s">
        <v>607</v>
      </c>
      <c r="B353" s="6">
        <v>9.0059209000000001E-2</v>
      </c>
      <c r="C353" s="6">
        <v>7.9025011000000006E-2</v>
      </c>
    </row>
    <row r="354" spans="1:3" x14ac:dyDescent="0.25">
      <c r="A354" s="6" t="s">
        <v>204</v>
      </c>
      <c r="B354" s="6">
        <v>6.6948536000000003E-2</v>
      </c>
      <c r="C354" s="6">
        <v>1.972235175</v>
      </c>
    </row>
    <row r="355" spans="1:3" x14ac:dyDescent="0.25">
      <c r="A355" s="6" t="s">
        <v>236</v>
      </c>
      <c r="B355" s="6">
        <v>4.4367230000000001E-2</v>
      </c>
      <c r="C355" s="6">
        <v>0.52644941499999998</v>
      </c>
    </row>
    <row r="356" spans="1:3" x14ac:dyDescent="0.25">
      <c r="A356" s="6" t="s">
        <v>133</v>
      </c>
      <c r="B356" s="6">
        <v>4.2632699000000003E-2</v>
      </c>
      <c r="C356" s="6">
        <v>7.7129701999999994E-2</v>
      </c>
    </row>
    <row r="357" spans="1:3" x14ac:dyDescent="0.25">
      <c r="A357" s="6" t="s">
        <v>66</v>
      </c>
      <c r="B357" s="6">
        <v>4.1467480000000001E-2</v>
      </c>
      <c r="C357" s="6">
        <v>1.0212898079999999</v>
      </c>
    </row>
    <row r="358" spans="1:3" x14ac:dyDescent="0.25">
      <c r="A358" s="6" t="s">
        <v>3</v>
      </c>
      <c r="B358" s="6">
        <v>3.2416130000000001E-2</v>
      </c>
      <c r="C358" s="6">
        <v>0.186239453</v>
      </c>
    </row>
    <row r="359" spans="1:3" x14ac:dyDescent="0.25">
      <c r="A359" s="6" t="s">
        <v>564</v>
      </c>
      <c r="B359" s="6">
        <v>3.7574160000000002E-2</v>
      </c>
      <c r="C359" s="6">
        <v>0.78996952200000004</v>
      </c>
    </row>
    <row r="360" spans="1:3" x14ac:dyDescent="0.25">
      <c r="A360" s="6" t="s">
        <v>430</v>
      </c>
      <c r="B360" s="6">
        <v>1.7487121000000001E-2</v>
      </c>
      <c r="C360" s="6">
        <v>0.30077706900000001</v>
      </c>
    </row>
    <row r="361" spans="1:3" x14ac:dyDescent="0.25">
      <c r="A361" s="6" t="s">
        <v>159</v>
      </c>
      <c r="B361" s="6">
        <v>4.7308780000000002E-2</v>
      </c>
      <c r="C361" s="6">
        <v>0.72756302399999995</v>
      </c>
    </row>
    <row r="362" spans="1:3" x14ac:dyDescent="0.25">
      <c r="A362" s="6" t="s">
        <v>405</v>
      </c>
      <c r="B362" s="6">
        <v>7.9995384000000003E-2</v>
      </c>
      <c r="C362" s="6">
        <v>0.12810838099999999</v>
      </c>
    </row>
    <row r="363" spans="1:3" x14ac:dyDescent="0.25">
      <c r="A363" s="6" t="s">
        <v>277</v>
      </c>
      <c r="B363" s="6">
        <v>3.723514E-2</v>
      </c>
      <c r="C363" s="6">
        <v>0.206841513</v>
      </c>
    </row>
    <row r="364" spans="1:3" x14ac:dyDescent="0.25">
      <c r="A364" s="6" t="s">
        <v>278</v>
      </c>
      <c r="B364" s="6">
        <v>0.20787509800000001</v>
      </c>
      <c r="C364" s="6">
        <v>0.69461181100000002</v>
      </c>
    </row>
    <row r="365" spans="1:3" x14ac:dyDescent="0.25">
      <c r="A365" s="6" t="s">
        <v>421</v>
      </c>
      <c r="B365" s="6">
        <v>0.118906651</v>
      </c>
      <c r="C365" s="6">
        <v>0.21520176999999999</v>
      </c>
    </row>
    <row r="366" spans="1:3" x14ac:dyDescent="0.25">
      <c r="A366" s="6" t="s">
        <v>331</v>
      </c>
      <c r="B366" s="6">
        <v>1.162032E-2</v>
      </c>
      <c r="C366" s="6">
        <v>5.5329321000000001E-2</v>
      </c>
    </row>
    <row r="367" spans="1:3" x14ac:dyDescent="0.25">
      <c r="A367" s="6" t="s">
        <v>619</v>
      </c>
      <c r="B367" s="6">
        <v>6.7447988E-2</v>
      </c>
      <c r="C367" s="6">
        <v>0.304425746</v>
      </c>
    </row>
    <row r="368" spans="1:3" x14ac:dyDescent="0.25">
      <c r="A368" s="6" t="s">
        <v>142</v>
      </c>
      <c r="B368" s="6">
        <v>4.7919775999999997E-2</v>
      </c>
      <c r="C368" s="6">
        <v>0.317059806</v>
      </c>
    </row>
    <row r="369" spans="1:3" x14ac:dyDescent="0.25">
      <c r="A369" s="6" t="s">
        <v>93</v>
      </c>
      <c r="B369" s="6">
        <v>6.3281353999999998E-2</v>
      </c>
      <c r="C369" s="6">
        <v>0.44992194600000002</v>
      </c>
    </row>
    <row r="370" spans="1:3" x14ac:dyDescent="0.25">
      <c r="A370" s="6" t="s">
        <v>219</v>
      </c>
      <c r="B370" s="6">
        <v>0.26888236300000001</v>
      </c>
      <c r="C370" s="6">
        <v>1.4640659E-2</v>
      </c>
    </row>
    <row r="371" spans="1:3" x14ac:dyDescent="0.25">
      <c r="A371" s="6" t="s">
        <v>435</v>
      </c>
      <c r="B371" s="6">
        <v>0.216823244</v>
      </c>
      <c r="C371" s="6">
        <v>0.14919072999999999</v>
      </c>
    </row>
    <row r="372" spans="1:3" x14ac:dyDescent="0.25">
      <c r="A372" s="6" t="s">
        <v>156</v>
      </c>
      <c r="B372" s="6">
        <v>3.7606474000000001E-2</v>
      </c>
      <c r="C372" s="6">
        <v>0.15744244199999999</v>
      </c>
    </row>
    <row r="373" spans="1:3" x14ac:dyDescent="0.25">
      <c r="A373" s="6" t="s">
        <v>551</v>
      </c>
      <c r="B373" s="6">
        <v>2.7074318E-2</v>
      </c>
      <c r="C373" s="6">
        <v>0.17966433800000001</v>
      </c>
    </row>
    <row r="374" spans="1:3" x14ac:dyDescent="0.25">
      <c r="A374" s="6" t="s">
        <v>170</v>
      </c>
      <c r="B374" s="6">
        <v>0.10138167200000001</v>
      </c>
      <c r="C374" s="6">
        <v>8.7858655999999993E-2</v>
      </c>
    </row>
    <row r="375" spans="1:3" x14ac:dyDescent="0.25">
      <c r="A375" s="6" t="s">
        <v>691</v>
      </c>
      <c r="B375" s="6">
        <v>2.9446015999999998E-2</v>
      </c>
      <c r="C375" s="6">
        <v>0.10378969</v>
      </c>
    </row>
    <row r="376" spans="1:3" x14ac:dyDescent="0.25">
      <c r="A376" s="6" t="s">
        <v>675</v>
      </c>
      <c r="B376" s="6">
        <v>0.83815545999999996</v>
      </c>
      <c r="C376" s="6">
        <v>0.68246322000000004</v>
      </c>
    </row>
    <row r="377" spans="1:3" x14ac:dyDescent="0.25">
      <c r="A377" s="6" t="s">
        <v>437</v>
      </c>
      <c r="B377" s="6">
        <v>5.4529439999999998E-2</v>
      </c>
      <c r="C377" s="6">
        <v>0.43940055</v>
      </c>
    </row>
    <row r="378" spans="1:3" x14ac:dyDescent="0.25">
      <c r="A378" s="6" t="s">
        <v>625</v>
      </c>
      <c r="B378" s="6">
        <v>4.3848798000000001E-2</v>
      </c>
      <c r="C378" s="6">
        <v>1.3579604860000001</v>
      </c>
    </row>
    <row r="379" spans="1:3" x14ac:dyDescent="0.25">
      <c r="A379" s="6" t="s">
        <v>134</v>
      </c>
      <c r="B379" s="6">
        <v>7.4862146000000004E-2</v>
      </c>
      <c r="C379" s="6">
        <v>0.26477506499999998</v>
      </c>
    </row>
    <row r="380" spans="1:3" x14ac:dyDescent="0.25">
      <c r="A380" s="6" t="s">
        <v>282</v>
      </c>
      <c r="B380" s="6">
        <v>8.4270846999999996E-2</v>
      </c>
      <c r="C380" s="6">
        <v>0.454900364</v>
      </c>
    </row>
    <row r="381" spans="1:3" x14ac:dyDescent="0.25">
      <c r="A381" s="6" t="s">
        <v>642</v>
      </c>
      <c r="B381" s="6">
        <v>9.8564673000000005E-2</v>
      </c>
      <c r="C381" s="6">
        <v>0.61729035700000001</v>
      </c>
    </row>
    <row r="382" spans="1:3" x14ac:dyDescent="0.25">
      <c r="A382" s="6" t="s">
        <v>469</v>
      </c>
      <c r="B382" s="6">
        <v>4.1599643999999998E-2</v>
      </c>
      <c r="C382" s="6">
        <v>0.91372231999999998</v>
      </c>
    </row>
    <row r="383" spans="1:3" x14ac:dyDescent="0.25">
      <c r="A383" s="6" t="s">
        <v>399</v>
      </c>
      <c r="B383" s="6">
        <v>5.3934505000000001E-2</v>
      </c>
      <c r="C383" s="6">
        <v>0.124728226</v>
      </c>
    </row>
    <row r="384" spans="1:3" x14ac:dyDescent="0.25">
      <c r="A384" s="6" t="s">
        <v>64</v>
      </c>
      <c r="B384" s="6">
        <v>0.119177556</v>
      </c>
      <c r="C384" s="6">
        <v>0.352022106</v>
      </c>
    </row>
    <row r="385" spans="1:3" x14ac:dyDescent="0.25">
      <c r="A385" s="6" t="s">
        <v>116</v>
      </c>
      <c r="B385" s="6">
        <v>7.7147509000000003E-2</v>
      </c>
      <c r="C385" s="6">
        <v>0.206697673</v>
      </c>
    </row>
    <row r="386" spans="1:3" x14ac:dyDescent="0.25">
      <c r="A386" s="6" t="s">
        <v>427</v>
      </c>
      <c r="B386" s="6">
        <v>6.0485547000000001E-2</v>
      </c>
      <c r="C386" s="6">
        <v>0.151572918</v>
      </c>
    </row>
    <row r="387" spans="1:3" x14ac:dyDescent="0.25">
      <c r="A387" s="6" t="s">
        <v>280</v>
      </c>
      <c r="B387" s="6">
        <v>8.6871638000000001E-2</v>
      </c>
      <c r="C387" s="6">
        <v>1.5386057E-2</v>
      </c>
    </row>
    <row r="388" spans="1:3" x14ac:dyDescent="0.25">
      <c r="A388" s="6" t="s">
        <v>561</v>
      </c>
      <c r="B388" s="6">
        <v>9.8658727000000002E-2</v>
      </c>
      <c r="C388" s="6">
        <v>0.308394846</v>
      </c>
    </row>
    <row r="389" spans="1:3" x14ac:dyDescent="0.25">
      <c r="A389" s="6" t="s">
        <v>140</v>
      </c>
      <c r="B389" s="6">
        <v>1.0384101999999999E-2</v>
      </c>
      <c r="C389" s="6">
        <v>0.75551647700000002</v>
      </c>
    </row>
    <row r="390" spans="1:3" x14ac:dyDescent="0.25">
      <c r="A390" s="6" t="s">
        <v>648</v>
      </c>
      <c r="B390" s="6">
        <v>0.54935542100000001</v>
      </c>
      <c r="C390" s="6">
        <v>0.18829913700000001</v>
      </c>
    </row>
    <row r="391" spans="1:3" x14ac:dyDescent="0.25">
      <c r="A391" s="6" t="s">
        <v>521</v>
      </c>
      <c r="B391" s="6">
        <v>2.8855892000000001E-2</v>
      </c>
      <c r="C391" s="6">
        <v>0.17042349300000001</v>
      </c>
    </row>
    <row r="392" spans="1:3" x14ac:dyDescent="0.25">
      <c r="A392" s="6" t="s">
        <v>114</v>
      </c>
      <c r="B392" s="6">
        <v>7.0983170999999998E-2</v>
      </c>
      <c r="C392" s="6">
        <v>0.56891254800000002</v>
      </c>
    </row>
    <row r="393" spans="1:3" x14ac:dyDescent="0.25">
      <c r="A393" s="6" t="s">
        <v>213</v>
      </c>
      <c r="B393" s="6">
        <v>4.9351684999999999E-2</v>
      </c>
      <c r="C393" s="6">
        <v>0.11848752999999999</v>
      </c>
    </row>
    <row r="394" spans="1:3" x14ac:dyDescent="0.25">
      <c r="A394" s="6" t="s">
        <v>652</v>
      </c>
      <c r="B394" s="6">
        <v>0.39943921700000001</v>
      </c>
      <c r="C394" s="6">
        <v>0.21549520999999999</v>
      </c>
    </row>
    <row r="395" spans="1:3" x14ac:dyDescent="0.25">
      <c r="A395" s="6" t="s">
        <v>136</v>
      </c>
      <c r="B395" s="6">
        <v>2.0920290000000001E-2</v>
      </c>
      <c r="C395" s="6">
        <v>0.30255200799999998</v>
      </c>
    </row>
    <row r="396" spans="1:3" x14ac:dyDescent="0.25">
      <c r="A396" s="6" t="s">
        <v>665</v>
      </c>
      <c r="B396" s="6">
        <v>2.0482849000000001E-2</v>
      </c>
      <c r="C396" s="6">
        <v>0.371936198</v>
      </c>
    </row>
    <row r="397" spans="1:3" x14ac:dyDescent="0.25">
      <c r="A397" s="6" t="s">
        <v>328</v>
      </c>
      <c r="B397" s="6">
        <v>6.3207492000000004E-2</v>
      </c>
      <c r="C397" s="6">
        <v>0.56515069699999998</v>
      </c>
    </row>
    <row r="398" spans="1:3" x14ac:dyDescent="0.25">
      <c r="A398" s="6" t="s">
        <v>293</v>
      </c>
      <c r="B398" s="6">
        <v>2.8980451000000001E-2</v>
      </c>
      <c r="C398" s="6">
        <v>0.146577182</v>
      </c>
    </row>
    <row r="399" spans="1:3" x14ac:dyDescent="0.25">
      <c r="A399" s="6" t="s">
        <v>193</v>
      </c>
      <c r="B399" s="6">
        <v>8.2908977999999994E-2</v>
      </c>
      <c r="C399" s="6">
        <v>0.30694932800000002</v>
      </c>
    </row>
    <row r="400" spans="1:3" x14ac:dyDescent="0.25">
      <c r="A400" s="6" t="s">
        <v>510</v>
      </c>
      <c r="B400" s="6">
        <v>5.4683427999999999E-2</v>
      </c>
      <c r="C400" s="6">
        <v>0.45431516700000002</v>
      </c>
    </row>
    <row r="401" spans="1:3" x14ac:dyDescent="0.25">
      <c r="A401" s="6" t="s">
        <v>192</v>
      </c>
      <c r="B401" s="6">
        <v>2.4010775000000002E-2</v>
      </c>
      <c r="C401" s="6">
        <v>0.38469643100000001</v>
      </c>
    </row>
    <row r="402" spans="1:3" x14ac:dyDescent="0.25">
      <c r="A402" s="6" t="s">
        <v>162</v>
      </c>
      <c r="B402" s="6">
        <v>3.5410582000000003E-2</v>
      </c>
      <c r="C402" s="6">
        <v>0.48229427400000002</v>
      </c>
    </row>
    <row r="403" spans="1:3" x14ac:dyDescent="0.25">
      <c r="A403" s="6" t="s">
        <v>135</v>
      </c>
      <c r="B403" s="6">
        <v>3.3297541E-2</v>
      </c>
      <c r="C403" s="6">
        <v>0.24511638799999999</v>
      </c>
    </row>
    <row r="404" spans="1:3" x14ac:dyDescent="0.25">
      <c r="A404" s="6" t="s">
        <v>499</v>
      </c>
      <c r="B404" s="6">
        <v>0.1004724</v>
      </c>
      <c r="C404" s="6">
        <v>0.67455027300000003</v>
      </c>
    </row>
    <row r="405" spans="1:3" x14ac:dyDescent="0.25">
      <c r="A405" s="6" t="s">
        <v>178</v>
      </c>
      <c r="B405" s="6">
        <v>9.6011224000000006E-2</v>
      </c>
      <c r="C405" s="6">
        <v>1.676786361</v>
      </c>
    </row>
    <row r="406" spans="1:3" x14ac:dyDescent="0.25">
      <c r="A406" s="6" t="s">
        <v>151</v>
      </c>
      <c r="B406" s="6">
        <v>8.0488078000000005E-2</v>
      </c>
      <c r="C406" s="6">
        <v>6.4047073999999996E-2</v>
      </c>
    </row>
    <row r="407" spans="1:3" x14ac:dyDescent="0.25">
      <c r="A407" s="6" t="s">
        <v>285</v>
      </c>
      <c r="B407" s="6">
        <v>3.1314357000000001E-2</v>
      </c>
      <c r="C407" s="6">
        <v>0.51945134500000001</v>
      </c>
    </row>
    <row r="408" spans="1:3" x14ac:dyDescent="0.25">
      <c r="A408" s="6" t="s">
        <v>415</v>
      </c>
      <c r="B408" s="6">
        <v>5.9586920000000002E-2</v>
      </c>
      <c r="C408" s="6">
        <v>0.60006191499999995</v>
      </c>
    </row>
    <row r="409" spans="1:3" x14ac:dyDescent="0.25">
      <c r="A409" s="6" t="s">
        <v>14</v>
      </c>
      <c r="B409" s="6">
        <v>5.0909322999999999E-2</v>
      </c>
      <c r="C409" s="6">
        <v>0.113788004</v>
      </c>
    </row>
    <row r="410" spans="1:3" x14ac:dyDescent="0.25">
      <c r="A410" s="6" t="s">
        <v>516</v>
      </c>
      <c r="B410" s="6">
        <v>5.5097421000000001E-2</v>
      </c>
      <c r="C410" s="6">
        <v>0.25508106200000003</v>
      </c>
    </row>
    <row r="411" spans="1:3" x14ac:dyDescent="0.25">
      <c r="A411" s="6" t="s">
        <v>661</v>
      </c>
      <c r="B411" s="6">
        <v>0.15609717100000001</v>
      </c>
      <c r="C411" s="6">
        <v>0.114841421</v>
      </c>
    </row>
    <row r="412" spans="1:3" x14ac:dyDescent="0.25">
      <c r="A412" s="6" t="s">
        <v>189</v>
      </c>
      <c r="B412" s="6">
        <v>0.57493813800000004</v>
      </c>
      <c r="C412" s="6">
        <v>0.271710116</v>
      </c>
    </row>
    <row r="413" spans="1:3" x14ac:dyDescent="0.25">
      <c r="A413" s="6" t="s">
        <v>75</v>
      </c>
      <c r="B413" s="6">
        <v>0.11350350300000001</v>
      </c>
      <c r="C413" s="6">
        <v>1.2600803330000001</v>
      </c>
    </row>
    <row r="414" spans="1:3" x14ac:dyDescent="0.25">
      <c r="A414" s="6" t="s">
        <v>58</v>
      </c>
      <c r="B414" s="6">
        <v>3.0969799999999999E-2</v>
      </c>
      <c r="C414" s="6">
        <v>0.19243160000000001</v>
      </c>
    </row>
    <row r="415" spans="1:3" x14ac:dyDescent="0.25">
      <c r="A415" s="6" t="s">
        <v>322</v>
      </c>
      <c r="B415" s="6">
        <v>9.9387075000000005E-2</v>
      </c>
      <c r="C415" s="6">
        <v>1.003438762</v>
      </c>
    </row>
    <row r="416" spans="1:3" x14ac:dyDescent="0.25">
      <c r="A416" s="6" t="s">
        <v>215</v>
      </c>
      <c r="B416" s="6">
        <v>4.7544194999999997E-2</v>
      </c>
      <c r="C416" s="6">
        <v>9.5326025999999994E-2</v>
      </c>
    </row>
    <row r="417" spans="1:3" x14ac:dyDescent="0.25">
      <c r="A417" s="6" t="s">
        <v>682</v>
      </c>
      <c r="B417" s="6">
        <v>2.9723913000000001E-2</v>
      </c>
      <c r="C417" s="6">
        <v>3.2992278E-2</v>
      </c>
    </row>
    <row r="418" spans="1:3" x14ac:dyDescent="0.25">
      <c r="A418" s="6" t="s">
        <v>747</v>
      </c>
      <c r="B418" s="6">
        <v>2.4163734999999999E-2</v>
      </c>
      <c r="C418" s="6">
        <v>0.799304546</v>
      </c>
    </row>
    <row r="419" spans="1:3" x14ac:dyDescent="0.25">
      <c r="A419" s="6" t="s">
        <v>73</v>
      </c>
      <c r="B419" s="6">
        <v>9.9896767999999997E-2</v>
      </c>
      <c r="C419" s="6">
        <v>0.345589017</v>
      </c>
    </row>
    <row r="420" spans="1:3" x14ac:dyDescent="0.25">
      <c r="A420" s="6" t="s">
        <v>191</v>
      </c>
      <c r="B420" s="6">
        <v>8.9824142999999995E-2</v>
      </c>
      <c r="C420" s="6">
        <v>0.75589743499999995</v>
      </c>
    </row>
    <row r="421" spans="1:3" x14ac:dyDescent="0.25">
      <c r="A421" s="6" t="s">
        <v>562</v>
      </c>
      <c r="B421" s="6">
        <v>6.3800272000000005E-2</v>
      </c>
      <c r="C421" s="6">
        <v>4.3823748000000003E-2</v>
      </c>
    </row>
    <row r="422" spans="1:3" x14ac:dyDescent="0.25">
      <c r="A422" s="6" t="s">
        <v>526</v>
      </c>
      <c r="B422" s="6">
        <v>6.5168199999999996E-2</v>
      </c>
      <c r="C422" s="6">
        <v>1.1504258E-2</v>
      </c>
    </row>
    <row r="423" spans="1:3" x14ac:dyDescent="0.25">
      <c r="A423" s="6" t="s">
        <v>503</v>
      </c>
      <c r="B423" s="6">
        <v>3.8344084000000001E-2</v>
      </c>
      <c r="C423" s="6">
        <v>0.20341226500000001</v>
      </c>
    </row>
    <row r="424" spans="1:3" x14ac:dyDescent="0.25">
      <c r="A424" s="6" t="s">
        <v>699</v>
      </c>
      <c r="B424" s="6">
        <v>8.8207234999999995E-2</v>
      </c>
      <c r="C424" s="6">
        <v>0.36489058000000002</v>
      </c>
    </row>
    <row r="425" spans="1:3" x14ac:dyDescent="0.25">
      <c r="A425" s="6" t="s">
        <v>288</v>
      </c>
      <c r="B425" s="6">
        <v>3.6294669000000002E-2</v>
      </c>
      <c r="C425" s="6">
        <v>0.292943181</v>
      </c>
    </row>
    <row r="426" spans="1:3" x14ac:dyDescent="0.25">
      <c r="A426" s="6" t="s">
        <v>454</v>
      </c>
      <c r="B426" s="6">
        <v>3.5115321999999997E-2</v>
      </c>
      <c r="C426" s="6">
        <v>1.8904826999999999E-2</v>
      </c>
    </row>
    <row r="427" spans="1:3" x14ac:dyDescent="0.25">
      <c r="A427" s="6" t="s">
        <v>743</v>
      </c>
      <c r="B427" s="6">
        <v>2.5562212000000001E-2</v>
      </c>
      <c r="C427" s="6">
        <v>1.2521999000000001E-2</v>
      </c>
    </row>
    <row r="428" spans="1:3" x14ac:dyDescent="0.25">
      <c r="A428" s="6" t="s">
        <v>506</v>
      </c>
      <c r="B428" s="6">
        <v>0.71539814000000002</v>
      </c>
      <c r="C428" s="6">
        <v>1.8430700330000001</v>
      </c>
    </row>
    <row r="429" spans="1:3" x14ac:dyDescent="0.25">
      <c r="A429" s="6" t="s">
        <v>580</v>
      </c>
      <c r="B429" s="6">
        <v>4.6869139999999997E-2</v>
      </c>
      <c r="C429" s="6">
        <v>0.496150235</v>
      </c>
    </row>
    <row r="430" spans="1:3" x14ac:dyDescent="0.25">
      <c r="A430" s="6" t="s">
        <v>357</v>
      </c>
      <c r="B430" s="6">
        <v>5.5005037E-2</v>
      </c>
      <c r="C430" s="6">
        <v>0.335726001</v>
      </c>
    </row>
    <row r="431" spans="1:3" x14ac:dyDescent="0.25">
      <c r="A431" s="6" t="s">
        <v>69</v>
      </c>
      <c r="B431" s="6">
        <v>1.6307892000000001E-2</v>
      </c>
      <c r="C431" s="6">
        <v>2.0562561E-2</v>
      </c>
    </row>
    <row r="432" spans="1:3" x14ac:dyDescent="0.25">
      <c r="A432" s="6" t="s">
        <v>269</v>
      </c>
      <c r="B432" s="6">
        <v>7.1583444999999996E-2</v>
      </c>
      <c r="C432" s="6">
        <v>0.39351345799999998</v>
      </c>
    </row>
    <row r="433" spans="1:3" x14ac:dyDescent="0.25">
      <c r="A433" s="6" t="s">
        <v>739</v>
      </c>
      <c r="B433" s="6">
        <v>2.2944763999999999E-2</v>
      </c>
      <c r="C433" s="6">
        <v>2.2422521390000001</v>
      </c>
    </row>
    <row r="434" spans="1:3" x14ac:dyDescent="0.25">
      <c r="A434" s="6" t="s">
        <v>431</v>
      </c>
      <c r="B434" s="6">
        <v>1.4767074E-2</v>
      </c>
      <c r="C434" s="6">
        <v>0.30113788800000002</v>
      </c>
    </row>
    <row r="435" spans="1:3" x14ac:dyDescent="0.25">
      <c r="A435" s="6" t="s">
        <v>524</v>
      </c>
      <c r="B435" s="6">
        <v>7.2362397999999994E-2</v>
      </c>
      <c r="C435" s="6">
        <v>0.17242468999999999</v>
      </c>
    </row>
    <row r="436" spans="1:3" x14ac:dyDescent="0.25">
      <c r="A436" s="6" t="s">
        <v>36</v>
      </c>
      <c r="B436" s="6">
        <v>2.8328577000000001E-2</v>
      </c>
      <c r="C436" s="6">
        <v>4.1876996310000001</v>
      </c>
    </row>
    <row r="437" spans="1:3" x14ac:dyDescent="0.25">
      <c r="A437" s="6" t="s">
        <v>586</v>
      </c>
      <c r="B437" s="6">
        <v>2.0875283000000001E-2</v>
      </c>
      <c r="C437" s="6">
        <v>0.46424338500000001</v>
      </c>
    </row>
    <row r="438" spans="1:3" x14ac:dyDescent="0.25">
      <c r="A438" s="6" t="s">
        <v>397</v>
      </c>
      <c r="B438" s="6">
        <v>7.8450541999999998E-2</v>
      </c>
      <c r="C438" s="6">
        <v>0.269219653</v>
      </c>
    </row>
    <row r="439" spans="1:3" x14ac:dyDescent="0.25">
      <c r="A439" s="6" t="s">
        <v>443</v>
      </c>
      <c r="B439" s="6">
        <v>0.18280395499999999</v>
      </c>
      <c r="C439" s="6">
        <v>0.123838118</v>
      </c>
    </row>
    <row r="440" spans="1:3" x14ac:dyDescent="0.25">
      <c r="A440" s="6" t="s">
        <v>261</v>
      </c>
      <c r="B440" s="6">
        <v>6.2985404999999994E-2</v>
      </c>
      <c r="C440" s="6">
        <v>0.15103781999999999</v>
      </c>
    </row>
    <row r="441" spans="1:3" x14ac:dyDescent="0.25">
      <c r="A441" s="6" t="s">
        <v>718</v>
      </c>
      <c r="B441" s="6">
        <v>0.132961203</v>
      </c>
      <c r="C441" s="6">
        <v>0.82981735700000003</v>
      </c>
    </row>
    <row r="442" spans="1:3" x14ac:dyDescent="0.25">
      <c r="A442" s="6" t="s">
        <v>50</v>
      </c>
      <c r="B442" s="6">
        <v>5.0365062000000002E-2</v>
      </c>
      <c r="C442" s="6">
        <v>0.71516170000000001</v>
      </c>
    </row>
    <row r="443" spans="1:3" x14ac:dyDescent="0.25">
      <c r="A443" s="6" t="s">
        <v>120</v>
      </c>
      <c r="B443" s="6">
        <v>1.5543726000000001E-2</v>
      </c>
      <c r="C443" s="6">
        <v>4.385473E-3</v>
      </c>
    </row>
    <row r="444" spans="1:3" x14ac:dyDescent="0.25">
      <c r="A444" s="6" t="s">
        <v>79</v>
      </c>
      <c r="B444" s="6">
        <v>0.102361042</v>
      </c>
      <c r="C444" s="6">
        <v>0.26805870900000001</v>
      </c>
    </row>
    <row r="445" spans="1:3" x14ac:dyDescent="0.25">
      <c r="A445" s="6" t="s">
        <v>662</v>
      </c>
      <c r="B445" s="6">
        <v>2.4015730999999998E-2</v>
      </c>
      <c r="C445" s="6">
        <v>6.8072879000000003E-2</v>
      </c>
    </row>
    <row r="446" spans="1:3" x14ac:dyDescent="0.25">
      <c r="A446" s="6" t="s">
        <v>333</v>
      </c>
      <c r="B446" s="6">
        <v>0.20909293600000001</v>
      </c>
      <c r="C446" s="6">
        <v>2.7810507919999998</v>
      </c>
    </row>
    <row r="447" spans="1:3" x14ac:dyDescent="0.25">
      <c r="A447" s="6" t="s">
        <v>67</v>
      </c>
      <c r="B447" s="6">
        <v>5.1886438E-2</v>
      </c>
      <c r="C447" s="6">
        <v>0.71044083999999996</v>
      </c>
    </row>
    <row r="448" spans="1:3" x14ac:dyDescent="0.25">
      <c r="A448" s="6" t="s">
        <v>225</v>
      </c>
      <c r="B448" s="6">
        <v>2.8281529999999999E-2</v>
      </c>
      <c r="C448" s="6">
        <v>0.23975150000000001</v>
      </c>
    </row>
    <row r="449" spans="1:3" x14ac:dyDescent="0.25">
      <c r="A449" s="6" t="s">
        <v>591</v>
      </c>
      <c r="B449" s="6">
        <v>5.0972455999999999E-2</v>
      </c>
      <c r="C449" s="6">
        <v>0.376585958</v>
      </c>
    </row>
    <row r="450" spans="1:3" x14ac:dyDescent="0.25">
      <c r="A450" s="6" t="s">
        <v>126</v>
      </c>
      <c r="B450" s="6">
        <v>3.9349539000000003E-2</v>
      </c>
      <c r="C450" s="6">
        <v>9.9285786000000001E-2</v>
      </c>
    </row>
    <row r="451" spans="1:3" x14ac:dyDescent="0.25">
      <c r="A451" s="6" t="s">
        <v>702</v>
      </c>
      <c r="B451" s="6">
        <v>0.12761176799999999</v>
      </c>
      <c r="C451" s="6">
        <v>9.7227577999999995E-2</v>
      </c>
    </row>
    <row r="452" spans="1:3" x14ac:dyDescent="0.25">
      <c r="A452" s="6" t="s">
        <v>440</v>
      </c>
      <c r="B452" s="6">
        <v>1.8196838E-2</v>
      </c>
      <c r="C452" s="6">
        <v>9.2417473999999999E-2</v>
      </c>
    </row>
    <row r="453" spans="1:3" x14ac:dyDescent="0.25">
      <c r="A453" s="6" t="s">
        <v>107</v>
      </c>
      <c r="B453" s="6">
        <v>0.119934316</v>
      </c>
      <c r="C453" s="6">
        <v>5.2181483000000001E-2</v>
      </c>
    </row>
    <row r="454" spans="1:3" x14ac:dyDescent="0.25">
      <c r="A454" s="6" t="s">
        <v>42</v>
      </c>
      <c r="B454" s="6">
        <v>4.2043769000000002E-2</v>
      </c>
      <c r="C454" s="6">
        <v>0.59074764499999999</v>
      </c>
    </row>
    <row r="455" spans="1:3" x14ac:dyDescent="0.25">
      <c r="A455" s="6" t="s">
        <v>724</v>
      </c>
      <c r="B455" s="6">
        <v>2.5932274000000002E-2</v>
      </c>
      <c r="C455" s="6">
        <v>0.19861356399999999</v>
      </c>
    </row>
    <row r="456" spans="1:3" x14ac:dyDescent="0.25">
      <c r="A456" s="6" t="s">
        <v>741</v>
      </c>
      <c r="B456" s="6">
        <v>1.4872674000000001E-2</v>
      </c>
      <c r="C456" s="6">
        <v>0.30799948500000002</v>
      </c>
    </row>
    <row r="457" spans="1:3" x14ac:dyDescent="0.25">
      <c r="A457" s="6" t="s">
        <v>738</v>
      </c>
      <c r="B457" s="6">
        <v>7.9436452000000005E-2</v>
      </c>
      <c r="C457" s="6">
        <v>0.36735203700000002</v>
      </c>
    </row>
    <row r="458" spans="1:3" x14ac:dyDescent="0.25">
      <c r="A458" s="6" t="s">
        <v>543</v>
      </c>
      <c r="B458" s="6">
        <v>0.230744914</v>
      </c>
      <c r="C458" s="6">
        <v>5.7197562E-2</v>
      </c>
    </row>
    <row r="459" spans="1:3" x14ac:dyDescent="0.25">
      <c r="A459" s="6" t="s">
        <v>737</v>
      </c>
      <c r="B459" s="6">
        <v>3.9288176000000001E-2</v>
      </c>
      <c r="C459" s="6">
        <v>0.33346952499999999</v>
      </c>
    </row>
    <row r="460" spans="1:3" x14ac:dyDescent="0.25">
      <c r="A460" s="6" t="s">
        <v>714</v>
      </c>
      <c r="B460" s="6">
        <v>4.6358529000000002E-2</v>
      </c>
      <c r="C460" s="6">
        <v>9.1915978999999995E-2</v>
      </c>
    </row>
    <row r="461" spans="1:3" x14ac:dyDescent="0.25">
      <c r="A461" s="6" t="s">
        <v>383</v>
      </c>
      <c r="B461" s="6">
        <v>3.0832961999999998E-2</v>
      </c>
      <c r="C461" s="6">
        <v>0.49366618000000001</v>
      </c>
    </row>
    <row r="462" spans="1:3" x14ac:dyDescent="0.25">
      <c r="A462" s="6" t="s">
        <v>97</v>
      </c>
      <c r="B462" s="6">
        <v>0.10703356</v>
      </c>
      <c r="C462" s="6">
        <v>0.47381686899999997</v>
      </c>
    </row>
    <row r="463" spans="1:3" x14ac:dyDescent="0.25">
      <c r="A463" s="6" t="s">
        <v>196</v>
      </c>
      <c r="B463" s="6">
        <v>2.4937388000000001E-2</v>
      </c>
      <c r="C463" s="6">
        <v>0.128222852</v>
      </c>
    </row>
    <row r="464" spans="1:3" x14ac:dyDescent="0.25">
      <c r="A464" s="6" t="s">
        <v>129</v>
      </c>
      <c r="B464" s="6">
        <v>0.15082341099999999</v>
      </c>
      <c r="C464" s="6">
        <v>0.62471468200000002</v>
      </c>
    </row>
    <row r="465" spans="1:3" x14ac:dyDescent="0.25">
      <c r="A465" s="6" t="s">
        <v>228</v>
      </c>
      <c r="B465" s="6">
        <v>4.0041058999999997E-2</v>
      </c>
      <c r="C465" s="6">
        <v>0.463695366</v>
      </c>
    </row>
    <row r="466" spans="1:3" x14ac:dyDescent="0.25">
      <c r="A466" s="6" t="s">
        <v>658</v>
      </c>
      <c r="B466" s="6">
        <v>0.109663936</v>
      </c>
      <c r="C466" s="6">
        <v>0.41482148099999999</v>
      </c>
    </row>
    <row r="467" spans="1:3" x14ac:dyDescent="0.25">
      <c r="A467" s="6" t="s">
        <v>617</v>
      </c>
      <c r="B467" s="6">
        <v>3.8943049E-2</v>
      </c>
      <c r="C467" s="6">
        <v>0.148291758</v>
      </c>
    </row>
    <row r="468" spans="1:3" x14ac:dyDescent="0.25">
      <c r="A468" s="6" t="s">
        <v>59</v>
      </c>
      <c r="B468" s="6">
        <v>4.1783628000000003E-2</v>
      </c>
      <c r="C468" s="6">
        <v>4.6697590999999997E-2</v>
      </c>
    </row>
    <row r="469" spans="1:3" x14ac:dyDescent="0.25">
      <c r="A469" s="6" t="s">
        <v>39</v>
      </c>
      <c r="B469" s="6">
        <v>0.273364359</v>
      </c>
      <c r="C469" s="6">
        <v>3.0430596310000002</v>
      </c>
    </row>
    <row r="470" spans="1:3" x14ac:dyDescent="0.25">
      <c r="A470" s="6" t="s">
        <v>713</v>
      </c>
      <c r="B470" s="6">
        <v>0.130624039</v>
      </c>
      <c r="C470" s="6">
        <v>0.427323236</v>
      </c>
    </row>
    <row r="471" spans="1:3" x14ac:dyDescent="0.25">
      <c r="A471" s="6" t="s">
        <v>188</v>
      </c>
      <c r="B471" s="6">
        <v>0.72565492799999998</v>
      </c>
      <c r="C471" s="6">
        <v>0.16973208200000001</v>
      </c>
    </row>
    <row r="472" spans="1:3" x14ac:dyDescent="0.25">
      <c r="A472" s="6" t="s">
        <v>689</v>
      </c>
      <c r="B472" s="6">
        <v>5.1400621000000001E-2</v>
      </c>
      <c r="C472" s="6">
        <v>0.18716359299999999</v>
      </c>
    </row>
    <row r="473" spans="1:3" x14ac:dyDescent="0.25">
      <c r="A473" s="6" t="s">
        <v>559</v>
      </c>
      <c r="B473" s="6">
        <v>6.2777746999999995E-2</v>
      </c>
      <c r="C473" s="6">
        <v>10.07983415</v>
      </c>
    </row>
    <row r="474" spans="1:3" x14ac:dyDescent="0.25">
      <c r="A474" s="6" t="s">
        <v>370</v>
      </c>
      <c r="B474" s="6">
        <v>5.1269866999999997E-2</v>
      </c>
      <c r="C474" s="6">
        <v>7.7409088000000001E-2</v>
      </c>
    </row>
    <row r="475" spans="1:3" x14ac:dyDescent="0.25">
      <c r="A475" s="6" t="s">
        <v>548</v>
      </c>
      <c r="B475" s="6">
        <v>1.3851987E-2</v>
      </c>
      <c r="C475" s="6">
        <v>0.269073332</v>
      </c>
    </row>
    <row r="476" spans="1:3" x14ac:dyDescent="0.25">
      <c r="A476" s="6" t="s">
        <v>131</v>
      </c>
      <c r="B476" s="6">
        <v>6.1454951000000001E-2</v>
      </c>
      <c r="C476" s="6">
        <v>0.85131902199999998</v>
      </c>
    </row>
    <row r="477" spans="1:3" x14ac:dyDescent="0.25">
      <c r="A477" s="6" t="s">
        <v>584</v>
      </c>
      <c r="B477" s="6">
        <v>0.129351772</v>
      </c>
      <c r="C477" s="6">
        <v>7.4275930000000004E-2</v>
      </c>
    </row>
    <row r="478" spans="1:3" x14ac:dyDescent="0.25">
      <c r="A478" s="6" t="s">
        <v>312</v>
      </c>
      <c r="B478" s="6">
        <v>0.47434134</v>
      </c>
      <c r="C478" s="6">
        <v>6.6400094000000007E-2</v>
      </c>
    </row>
    <row r="479" spans="1:3" x14ac:dyDescent="0.25">
      <c r="A479" s="6" t="s">
        <v>221</v>
      </c>
      <c r="B479" s="6">
        <v>1.9925010999999999E-2</v>
      </c>
      <c r="C479" s="6">
        <v>0.93881676199999997</v>
      </c>
    </row>
    <row r="480" spans="1:3" x14ac:dyDescent="0.25">
      <c r="A480" s="6" t="s">
        <v>733</v>
      </c>
      <c r="B480" s="6">
        <v>5.4570485000000002E-2</v>
      </c>
      <c r="C480" s="6">
        <v>0.42741801499999998</v>
      </c>
    </row>
    <row r="481" spans="1:3" x14ac:dyDescent="0.25">
      <c r="A481" s="6" t="s">
        <v>582</v>
      </c>
      <c r="B481" s="6">
        <v>6.9624733999999994E-2</v>
      </c>
      <c r="C481" s="6">
        <v>0.25418212899999998</v>
      </c>
    </row>
    <row r="482" spans="1:3" x14ac:dyDescent="0.25">
      <c r="A482" s="6" t="s">
        <v>15</v>
      </c>
      <c r="B482" s="6">
        <v>0.68305604900000005</v>
      </c>
      <c r="C482" s="6">
        <v>0.192687</v>
      </c>
    </row>
    <row r="483" spans="1:3" x14ac:dyDescent="0.25">
      <c r="A483" s="6" t="s">
        <v>400</v>
      </c>
      <c r="B483" s="6">
        <v>0.18922338999999999</v>
      </c>
      <c r="C483" s="6">
        <v>9.4871859000000003E-2</v>
      </c>
    </row>
    <row r="484" spans="1:3" x14ac:dyDescent="0.25">
      <c r="A484" s="6" t="s">
        <v>352</v>
      </c>
      <c r="B484" s="6">
        <v>6.5639441000000007E-2</v>
      </c>
      <c r="C484" s="6">
        <v>0.748614577</v>
      </c>
    </row>
    <row r="485" spans="1:3" x14ac:dyDescent="0.25">
      <c r="A485" s="6" t="s">
        <v>315</v>
      </c>
      <c r="B485" s="6">
        <v>9.5440543000000003E-2</v>
      </c>
      <c r="C485" s="6">
        <v>1.772490407</v>
      </c>
    </row>
    <row r="486" spans="1:3" x14ac:dyDescent="0.25">
      <c r="A486" s="6" t="s">
        <v>600</v>
      </c>
      <c r="B486" s="6">
        <v>5.3685407999999997E-2</v>
      </c>
      <c r="C486" s="6">
        <v>0.54737194700000003</v>
      </c>
    </row>
    <row r="487" spans="1:3" x14ac:dyDescent="0.25">
      <c r="A487" s="6" t="s">
        <v>262</v>
      </c>
      <c r="B487" s="6">
        <v>0.54158782900000002</v>
      </c>
      <c r="C487" s="6">
        <v>0.54331433699999998</v>
      </c>
    </row>
    <row r="488" spans="1:3" x14ac:dyDescent="0.25">
      <c r="A488" s="6" t="s">
        <v>128</v>
      </c>
      <c r="B488" s="6">
        <v>0.183736754</v>
      </c>
      <c r="C488" s="6">
        <v>0.161378455</v>
      </c>
    </row>
    <row r="489" spans="1:3" x14ac:dyDescent="0.25">
      <c r="A489" s="6" t="s">
        <v>674</v>
      </c>
      <c r="B489" s="6">
        <v>4.3579752999999999E-2</v>
      </c>
      <c r="C489" s="6">
        <v>0.12221636</v>
      </c>
    </row>
    <row r="490" spans="1:3" x14ac:dyDescent="0.25">
      <c r="A490" s="6" t="s">
        <v>329</v>
      </c>
      <c r="B490" s="6">
        <v>3.7027922999999997E-2</v>
      </c>
      <c r="C490" s="6">
        <v>4.9363066999999997E-2</v>
      </c>
    </row>
    <row r="491" spans="1:3" x14ac:dyDescent="0.25">
      <c r="A491" s="6" t="s">
        <v>163</v>
      </c>
      <c r="B491" s="6">
        <v>3.2752880999999998E-2</v>
      </c>
      <c r="C491" s="6">
        <v>0.18059355699999999</v>
      </c>
    </row>
    <row r="492" spans="1:3" x14ac:dyDescent="0.25">
      <c r="A492" s="6" t="s">
        <v>476</v>
      </c>
      <c r="B492" s="6">
        <v>1.0697188999999999E-2</v>
      </c>
      <c r="C492" s="6">
        <v>0.49726849699999998</v>
      </c>
    </row>
    <row r="493" spans="1:3" x14ac:dyDescent="0.25">
      <c r="A493" s="6" t="s">
        <v>587</v>
      </c>
      <c r="B493" s="6">
        <v>5.4098698000000001E-2</v>
      </c>
      <c r="C493" s="6">
        <v>9.6725802E-2</v>
      </c>
    </row>
    <row r="494" spans="1:3" x14ac:dyDescent="0.25">
      <c r="A494" s="6" t="s">
        <v>83</v>
      </c>
      <c r="B494" s="6">
        <v>3.6800105999999999E-2</v>
      </c>
      <c r="C494" s="6">
        <v>0.38849522600000003</v>
      </c>
    </row>
    <row r="495" spans="1:3" x14ac:dyDescent="0.25">
      <c r="A495" s="6" t="s">
        <v>81</v>
      </c>
      <c r="B495" s="6">
        <v>0.36405381799999997</v>
      </c>
      <c r="C495" s="6">
        <v>0.52538999399999997</v>
      </c>
    </row>
    <row r="496" spans="1:3" x14ac:dyDescent="0.25">
      <c r="A496" s="6" t="s">
        <v>540</v>
      </c>
      <c r="B496" s="6">
        <v>5.6035900000000003E-3</v>
      </c>
      <c r="C496" s="6">
        <v>0.41378706900000001</v>
      </c>
    </row>
    <row r="497" spans="1:3" x14ac:dyDescent="0.25">
      <c r="A497" s="6" t="s">
        <v>354</v>
      </c>
      <c r="B497" s="6">
        <v>2.0805997E-2</v>
      </c>
      <c r="C497" s="6">
        <v>1.1354832610000001</v>
      </c>
    </row>
    <row r="498" spans="1:3" x14ac:dyDescent="0.25">
      <c r="A498" s="6" t="s">
        <v>478</v>
      </c>
      <c r="B498" s="6">
        <v>1.0331007999999999E-2</v>
      </c>
      <c r="C498" s="6">
        <v>1.241949236</v>
      </c>
    </row>
    <row r="499" spans="1:3" x14ac:dyDescent="0.25">
      <c r="A499" s="6" t="s">
        <v>2</v>
      </c>
      <c r="B499" s="6">
        <v>1.4037697E-2</v>
      </c>
      <c r="C499" s="6">
        <v>1.431688471</v>
      </c>
    </row>
    <row r="500" spans="1:3" x14ac:dyDescent="0.25">
      <c r="A500" s="6" t="s">
        <v>172</v>
      </c>
      <c r="B500" s="6">
        <v>5.9167604999999998E-2</v>
      </c>
      <c r="C500" s="6">
        <v>0.62067703100000005</v>
      </c>
    </row>
    <row r="501" spans="1:3" x14ac:dyDescent="0.25">
      <c r="A501" s="6" t="s">
        <v>361</v>
      </c>
      <c r="B501" s="6">
        <v>1.5057246999999999E-2</v>
      </c>
      <c r="C501" s="6">
        <v>0.202309826</v>
      </c>
    </row>
    <row r="502" spans="1:3" x14ac:dyDescent="0.25">
      <c r="A502" s="6" t="s">
        <v>263</v>
      </c>
      <c r="B502" s="6">
        <v>0.36736328200000001</v>
      </c>
      <c r="C502" s="6">
        <v>0.65468675700000001</v>
      </c>
    </row>
    <row r="503" spans="1:3" x14ac:dyDescent="0.25">
      <c r="A503" s="6" t="s">
        <v>250</v>
      </c>
      <c r="B503" s="6">
        <v>0.16044641600000001</v>
      </c>
      <c r="C503" s="6">
        <v>0.86024414699999996</v>
      </c>
    </row>
    <row r="504" spans="1:3" x14ac:dyDescent="0.25">
      <c r="A504" s="6" t="s">
        <v>355</v>
      </c>
      <c r="B504" s="6">
        <v>5.9363567999999999E-2</v>
      </c>
      <c r="C504" s="6">
        <v>4.1753413000000003E-2</v>
      </c>
    </row>
    <row r="505" spans="1:3" x14ac:dyDescent="0.25">
      <c r="A505" s="6" t="s">
        <v>634</v>
      </c>
      <c r="B505" s="6">
        <v>4.9963776000000001E-2</v>
      </c>
      <c r="C505" s="6">
        <v>1.750628871</v>
      </c>
    </row>
    <row r="506" spans="1:3" x14ac:dyDescent="0.25">
      <c r="A506" s="6" t="s">
        <v>532</v>
      </c>
      <c r="B506" s="6">
        <v>3.7149026000000002E-2</v>
      </c>
      <c r="C506" s="6">
        <v>3.0194548000000002E-2</v>
      </c>
    </row>
    <row r="507" spans="1:3" x14ac:dyDescent="0.25">
      <c r="A507" s="6" t="s">
        <v>194</v>
      </c>
      <c r="B507" s="6">
        <v>2.7505956000000002E-2</v>
      </c>
      <c r="C507" s="6">
        <v>0.40094981800000001</v>
      </c>
    </row>
    <row r="508" spans="1:3" x14ac:dyDescent="0.25">
      <c r="A508" s="6" t="s">
        <v>525</v>
      </c>
      <c r="B508" s="6">
        <v>4.7241502999999997E-2</v>
      </c>
      <c r="C508" s="6">
        <v>0.22606427400000001</v>
      </c>
    </row>
    <row r="509" spans="1:3" x14ac:dyDescent="0.25">
      <c r="A509" s="6" t="s">
        <v>190</v>
      </c>
      <c r="B509" s="6">
        <v>1.9642171999999999E-2</v>
      </c>
      <c r="C509" s="6">
        <v>7.4763590000000001E-3</v>
      </c>
    </row>
    <row r="510" spans="1:3" x14ac:dyDescent="0.25">
      <c r="A510" s="6" t="s">
        <v>556</v>
      </c>
      <c r="B510" s="6">
        <v>0.15647235400000001</v>
      </c>
      <c r="C510" s="6">
        <v>0.25050840400000002</v>
      </c>
    </row>
    <row r="511" spans="1:3" x14ac:dyDescent="0.25">
      <c r="A511" s="6" t="s">
        <v>197</v>
      </c>
      <c r="B511" s="6">
        <v>2.0502468999999999E-2</v>
      </c>
      <c r="C511" s="6">
        <v>1.121415482</v>
      </c>
    </row>
    <row r="512" spans="1:3" x14ac:dyDescent="0.25">
      <c r="A512" s="6" t="s">
        <v>593</v>
      </c>
      <c r="B512" s="6">
        <v>5.1608752000000001E-2</v>
      </c>
      <c r="C512" s="6">
        <v>0.71537091100000005</v>
      </c>
    </row>
    <row r="513" spans="1:3" x14ac:dyDescent="0.25">
      <c r="A513" s="6" t="s">
        <v>667</v>
      </c>
      <c r="B513" s="6">
        <v>2.9804905E-2</v>
      </c>
      <c r="C513" s="6">
        <v>1.0933248630000001</v>
      </c>
    </row>
    <row r="514" spans="1:3" x14ac:dyDescent="0.25">
      <c r="A514" s="6" t="s">
        <v>253</v>
      </c>
      <c r="B514" s="6">
        <v>5.8237065999999997E-2</v>
      </c>
      <c r="C514" s="6">
        <v>7.1361126969999997</v>
      </c>
    </row>
    <row r="515" spans="1:3" x14ac:dyDescent="0.25">
      <c r="A515" s="6" t="s">
        <v>235</v>
      </c>
      <c r="B515" s="6">
        <v>3.6215439000000002E-2</v>
      </c>
      <c r="C515" s="6">
        <v>0.14155058600000001</v>
      </c>
    </row>
    <row r="516" spans="1:3" x14ac:dyDescent="0.25">
      <c r="A516" s="6" t="s">
        <v>641</v>
      </c>
      <c r="B516" s="6">
        <v>7.5488783000000004E-2</v>
      </c>
      <c r="C516" s="6">
        <v>0.80808696800000002</v>
      </c>
    </row>
    <row r="517" spans="1:3" x14ac:dyDescent="0.25">
      <c r="A517" s="6" t="s">
        <v>522</v>
      </c>
      <c r="B517" s="6">
        <v>7.5171324999999997E-2</v>
      </c>
      <c r="C517" s="6">
        <v>5.6764215999999999E-2</v>
      </c>
    </row>
    <row r="518" spans="1:3" x14ac:dyDescent="0.25">
      <c r="A518" s="6" t="s">
        <v>25</v>
      </c>
      <c r="B518" s="6">
        <v>5.3339348000000002E-2</v>
      </c>
      <c r="C518" s="6">
        <v>0.75361842000000001</v>
      </c>
    </row>
    <row r="519" spans="1:3" x14ac:dyDescent="0.25">
      <c r="A519" s="6" t="s">
        <v>271</v>
      </c>
      <c r="B519" s="6">
        <v>3.2903402999999998E-2</v>
      </c>
      <c r="C519" s="6">
        <v>0.35727705300000001</v>
      </c>
    </row>
    <row r="520" spans="1:3" x14ac:dyDescent="0.25">
      <c r="A520" s="6" t="s">
        <v>446</v>
      </c>
      <c r="B520" s="6">
        <v>4.5936764999999997E-2</v>
      </c>
      <c r="C520" s="6">
        <v>0.14530370100000001</v>
      </c>
    </row>
    <row r="521" spans="1:3" x14ac:dyDescent="0.25">
      <c r="A521" s="6" t="s">
        <v>169</v>
      </c>
      <c r="B521" s="6">
        <v>0.18040136000000001</v>
      </c>
      <c r="C521" s="6">
        <v>0.26977961099999997</v>
      </c>
    </row>
    <row r="522" spans="1:3" x14ac:dyDescent="0.25">
      <c r="A522" s="6" t="s">
        <v>720</v>
      </c>
      <c r="B522" s="6">
        <v>5.1640111000000002E-2</v>
      </c>
      <c r="C522" s="6">
        <v>0.623683298</v>
      </c>
    </row>
    <row r="523" spans="1:3" x14ac:dyDescent="0.25">
      <c r="A523" s="6" t="s">
        <v>27</v>
      </c>
      <c r="B523" s="6">
        <v>3.2377458999999997E-2</v>
      </c>
      <c r="C523" s="6">
        <v>0.48464441899999999</v>
      </c>
    </row>
    <row r="524" spans="1:3" x14ac:dyDescent="0.25">
      <c r="A524" s="6" t="s">
        <v>479</v>
      </c>
      <c r="B524" s="6">
        <v>6.5092562000000007E-2</v>
      </c>
      <c r="C524" s="6">
        <v>0.25294163200000003</v>
      </c>
    </row>
    <row r="525" spans="1:3" x14ac:dyDescent="0.25">
      <c r="A525" s="6" t="s">
        <v>359</v>
      </c>
      <c r="B525" s="6">
        <v>6.2901026999999998E-2</v>
      </c>
      <c r="C525" s="6">
        <v>0.149665628</v>
      </c>
    </row>
    <row r="526" spans="1:3" x14ac:dyDescent="0.25">
      <c r="A526" s="6" t="s">
        <v>35</v>
      </c>
      <c r="B526" s="6">
        <v>2.3181044000000001E-2</v>
      </c>
      <c r="C526" s="6">
        <v>2.8883783999999999E-2</v>
      </c>
    </row>
    <row r="527" spans="1:3" x14ac:dyDescent="0.25">
      <c r="A527" s="6" t="s">
        <v>113</v>
      </c>
      <c r="B527" s="6">
        <v>5.7151130000000001E-2</v>
      </c>
      <c r="C527" s="6">
        <v>0.58973904399999999</v>
      </c>
    </row>
    <row r="528" spans="1:3" x14ac:dyDescent="0.25">
      <c r="A528" s="6" t="s">
        <v>289</v>
      </c>
      <c r="B528" s="6">
        <v>1.0870248000000001E-2</v>
      </c>
      <c r="C528" s="6">
        <v>0.400881129</v>
      </c>
    </row>
    <row r="529" spans="1:3" x14ac:dyDescent="0.25">
      <c r="A529" s="6" t="s">
        <v>227</v>
      </c>
      <c r="B529" s="6">
        <v>3.0921730000000001E-2</v>
      </c>
      <c r="C529" s="6">
        <v>0.15041592500000001</v>
      </c>
    </row>
    <row r="530" spans="1:3" x14ac:dyDescent="0.25">
      <c r="A530" s="6" t="s">
        <v>80</v>
      </c>
      <c r="B530" s="6">
        <v>4.1101963999999998E-2</v>
      </c>
      <c r="C530" s="6">
        <v>0.72835139299999996</v>
      </c>
    </row>
    <row r="531" spans="1:3" x14ac:dyDescent="0.25">
      <c r="A531" s="6" t="s">
        <v>41</v>
      </c>
      <c r="B531" s="6">
        <v>4.8946150000000001E-2</v>
      </c>
      <c r="C531" s="6">
        <v>0.17459364299999999</v>
      </c>
    </row>
    <row r="532" spans="1:3" x14ac:dyDescent="0.25">
      <c r="A532" s="6" t="s">
        <v>195</v>
      </c>
      <c r="B532" s="6">
        <v>0.61351287899999996</v>
      </c>
      <c r="C532" s="6">
        <v>7.6660494999999995E-2</v>
      </c>
    </row>
    <row r="533" spans="1:3" x14ac:dyDescent="0.25">
      <c r="A533" s="6" t="s">
        <v>621</v>
      </c>
      <c r="B533" s="6">
        <v>8.4714235999999998E-2</v>
      </c>
      <c r="C533" s="6">
        <v>0.34315834699999997</v>
      </c>
    </row>
    <row r="534" spans="1:3" x14ac:dyDescent="0.25">
      <c r="A534" s="6" t="s">
        <v>554</v>
      </c>
      <c r="B534" s="6">
        <v>5.5542574999999997E-2</v>
      </c>
      <c r="C534" s="6">
        <v>0.394410751</v>
      </c>
    </row>
    <row r="535" spans="1:3" x14ac:dyDescent="0.25">
      <c r="A535" s="6" t="s">
        <v>103</v>
      </c>
      <c r="B535" s="6">
        <v>0.17523571499999999</v>
      </c>
      <c r="C535" s="6">
        <v>0.21246973199999999</v>
      </c>
    </row>
    <row r="536" spans="1:3" x14ac:dyDescent="0.25">
      <c r="A536" s="6" t="s">
        <v>577</v>
      </c>
      <c r="B536" s="6">
        <v>2.8792518E-2</v>
      </c>
      <c r="C536" s="6">
        <v>0.38701290500000002</v>
      </c>
    </row>
    <row r="537" spans="1:3" x14ac:dyDescent="0.25">
      <c r="A537" s="6" t="s">
        <v>74</v>
      </c>
      <c r="B537" s="6">
        <v>2.5952768000000001E-2</v>
      </c>
      <c r="C537" s="6">
        <v>0.60258104199999996</v>
      </c>
    </row>
    <row r="538" spans="1:3" x14ac:dyDescent="0.25">
      <c r="A538" s="6" t="s">
        <v>254</v>
      </c>
      <c r="B538" s="6">
        <v>4.2689075999999999E-2</v>
      </c>
      <c r="C538" s="6">
        <v>1.125845655</v>
      </c>
    </row>
    <row r="539" spans="1:3" x14ac:dyDescent="0.25">
      <c r="A539" s="6" t="s">
        <v>177</v>
      </c>
      <c r="B539" s="6">
        <v>1.912428E-2</v>
      </c>
      <c r="C539" s="6">
        <v>0.19051790099999999</v>
      </c>
    </row>
    <row r="540" spans="1:3" x14ac:dyDescent="0.25">
      <c r="A540" s="6" t="s">
        <v>272</v>
      </c>
      <c r="B540" s="6">
        <v>4.9081132E-2</v>
      </c>
      <c r="C540" s="6">
        <v>9.8176813000000002E-2</v>
      </c>
    </row>
    <row r="541" spans="1:3" x14ac:dyDescent="0.25">
      <c r="A541" s="6" t="s">
        <v>736</v>
      </c>
      <c r="B541" s="6">
        <v>1.2393438E-2</v>
      </c>
      <c r="C541" s="6">
        <v>2.050468854</v>
      </c>
    </row>
    <row r="542" spans="1:3" x14ac:dyDescent="0.25">
      <c r="A542" s="6" t="s">
        <v>414</v>
      </c>
      <c r="B542" s="6">
        <v>0.992916303</v>
      </c>
      <c r="C542" s="6">
        <v>0.39784483700000001</v>
      </c>
    </row>
    <row r="543" spans="1:3" x14ac:dyDescent="0.25">
      <c r="A543" s="6" t="s">
        <v>363</v>
      </c>
      <c r="B543" s="6">
        <v>2.4368943000000001E-2</v>
      </c>
      <c r="C543" s="6">
        <v>0.61893633400000003</v>
      </c>
    </row>
    <row r="544" spans="1:3" x14ac:dyDescent="0.25">
      <c r="A544" s="6" t="s">
        <v>458</v>
      </c>
      <c r="B544" s="6">
        <v>4.5124016000000003E-2</v>
      </c>
      <c r="C544" s="6">
        <v>0.35170480700000001</v>
      </c>
    </row>
    <row r="545" spans="1:3" x14ac:dyDescent="0.25">
      <c r="A545" s="6" t="s">
        <v>371</v>
      </c>
      <c r="B545" s="6">
        <v>3.1598161E-2</v>
      </c>
      <c r="C545" s="6">
        <v>0.71306443600000002</v>
      </c>
    </row>
    <row r="546" spans="1:3" x14ac:dyDescent="0.25">
      <c r="A546" s="6" t="s">
        <v>422</v>
      </c>
      <c r="B546" s="6">
        <v>8.8658942000000004E-2</v>
      </c>
      <c r="C546" s="6">
        <v>0.317936369</v>
      </c>
    </row>
    <row r="547" spans="1:3" x14ac:dyDescent="0.25">
      <c r="A547" s="6" t="s">
        <v>231</v>
      </c>
      <c r="B547" s="6">
        <v>4.5014156E-2</v>
      </c>
      <c r="C547" s="6">
        <v>5.6849734999999998E-2</v>
      </c>
    </row>
    <row r="548" spans="1:3" x14ac:dyDescent="0.25">
      <c r="A548" s="6" t="s">
        <v>708</v>
      </c>
      <c r="B548" s="6">
        <v>3.6693730000000001E-2</v>
      </c>
      <c r="C548" s="6">
        <v>0.42711918100000001</v>
      </c>
    </row>
    <row r="549" spans="1:3" x14ac:dyDescent="0.25">
      <c r="A549" s="6" t="s">
        <v>274</v>
      </c>
      <c r="B549" s="6">
        <v>0.112026165</v>
      </c>
      <c r="C549" s="6">
        <v>0.630536769</v>
      </c>
    </row>
    <row r="550" spans="1:3" x14ac:dyDescent="0.25">
      <c r="A550" s="6" t="s">
        <v>229</v>
      </c>
      <c r="B550" s="6">
        <v>3.6006719E-2</v>
      </c>
      <c r="C550" s="6">
        <v>1.913022714</v>
      </c>
    </row>
    <row r="551" spans="1:3" x14ac:dyDescent="0.25">
      <c r="A551" s="6" t="s">
        <v>306</v>
      </c>
      <c r="B551" s="6">
        <v>2.7794582000000002E-2</v>
      </c>
      <c r="C551" s="6">
        <v>2.8576822000000002E-2</v>
      </c>
    </row>
    <row r="552" spans="1:3" x14ac:dyDescent="0.25">
      <c r="A552" s="6" t="s">
        <v>710</v>
      </c>
      <c r="B552" s="6">
        <v>4.7873587000000002E-2</v>
      </c>
      <c r="C552" s="6">
        <v>1.0598662940000001</v>
      </c>
    </row>
    <row r="553" spans="1:3" x14ac:dyDescent="0.25">
      <c r="A553" s="6" t="s">
        <v>684</v>
      </c>
      <c r="B553" s="6">
        <v>0.15852037599999999</v>
      </c>
      <c r="C553" s="6">
        <v>0.52035730099999999</v>
      </c>
    </row>
    <row r="554" spans="1:3" x14ac:dyDescent="0.25">
      <c r="A554" s="6" t="s">
        <v>420</v>
      </c>
      <c r="B554" s="6">
        <v>4.8631733000000003E-2</v>
      </c>
      <c r="C554" s="6">
        <v>0.36138530299999999</v>
      </c>
    </row>
    <row r="555" spans="1:3" x14ac:dyDescent="0.25">
      <c r="A555" s="6" t="s">
        <v>555</v>
      </c>
      <c r="B555" s="6">
        <v>3.8319206000000001E-2</v>
      </c>
      <c r="C555" s="6">
        <v>0.42439448200000002</v>
      </c>
    </row>
    <row r="556" spans="1:3" x14ac:dyDescent="0.25">
      <c r="A556" s="6" t="s">
        <v>367</v>
      </c>
      <c r="B556" s="6">
        <v>2.2019626E-2</v>
      </c>
      <c r="C556" s="6">
        <v>0.197016425</v>
      </c>
    </row>
    <row r="557" spans="1:3" x14ac:dyDescent="0.25">
      <c r="A557" s="6" t="s">
        <v>489</v>
      </c>
      <c r="B557" s="6">
        <v>0.109850292</v>
      </c>
      <c r="C557" s="6">
        <v>0.80931483299999996</v>
      </c>
    </row>
    <row r="558" spans="1:3" x14ac:dyDescent="0.25">
      <c r="A558" s="6" t="s">
        <v>550</v>
      </c>
      <c r="B558" s="6">
        <v>0.59505185999999999</v>
      </c>
      <c r="C558" s="6">
        <v>5.2676887999999998E-2</v>
      </c>
    </row>
    <row r="559" spans="1:3" x14ac:dyDescent="0.25">
      <c r="A559" s="6" t="s">
        <v>678</v>
      </c>
      <c r="B559" s="6">
        <v>5.1588567000000002E-2</v>
      </c>
      <c r="C559" s="6">
        <v>0.16129221399999999</v>
      </c>
    </row>
    <row r="560" spans="1:3" x14ac:dyDescent="0.25">
      <c r="A560" s="6" t="s">
        <v>579</v>
      </c>
      <c r="B560" s="6">
        <v>5.3816381000000003E-2</v>
      </c>
      <c r="C560" s="6">
        <v>0.570465746</v>
      </c>
    </row>
    <row r="561" spans="1:3" x14ac:dyDescent="0.25">
      <c r="A561" s="6" t="s">
        <v>87</v>
      </c>
      <c r="B561" s="6">
        <v>8.1308627999999994E-2</v>
      </c>
      <c r="C561" s="6">
        <v>9.8640921000000006E-2</v>
      </c>
    </row>
    <row r="562" spans="1:3" x14ac:dyDescent="0.25">
      <c r="A562" s="6" t="s">
        <v>112</v>
      </c>
      <c r="B562" s="6">
        <v>2.8063181E-2</v>
      </c>
      <c r="C562" s="6">
        <v>0.33761117299999999</v>
      </c>
    </row>
    <row r="563" spans="1:3" x14ac:dyDescent="0.25">
      <c r="A563" s="6" t="s">
        <v>433</v>
      </c>
      <c r="B563" s="6">
        <v>0.162666375</v>
      </c>
      <c r="C563" s="6">
        <v>5.0601964999999999E-2</v>
      </c>
    </row>
    <row r="564" spans="1:3" x14ac:dyDescent="0.25">
      <c r="A564" s="6" t="s">
        <v>529</v>
      </c>
      <c r="B564" s="6">
        <v>0.33183321700000001</v>
      </c>
      <c r="C564" s="6">
        <v>0.300400636</v>
      </c>
    </row>
    <row r="565" spans="1:3" x14ac:dyDescent="0.25">
      <c r="A565" s="6" t="s">
        <v>538</v>
      </c>
      <c r="B565" s="6">
        <v>0.33036110600000002</v>
      </c>
      <c r="C565" s="6">
        <v>1.0425902000000001E-2</v>
      </c>
    </row>
    <row r="566" spans="1:3" x14ac:dyDescent="0.25">
      <c r="A566" s="6" t="s">
        <v>659</v>
      </c>
      <c r="B566" s="6">
        <v>3.7532347000000001E-2</v>
      </c>
      <c r="C566" s="6">
        <v>3.7967799999999999E-4</v>
      </c>
    </row>
    <row r="567" spans="1:3" x14ac:dyDescent="0.25">
      <c r="A567" s="6" t="s">
        <v>622</v>
      </c>
      <c r="B567" s="6">
        <v>6.4289879999999994E-2</v>
      </c>
      <c r="C567" s="6">
        <v>1.676689433</v>
      </c>
    </row>
    <row r="568" spans="1:3" x14ac:dyDescent="0.25">
      <c r="A568" s="6" t="s">
        <v>185</v>
      </c>
      <c r="B568" s="6">
        <v>0.197889696</v>
      </c>
      <c r="C568" s="6">
        <v>0.28178556900000001</v>
      </c>
    </row>
    <row r="569" spans="1:3" x14ac:dyDescent="0.25">
      <c r="A569" s="6" t="s">
        <v>640</v>
      </c>
      <c r="B569" s="6">
        <v>9.3590880000000001E-2</v>
      </c>
      <c r="C569" s="6">
        <v>0.73747710300000002</v>
      </c>
    </row>
    <row r="570" spans="1:3" x14ac:dyDescent="0.25">
      <c r="A570" s="6" t="s">
        <v>653</v>
      </c>
      <c r="B570" s="6">
        <v>7.4846668000000005E-2</v>
      </c>
      <c r="C570" s="6">
        <v>0.30914732499999997</v>
      </c>
    </row>
    <row r="571" spans="1:3" x14ac:dyDescent="0.25">
      <c r="A571" s="6" t="s">
        <v>606</v>
      </c>
      <c r="B571" s="6">
        <v>0.57916103299999999</v>
      </c>
      <c r="C571" s="6">
        <v>0.28668949700000002</v>
      </c>
    </row>
    <row r="572" spans="1:3" x14ac:dyDescent="0.25">
      <c r="A572" s="6" t="s">
        <v>411</v>
      </c>
      <c r="B572" s="6">
        <v>3.8454598E-2</v>
      </c>
      <c r="C572" s="6">
        <v>0.199691642</v>
      </c>
    </row>
    <row r="573" spans="1:3" x14ac:dyDescent="0.25">
      <c r="A573" s="6" t="s">
        <v>449</v>
      </c>
      <c r="B573" s="6">
        <v>2.2587847000000001E-2</v>
      </c>
      <c r="C573" s="6">
        <v>0.238385456</v>
      </c>
    </row>
    <row r="574" spans="1:3" x14ac:dyDescent="0.25">
      <c r="A574" s="6" t="s">
        <v>141</v>
      </c>
      <c r="B574" s="6">
        <v>3.1287930999999998E-2</v>
      </c>
      <c r="C574" s="6">
        <v>8.9817855899999994</v>
      </c>
    </row>
    <row r="575" spans="1:3" x14ac:dyDescent="0.25">
      <c r="A575" s="6" t="s">
        <v>314</v>
      </c>
      <c r="B575" s="6">
        <v>0.114393368</v>
      </c>
      <c r="C575" s="6">
        <v>0.81730721200000001</v>
      </c>
    </row>
    <row r="576" spans="1:3" x14ac:dyDescent="0.25">
      <c r="A576" s="6" t="s">
        <v>209</v>
      </c>
      <c r="B576" s="6">
        <v>0.230067469</v>
      </c>
      <c r="C576" s="6">
        <v>0.61696441599999996</v>
      </c>
    </row>
    <row r="577" spans="1:3" x14ac:dyDescent="0.25">
      <c r="A577" s="6" t="s">
        <v>85</v>
      </c>
      <c r="B577" s="6">
        <v>4.2229135000000001E-2</v>
      </c>
      <c r="C577" s="6">
        <v>5.4776379E-2</v>
      </c>
    </row>
    <row r="578" spans="1:3" x14ac:dyDescent="0.25">
      <c r="A578" s="6" t="s">
        <v>157</v>
      </c>
      <c r="B578" s="6">
        <v>1.7035734E-2</v>
      </c>
      <c r="C578" s="6">
        <v>0.111882307</v>
      </c>
    </row>
    <row r="579" spans="1:3" x14ac:dyDescent="0.25">
      <c r="A579" s="6" t="s">
        <v>88</v>
      </c>
      <c r="B579" s="6">
        <v>0.60649255700000004</v>
      </c>
      <c r="C579" s="6">
        <v>0.121879667</v>
      </c>
    </row>
    <row r="580" spans="1:3" x14ac:dyDescent="0.25">
      <c r="A580" s="6" t="s">
        <v>302</v>
      </c>
      <c r="B580" s="6">
        <v>9.6203529999999999E-3</v>
      </c>
      <c r="C580" s="6">
        <v>0.71071323500000005</v>
      </c>
    </row>
    <row r="581" spans="1:3" x14ac:dyDescent="0.25">
      <c r="A581" s="6" t="s">
        <v>130</v>
      </c>
      <c r="B581" s="6">
        <v>2.4795621E-2</v>
      </c>
      <c r="C581" s="6">
        <v>0.19990669</v>
      </c>
    </row>
    <row r="582" spans="1:3" x14ac:dyDescent="0.25">
      <c r="A582" s="6" t="s">
        <v>511</v>
      </c>
      <c r="B582" s="6">
        <v>5.5389185000000001E-2</v>
      </c>
      <c r="C582" s="6">
        <v>0.46244887000000001</v>
      </c>
    </row>
    <row r="583" spans="1:3" x14ac:dyDescent="0.25">
      <c r="A583" s="6" t="s">
        <v>224</v>
      </c>
      <c r="B583" s="6">
        <v>2.5846197000000001E-2</v>
      </c>
      <c r="C583" s="6">
        <v>0.80335737500000004</v>
      </c>
    </row>
    <row r="584" spans="1:3" x14ac:dyDescent="0.25">
      <c r="A584" s="6" t="s">
        <v>346</v>
      </c>
      <c r="B584" s="6">
        <v>0.292994274</v>
      </c>
      <c r="C584" s="6">
        <v>6.1985098000000002E-2</v>
      </c>
    </row>
    <row r="585" spans="1:3" x14ac:dyDescent="0.25">
      <c r="A585" s="6" t="s">
        <v>547</v>
      </c>
      <c r="B585" s="6">
        <v>0.102120999</v>
      </c>
      <c r="C585" s="6">
        <v>0.43211041500000003</v>
      </c>
    </row>
    <row r="586" spans="1:3" x14ac:dyDescent="0.25">
      <c r="A586" s="6" t="s">
        <v>56</v>
      </c>
      <c r="B586" s="6">
        <v>6.2489276000000003E-2</v>
      </c>
      <c r="C586" s="6">
        <v>6.6846876E-2</v>
      </c>
    </row>
    <row r="587" spans="1:3" x14ac:dyDescent="0.25">
      <c r="A587" s="6" t="s">
        <v>148</v>
      </c>
      <c r="B587" s="6">
        <v>4.1469746000000002E-2</v>
      </c>
      <c r="C587" s="6">
        <v>0.26737569300000003</v>
      </c>
    </row>
    <row r="588" spans="1:3" x14ac:dyDescent="0.25">
      <c r="A588" s="6" t="s">
        <v>96</v>
      </c>
      <c r="B588" s="6">
        <v>2.9271121000000001E-2</v>
      </c>
      <c r="C588" s="6">
        <v>0.11886726</v>
      </c>
    </row>
    <row r="589" spans="1:3" x14ac:dyDescent="0.25">
      <c r="A589" s="6" t="s">
        <v>470</v>
      </c>
      <c r="B589" s="6">
        <v>0.297606961</v>
      </c>
      <c r="C589" s="6">
        <v>0.40412701499999998</v>
      </c>
    </row>
    <row r="590" spans="1:3" x14ac:dyDescent="0.25">
      <c r="A590" s="6" t="s">
        <v>695</v>
      </c>
      <c r="B590" s="6">
        <v>1.7232693E-2</v>
      </c>
      <c r="C590" s="6">
        <v>0.15175250000000001</v>
      </c>
    </row>
    <row r="591" spans="1:3" x14ac:dyDescent="0.25">
      <c r="A591" s="6" t="s">
        <v>4</v>
      </c>
      <c r="B591" s="6">
        <v>4.4840596000000003E-2</v>
      </c>
      <c r="C591" s="6">
        <v>0.26890629799999999</v>
      </c>
    </row>
    <row r="592" spans="1:3" x14ac:dyDescent="0.25">
      <c r="A592" s="6" t="s">
        <v>18</v>
      </c>
      <c r="B592" s="6">
        <v>1.6938564E-2</v>
      </c>
      <c r="C592" s="6">
        <v>0.59876728199999996</v>
      </c>
    </row>
    <row r="593" spans="1:3" x14ac:dyDescent="0.25">
      <c r="A593" s="6" t="s">
        <v>623</v>
      </c>
      <c r="B593" s="6">
        <v>9.6825487000000002E-2</v>
      </c>
      <c r="C593" s="6">
        <v>0.33339006399999999</v>
      </c>
    </row>
    <row r="594" spans="1:3" x14ac:dyDescent="0.25">
      <c r="A594" s="6" t="s">
        <v>205</v>
      </c>
      <c r="B594" s="6">
        <v>2.9911257E-2</v>
      </c>
      <c r="C594" s="6">
        <v>3.6581565000000003E-2</v>
      </c>
    </row>
    <row r="595" spans="1:3" x14ac:dyDescent="0.25">
      <c r="A595" s="6" t="s">
        <v>99</v>
      </c>
      <c r="B595" s="6">
        <v>1.2071755999999999E-2</v>
      </c>
      <c r="C595" s="6">
        <v>1.0032117E-2</v>
      </c>
    </row>
    <row r="596" spans="1:3" x14ac:dyDescent="0.25">
      <c r="A596" s="6" t="s">
        <v>21</v>
      </c>
      <c r="B596" s="6">
        <v>3.1722470000000003E-2</v>
      </c>
      <c r="C596" s="6">
        <v>6.6336054000000005E-2</v>
      </c>
    </row>
    <row r="597" spans="1:3" x14ac:dyDescent="0.25">
      <c r="A597" s="6" t="s">
        <v>216</v>
      </c>
      <c r="B597" s="6">
        <v>5.1206797999999998E-2</v>
      </c>
      <c r="C597" s="6">
        <v>5.2869350260000001</v>
      </c>
    </row>
    <row r="598" spans="1:3" x14ac:dyDescent="0.25">
      <c r="A598" s="6" t="s">
        <v>637</v>
      </c>
      <c r="B598" s="6">
        <v>2.2914298E-2</v>
      </c>
      <c r="C598" s="6">
        <v>0.43380843299999999</v>
      </c>
    </row>
    <row r="599" spans="1:3" x14ac:dyDescent="0.25">
      <c r="A599" s="6" t="s">
        <v>138</v>
      </c>
      <c r="B599" s="6">
        <v>8.3225389999999996E-2</v>
      </c>
      <c r="C599" s="6">
        <v>0.99273549000000005</v>
      </c>
    </row>
    <row r="600" spans="1:3" x14ac:dyDescent="0.25">
      <c r="A600" s="6" t="s">
        <v>311</v>
      </c>
      <c r="B600" s="6">
        <v>0.164466417</v>
      </c>
      <c r="C600" s="6">
        <v>0.51683159400000001</v>
      </c>
    </row>
    <row r="601" spans="1:3" x14ac:dyDescent="0.25">
      <c r="A601" s="6" t="s">
        <v>60</v>
      </c>
      <c r="B601" s="6">
        <v>1.8802036000000001E-2</v>
      </c>
      <c r="C601" s="6">
        <v>0.84424635400000003</v>
      </c>
    </row>
    <row r="602" spans="1:3" x14ac:dyDescent="0.25">
      <c r="A602" s="6" t="s">
        <v>717</v>
      </c>
      <c r="B602" s="6">
        <v>6.8679248999999998E-2</v>
      </c>
      <c r="C602" s="6">
        <v>0.34523421999999998</v>
      </c>
    </row>
    <row r="603" spans="1:3" x14ac:dyDescent="0.25">
      <c r="A603" s="6" t="s">
        <v>416</v>
      </c>
      <c r="B603" s="6">
        <v>4.9247988999999999E-2</v>
      </c>
      <c r="C603" s="6">
        <v>1.26951803</v>
      </c>
    </row>
    <row r="604" spans="1:3" x14ac:dyDescent="0.25">
      <c r="A604" s="6" t="s">
        <v>572</v>
      </c>
      <c r="B604" s="6">
        <v>5.0320800000000004E-3</v>
      </c>
      <c r="C604" s="6">
        <v>0.37541736799999997</v>
      </c>
    </row>
    <row r="605" spans="1:3" x14ac:dyDescent="0.25">
      <c r="A605" s="6" t="s">
        <v>715</v>
      </c>
      <c r="B605" s="6">
        <v>5.1791719999999999E-2</v>
      </c>
      <c r="C605" s="6">
        <v>0.42393642100000001</v>
      </c>
    </row>
    <row r="606" spans="1:3" x14ac:dyDescent="0.25">
      <c r="A606" s="6" t="s">
        <v>436</v>
      </c>
      <c r="B606" s="6">
        <v>0.27764604700000001</v>
      </c>
      <c r="C606" s="6">
        <v>1.1582044970000001</v>
      </c>
    </row>
    <row r="607" spans="1:3" x14ac:dyDescent="0.25">
      <c r="A607" s="6" t="s">
        <v>268</v>
      </c>
      <c r="B607" s="6">
        <v>8.5995146999999994E-2</v>
      </c>
      <c r="C607" s="6">
        <v>0.22247519099999999</v>
      </c>
    </row>
    <row r="608" spans="1:3" x14ac:dyDescent="0.25">
      <c r="A608" s="6" t="s">
        <v>438</v>
      </c>
      <c r="B608" s="6">
        <v>3.2929355E-2</v>
      </c>
      <c r="C608" s="6">
        <v>0.120658902</v>
      </c>
    </row>
    <row r="609" spans="1:3" x14ac:dyDescent="0.25">
      <c r="A609" s="6" t="s">
        <v>735</v>
      </c>
      <c r="B609" s="6">
        <v>4.140079E-2</v>
      </c>
      <c r="C609" s="6">
        <v>4.4747447000000003E-2</v>
      </c>
    </row>
    <row r="610" spans="1:3" x14ac:dyDescent="0.25">
      <c r="A610" s="6" t="s">
        <v>655</v>
      </c>
      <c r="B610" s="6">
        <v>7.9878642E-2</v>
      </c>
      <c r="C610" s="6">
        <v>0.39034037799999999</v>
      </c>
    </row>
    <row r="611" spans="1:3" x14ac:dyDescent="0.25">
      <c r="A611" s="6" t="s">
        <v>626</v>
      </c>
      <c r="B611" s="6">
        <v>0.10966018299999999</v>
      </c>
      <c r="C611" s="6">
        <v>3.2183799999999999E-2</v>
      </c>
    </row>
    <row r="612" spans="1:3" x14ac:dyDescent="0.25">
      <c r="A612" s="6" t="s">
        <v>686</v>
      </c>
      <c r="B612" s="6">
        <v>2.2391085000000002E-2</v>
      </c>
      <c r="C612" s="6">
        <v>3.4901725000000001E-2</v>
      </c>
    </row>
    <row r="613" spans="1:3" x14ac:dyDescent="0.25">
      <c r="A613" s="6" t="s">
        <v>471</v>
      </c>
      <c r="B613" s="6">
        <v>6.7822545999999997E-2</v>
      </c>
      <c r="C613" s="6">
        <v>3.6949998860000002</v>
      </c>
    </row>
    <row r="614" spans="1:3" x14ac:dyDescent="0.25">
      <c r="A614" s="6" t="s">
        <v>688</v>
      </c>
      <c r="B614" s="6">
        <v>4.6603129E-2</v>
      </c>
      <c r="C614" s="6">
        <v>0.27313483300000002</v>
      </c>
    </row>
    <row r="615" spans="1:3" x14ac:dyDescent="0.25">
      <c r="A615" s="6" t="s">
        <v>364</v>
      </c>
      <c r="B615" s="6">
        <v>2.6913666999999999E-2</v>
      </c>
      <c r="C615" s="6">
        <v>0.32320904299999997</v>
      </c>
    </row>
    <row r="616" spans="1:3" x14ac:dyDescent="0.25">
      <c r="A616" s="6" t="s">
        <v>55</v>
      </c>
      <c r="B616" s="6">
        <v>0.396142999</v>
      </c>
      <c r="C616" s="6">
        <v>2.8207242E-2</v>
      </c>
    </row>
    <row r="617" spans="1:3" x14ac:dyDescent="0.25">
      <c r="A617" s="6" t="s">
        <v>19</v>
      </c>
      <c r="B617" s="6">
        <v>7.8507384999999999E-2</v>
      </c>
      <c r="C617" s="6">
        <v>0.110542341</v>
      </c>
    </row>
    <row r="618" spans="1:3" x14ac:dyDescent="0.25">
      <c r="A618" s="6" t="s">
        <v>183</v>
      </c>
      <c r="B618" s="6">
        <v>0.15604053500000001</v>
      </c>
      <c r="C618" s="6">
        <v>3.2585142999999997E-2</v>
      </c>
    </row>
    <row r="619" spans="1:3" x14ac:dyDescent="0.25">
      <c r="A619" s="6" t="s">
        <v>687</v>
      </c>
      <c r="B619" s="6">
        <v>3.8755944000000001E-2</v>
      </c>
      <c r="C619" s="6">
        <v>0.18549040899999999</v>
      </c>
    </row>
    <row r="620" spans="1:3" x14ac:dyDescent="0.25">
      <c r="A620" s="6" t="s">
        <v>51</v>
      </c>
      <c r="B620" s="6">
        <v>2.1232707E-2</v>
      </c>
      <c r="C620" s="6">
        <v>0.66805394699999998</v>
      </c>
    </row>
    <row r="621" spans="1:3" x14ac:dyDescent="0.25">
      <c r="A621" s="6" t="s">
        <v>106</v>
      </c>
      <c r="B621" s="6">
        <v>3.3744141999999998E-2</v>
      </c>
      <c r="C621" s="6">
        <v>3.7052241999999999E-2</v>
      </c>
    </row>
    <row r="622" spans="1:3" x14ac:dyDescent="0.25">
      <c r="A622" s="6" t="s">
        <v>628</v>
      </c>
      <c r="B622" s="6">
        <v>4.6039302999999997E-2</v>
      </c>
      <c r="C622" s="6">
        <v>0.37726048299999998</v>
      </c>
    </row>
    <row r="623" spans="1:3" x14ac:dyDescent="0.25">
      <c r="A623" s="6" t="s">
        <v>297</v>
      </c>
      <c r="B623" s="6">
        <v>1.6443664E-2</v>
      </c>
      <c r="C623" s="6">
        <v>5.6221923E-2</v>
      </c>
    </row>
    <row r="624" spans="1:3" x14ac:dyDescent="0.25">
      <c r="A624" s="6" t="s">
        <v>500</v>
      </c>
      <c r="B624" s="6">
        <v>3.5064355999999998E-2</v>
      </c>
      <c r="C624" s="6">
        <v>0.87455591700000002</v>
      </c>
    </row>
    <row r="625" spans="1:3" x14ac:dyDescent="0.25">
      <c r="A625" s="6" t="s">
        <v>518</v>
      </c>
      <c r="B625" s="6">
        <v>6.8306616000000001E-2</v>
      </c>
      <c r="C625" s="6">
        <v>7.5391282000000004E-2</v>
      </c>
    </row>
    <row r="626" spans="1:3" x14ac:dyDescent="0.25">
      <c r="A626" s="6" t="s">
        <v>624</v>
      </c>
      <c r="B626" s="6">
        <v>0.145623694</v>
      </c>
      <c r="C626" s="6">
        <v>5.7486567000000002E-2</v>
      </c>
    </row>
    <row r="627" spans="1:3" x14ac:dyDescent="0.25">
      <c r="A627" s="6" t="s">
        <v>344</v>
      </c>
      <c r="B627" s="6">
        <v>4.7787176000000001E-2</v>
      </c>
      <c r="C627" s="6">
        <v>0.21469092100000001</v>
      </c>
    </row>
    <row r="628" spans="1:3" x14ac:dyDescent="0.25">
      <c r="A628" s="6" t="s">
        <v>273</v>
      </c>
      <c r="B628" s="6">
        <v>8.5031435000000002E-2</v>
      </c>
      <c r="C628" s="6">
        <v>0.17763899499999999</v>
      </c>
    </row>
    <row r="629" spans="1:3" x14ac:dyDescent="0.25">
      <c r="A629" s="6" t="s">
        <v>149</v>
      </c>
      <c r="B629" s="6">
        <v>0.10061362</v>
      </c>
      <c r="C629" s="6">
        <v>3.1364886780000001</v>
      </c>
    </row>
    <row r="630" spans="1:3" x14ac:dyDescent="0.25">
      <c r="A630" s="6" t="s">
        <v>76</v>
      </c>
      <c r="B630" s="6">
        <v>1.3161160999999999E-2</v>
      </c>
      <c r="C630" s="6">
        <v>1.4507631430000001</v>
      </c>
    </row>
    <row r="631" spans="1:3" x14ac:dyDescent="0.25">
      <c r="A631" s="6" t="s">
        <v>360</v>
      </c>
      <c r="B631" s="6">
        <v>5.2896195999999999E-2</v>
      </c>
      <c r="C631" s="6">
        <v>0.150854075</v>
      </c>
    </row>
    <row r="632" spans="1:3" x14ac:dyDescent="0.25">
      <c r="A632" s="6" t="s">
        <v>33</v>
      </c>
      <c r="B632" s="6">
        <v>5.1017224999999999E-2</v>
      </c>
      <c r="C632" s="6">
        <v>0.43276853900000001</v>
      </c>
    </row>
    <row r="633" spans="1:3" x14ac:dyDescent="0.25">
      <c r="A633" s="6" t="s">
        <v>568</v>
      </c>
      <c r="B633" s="6">
        <v>0.75230153399999999</v>
      </c>
      <c r="C633" s="6">
        <v>0.24304735099999999</v>
      </c>
    </row>
    <row r="634" spans="1:3" x14ac:dyDescent="0.25">
      <c r="A634" s="6" t="s">
        <v>98</v>
      </c>
      <c r="B634" s="6">
        <v>1.1810159000000001E-2</v>
      </c>
      <c r="C634" s="6">
        <v>1.254742088</v>
      </c>
    </row>
    <row r="635" spans="1:3" x14ac:dyDescent="0.25">
      <c r="A635" s="6" t="s">
        <v>574</v>
      </c>
      <c r="B635" s="6">
        <v>3.5185366000000003E-2</v>
      </c>
      <c r="C635" s="6">
        <v>7.5068415999999999E-2</v>
      </c>
    </row>
    <row r="636" spans="1:3" x14ac:dyDescent="0.25">
      <c r="A636" s="6" t="s">
        <v>111</v>
      </c>
      <c r="B636" s="6">
        <v>0.13945852</v>
      </c>
      <c r="C636" s="6">
        <v>0.66105889399999995</v>
      </c>
    </row>
    <row r="637" spans="1:3" x14ac:dyDescent="0.25">
      <c r="A637" s="6" t="s">
        <v>247</v>
      </c>
      <c r="B637" s="6">
        <v>6.2331697999999998E-2</v>
      </c>
      <c r="C637" s="6">
        <v>0.16035530100000001</v>
      </c>
    </row>
    <row r="638" spans="1:3" x14ac:dyDescent="0.25">
      <c r="A638" s="6" t="s">
        <v>37</v>
      </c>
      <c r="B638" s="6">
        <v>4.9463373999999997E-2</v>
      </c>
      <c r="C638" s="6">
        <v>0.114353343</v>
      </c>
    </row>
    <row r="639" spans="1:3" x14ac:dyDescent="0.25">
      <c r="A639" s="6" t="s">
        <v>115</v>
      </c>
      <c r="B639" s="6">
        <v>2.3174166999999999E-2</v>
      </c>
      <c r="C639" s="6">
        <v>0.18058463799999999</v>
      </c>
    </row>
    <row r="640" spans="1:3" x14ac:dyDescent="0.25">
      <c r="A640" s="6" t="s">
        <v>549</v>
      </c>
      <c r="B640" s="6">
        <v>3.0755146000000001E-2</v>
      </c>
      <c r="C640" s="6">
        <v>0.13007522199999999</v>
      </c>
    </row>
    <row r="641" spans="1:3" x14ac:dyDescent="0.25">
      <c r="A641" s="6" t="s">
        <v>222</v>
      </c>
      <c r="B641" s="6">
        <v>0.98036669700000001</v>
      </c>
      <c r="C641" s="6">
        <v>2.5276639479999998</v>
      </c>
    </row>
    <row r="642" spans="1:3" x14ac:dyDescent="0.25">
      <c r="A642" s="6" t="s">
        <v>20</v>
      </c>
      <c r="B642" s="6">
        <v>6.8302628000000004E-2</v>
      </c>
      <c r="C642" s="6">
        <v>0.78897377099999999</v>
      </c>
    </row>
    <row r="643" spans="1:3" x14ac:dyDescent="0.25">
      <c r="A643" s="6" t="s">
        <v>0</v>
      </c>
      <c r="B643" s="6">
        <v>2.3840771E-2</v>
      </c>
      <c r="C643" s="6">
        <v>0.30717903200000002</v>
      </c>
    </row>
    <row r="644" spans="1:3" x14ac:dyDescent="0.25">
      <c r="A644" s="6" t="s">
        <v>345</v>
      </c>
      <c r="B644" s="6">
        <v>3.3259581000000003E-2</v>
      </c>
      <c r="C644" s="6">
        <v>1.7627218E-2</v>
      </c>
    </row>
    <row r="645" spans="1:3" x14ac:dyDescent="0.25">
      <c r="A645" s="6" t="s">
        <v>275</v>
      </c>
      <c r="B645" s="6">
        <v>3.3270971000000003E-2</v>
      </c>
      <c r="C645" s="6">
        <v>7.009021E-2</v>
      </c>
    </row>
    <row r="646" spans="1:3" x14ac:dyDescent="0.25">
      <c r="A646" s="6" t="s">
        <v>604</v>
      </c>
      <c r="B646" s="6">
        <v>4.23995E-2</v>
      </c>
      <c r="C646" s="6">
        <v>1.878958E-2</v>
      </c>
    </row>
    <row r="647" spans="1:3" x14ac:dyDescent="0.25">
      <c r="A647" s="6" t="s">
        <v>495</v>
      </c>
      <c r="B647" s="6">
        <v>9.9238889999999996E-2</v>
      </c>
      <c r="C647" s="6">
        <v>1.5654952999999999E-2</v>
      </c>
    </row>
    <row r="648" spans="1:3" x14ac:dyDescent="0.25">
      <c r="A648" s="6" t="s">
        <v>49</v>
      </c>
      <c r="B648" s="6">
        <v>2.1728028E-2</v>
      </c>
      <c r="C648" s="6">
        <v>0.113998693</v>
      </c>
    </row>
    <row r="649" spans="1:3" x14ac:dyDescent="0.25">
      <c r="A649" s="6" t="s">
        <v>390</v>
      </c>
      <c r="B649" s="6">
        <v>9.8041957999999998E-2</v>
      </c>
      <c r="C649" s="6">
        <v>32.600643759999997</v>
      </c>
    </row>
    <row r="650" spans="1:3" x14ac:dyDescent="0.25">
      <c r="A650" s="6" t="s">
        <v>350</v>
      </c>
      <c r="B650" s="6">
        <v>8.8509788000000006E-2</v>
      </c>
      <c r="C650" s="6">
        <v>6.1989816000000003E-2</v>
      </c>
    </row>
    <row r="651" spans="1:3" x14ac:dyDescent="0.25">
      <c r="A651" s="6" t="s">
        <v>545</v>
      </c>
      <c r="B651" s="6">
        <v>1.7730058E-2</v>
      </c>
      <c r="C651" s="6">
        <v>0.308450681</v>
      </c>
    </row>
    <row r="652" spans="1:3" x14ac:dyDescent="0.25">
      <c r="A652" s="6" t="s">
        <v>284</v>
      </c>
      <c r="B652" s="6">
        <v>2.3552975E-2</v>
      </c>
      <c r="C652" s="6">
        <v>8.4334979999999993E-3</v>
      </c>
    </row>
    <row r="653" spans="1:3" x14ac:dyDescent="0.25">
      <c r="A653" s="6" t="s">
        <v>28</v>
      </c>
      <c r="B653" s="6">
        <v>4.3780911999999998E-2</v>
      </c>
      <c r="C653" s="6">
        <v>6.3273779000000002E-2</v>
      </c>
    </row>
    <row r="654" spans="1:3" x14ac:dyDescent="0.25">
      <c r="A654" s="6" t="s">
        <v>368</v>
      </c>
      <c r="B654" s="6">
        <v>9.2041944000000001E-2</v>
      </c>
      <c r="C654" s="6">
        <v>0.43914877299999999</v>
      </c>
    </row>
    <row r="655" spans="1:3" x14ac:dyDescent="0.25">
      <c r="A655" s="6" t="s">
        <v>198</v>
      </c>
      <c r="B655" s="6">
        <v>5.7539764E-2</v>
      </c>
      <c r="C655" s="6">
        <v>4.7116328999999998E-2</v>
      </c>
    </row>
    <row r="656" spans="1:3" x14ac:dyDescent="0.25">
      <c r="A656" s="6" t="s">
        <v>461</v>
      </c>
      <c r="B656" s="6">
        <v>4.2923003000000001E-2</v>
      </c>
      <c r="C656" s="6">
        <v>0.11563926099999999</v>
      </c>
    </row>
    <row r="657" spans="1:3" x14ac:dyDescent="0.25">
      <c r="A657" s="6" t="s">
        <v>324</v>
      </c>
      <c r="B657" s="6">
        <v>7.3385361999999996E-2</v>
      </c>
      <c r="C657" s="6">
        <v>0.15448305900000001</v>
      </c>
    </row>
    <row r="658" spans="1:3" x14ac:dyDescent="0.25">
      <c r="A658" s="6" t="s">
        <v>459</v>
      </c>
      <c r="B658" s="6">
        <v>5.9317387999999999E-2</v>
      </c>
      <c r="C658" s="6">
        <v>2.442325E-3</v>
      </c>
    </row>
    <row r="659" spans="1:3" x14ac:dyDescent="0.25">
      <c r="A659" s="6" t="s">
        <v>373</v>
      </c>
      <c r="B659" s="6">
        <v>8.8539434E-2</v>
      </c>
      <c r="C659" s="6">
        <v>0.13857014500000001</v>
      </c>
    </row>
    <row r="660" spans="1:3" x14ac:dyDescent="0.25">
      <c r="A660" s="6" t="s">
        <v>243</v>
      </c>
      <c r="B660" s="6">
        <v>4.8946139E-2</v>
      </c>
      <c r="C660" s="6">
        <v>1.5014607900000001</v>
      </c>
    </row>
    <row r="661" spans="1:3" x14ac:dyDescent="0.25">
      <c r="A661" s="6" t="s">
        <v>578</v>
      </c>
      <c r="B661" s="6">
        <v>6.1605146999999999E-2</v>
      </c>
      <c r="C661" s="6">
        <v>0.21191801299999999</v>
      </c>
    </row>
    <row r="662" spans="1:3" x14ac:dyDescent="0.25">
      <c r="A662" s="6" t="s">
        <v>153</v>
      </c>
      <c r="B662" s="6">
        <v>0.58290734600000005</v>
      </c>
      <c r="C662" s="6">
        <v>0.366721246</v>
      </c>
    </row>
    <row r="663" spans="1:3" x14ac:dyDescent="0.25">
      <c r="A663" s="6" t="s">
        <v>491</v>
      </c>
      <c r="B663" s="6">
        <v>6.6379949999999998E-3</v>
      </c>
      <c r="C663" s="6">
        <v>0.125094346</v>
      </c>
    </row>
    <row r="664" spans="1:3" x14ac:dyDescent="0.25">
      <c r="A664" s="6" t="s">
        <v>132</v>
      </c>
      <c r="B664" s="6">
        <v>6.3938755E-2</v>
      </c>
      <c r="C664" s="6">
        <v>0.17647755800000001</v>
      </c>
    </row>
    <row r="665" spans="1:3" x14ac:dyDescent="0.25">
      <c r="A665" s="6" t="s">
        <v>677</v>
      </c>
      <c r="B665" s="6">
        <v>3.9555848999999997E-2</v>
      </c>
      <c r="C665" s="6">
        <v>0.35289566700000002</v>
      </c>
    </row>
    <row r="666" spans="1:3" x14ac:dyDescent="0.25">
      <c r="A666" s="6" t="s">
        <v>166</v>
      </c>
      <c r="B666" s="6">
        <v>1.8783696999999999E-2</v>
      </c>
      <c r="C666" s="6">
        <v>0.29722581599999998</v>
      </c>
    </row>
    <row r="667" spans="1:3" x14ac:dyDescent="0.25">
      <c r="A667" s="6" t="s">
        <v>588</v>
      </c>
      <c r="B667" s="6">
        <v>2.9470588999999998E-2</v>
      </c>
      <c r="C667" s="6">
        <v>0.573201238</v>
      </c>
    </row>
    <row r="668" spans="1:3" x14ac:dyDescent="0.25">
      <c r="A668" s="6" t="s">
        <v>441</v>
      </c>
      <c r="B668" s="6">
        <v>4.9797655000000003E-2</v>
      </c>
      <c r="C668" s="6">
        <v>7.5106896000000006E-2</v>
      </c>
    </row>
    <row r="669" spans="1:3" x14ac:dyDescent="0.25">
      <c r="A669" s="6" t="s">
        <v>681</v>
      </c>
      <c r="B669" s="6">
        <v>6.3368123999999998E-2</v>
      </c>
      <c r="C669" s="6">
        <v>0.87222888700000001</v>
      </c>
    </row>
    <row r="670" spans="1:3" x14ac:dyDescent="0.25">
      <c r="A670" s="6" t="s">
        <v>351</v>
      </c>
      <c r="B670" s="6">
        <v>4.2098089999999998E-2</v>
      </c>
      <c r="C670" s="6">
        <v>0.15506144799999999</v>
      </c>
    </row>
    <row r="671" spans="1:3" x14ac:dyDescent="0.25">
      <c r="A671" s="6" t="s">
        <v>202</v>
      </c>
      <c r="B671" s="6">
        <v>0.32363341699999998</v>
      </c>
      <c r="C671" s="6">
        <v>1.6652086E-2</v>
      </c>
    </row>
    <row r="672" spans="1:3" x14ac:dyDescent="0.25">
      <c r="A672" s="6" t="s">
        <v>475</v>
      </c>
      <c r="B672" s="6">
        <v>7.6885769000000007E-2</v>
      </c>
      <c r="C672" s="6">
        <v>0.49203972699999998</v>
      </c>
    </row>
    <row r="673" spans="1:3" x14ac:dyDescent="0.25">
      <c r="A673" s="6" t="s">
        <v>92</v>
      </c>
      <c r="B673" s="6">
        <v>4.3701988999999997E-2</v>
      </c>
      <c r="C673" s="6">
        <v>0.55882746500000002</v>
      </c>
    </row>
    <row r="674" spans="1:3" x14ac:dyDescent="0.25">
      <c r="A674" s="6" t="s">
        <v>335</v>
      </c>
      <c r="B674" s="6">
        <v>8.3039809000000006E-2</v>
      </c>
      <c r="C674" s="6">
        <v>3.4549954000000001E-2</v>
      </c>
    </row>
    <row r="675" spans="1:3" x14ac:dyDescent="0.25">
      <c r="A675" s="6" t="s">
        <v>703</v>
      </c>
      <c r="B675" s="6">
        <v>0.103405656</v>
      </c>
      <c r="C675" s="6">
        <v>0.25295908900000003</v>
      </c>
    </row>
    <row r="676" spans="1:3" x14ac:dyDescent="0.25">
      <c r="A676" s="6" t="s">
        <v>492</v>
      </c>
      <c r="B676" s="6">
        <v>6.1409827E-2</v>
      </c>
      <c r="C676" s="6">
        <v>1.9626629609999999</v>
      </c>
    </row>
    <row r="677" spans="1:3" x14ac:dyDescent="0.25">
      <c r="A677" s="6" t="s">
        <v>608</v>
      </c>
      <c r="B677" s="6">
        <v>2.2064278E-2</v>
      </c>
      <c r="C677" s="6">
        <v>1.685768E-2</v>
      </c>
    </row>
    <row r="678" spans="1:3" x14ac:dyDescent="0.25">
      <c r="A678" s="6" t="s">
        <v>57</v>
      </c>
      <c r="B678" s="6">
        <v>0.35856333899999998</v>
      </c>
      <c r="C678" s="6">
        <v>0.52370164699999999</v>
      </c>
    </row>
    <row r="679" spans="1:3" x14ac:dyDescent="0.25">
      <c r="A679" s="6" t="s">
        <v>347</v>
      </c>
      <c r="B679" s="6">
        <v>3.9747146999999997E-2</v>
      </c>
      <c r="C679" s="6">
        <v>9.9078629000000001E-2</v>
      </c>
    </row>
    <row r="680" spans="1:3" x14ac:dyDescent="0.25">
      <c r="A680" s="6" t="s">
        <v>17</v>
      </c>
      <c r="B680" s="6">
        <v>2.5647107999999998E-2</v>
      </c>
      <c r="C680" s="6">
        <v>1.4664062470000001</v>
      </c>
    </row>
    <row r="681" spans="1:3" x14ac:dyDescent="0.25">
      <c r="A681" s="6" t="s">
        <v>598</v>
      </c>
      <c r="B681" s="6">
        <v>2.0425410000000001E-2</v>
      </c>
      <c r="C681" s="6">
        <v>0.55927403899999995</v>
      </c>
    </row>
    <row r="682" spans="1:3" x14ac:dyDescent="0.25">
      <c r="A682" s="6" t="s">
        <v>403</v>
      </c>
      <c r="B682" s="6">
        <v>1.8231385019999999</v>
      </c>
      <c r="C682" s="6">
        <v>1.6722825109999999</v>
      </c>
    </row>
    <row r="683" spans="1:3" x14ac:dyDescent="0.25">
      <c r="A683" s="6" t="s">
        <v>646</v>
      </c>
      <c r="B683" s="6">
        <v>3.0484955000000001E-2</v>
      </c>
      <c r="C683" s="6">
        <v>0.17669948899999999</v>
      </c>
    </row>
    <row r="684" spans="1:3" x14ac:dyDescent="0.25">
      <c r="A684" s="6" t="s">
        <v>89</v>
      </c>
      <c r="B684" s="6">
        <v>6.6998740000000001E-2</v>
      </c>
      <c r="C684" s="6">
        <v>1.2535068920000001</v>
      </c>
    </row>
    <row r="685" spans="1:3" x14ac:dyDescent="0.25">
      <c r="A685" s="6" t="s">
        <v>251</v>
      </c>
      <c r="B685" s="6">
        <v>2.5233225000000001E-2</v>
      </c>
      <c r="C685" s="6">
        <v>0.29196082499999998</v>
      </c>
    </row>
    <row r="686" spans="1:3" x14ac:dyDescent="0.25">
      <c r="A686" s="6" t="s">
        <v>423</v>
      </c>
      <c r="B686" s="6">
        <v>3.5247070999999998E-2</v>
      </c>
      <c r="C686" s="6">
        <v>0.170251082</v>
      </c>
    </row>
    <row r="687" spans="1:3" x14ac:dyDescent="0.25">
      <c r="A687" s="6" t="s">
        <v>704</v>
      </c>
      <c r="B687" s="6">
        <v>1.3092561000000001E-2</v>
      </c>
      <c r="C687" s="6">
        <v>1.9462674999999999E-2</v>
      </c>
    </row>
    <row r="688" spans="1:3" x14ac:dyDescent="0.25">
      <c r="A688" s="6" t="s">
        <v>260</v>
      </c>
      <c r="B688" s="6">
        <v>6.4599320000000002E-2</v>
      </c>
      <c r="C688" s="6">
        <v>8.0772274000000005E-2</v>
      </c>
    </row>
    <row r="689" spans="1:3" x14ac:dyDescent="0.25">
      <c r="A689" s="6" t="s">
        <v>11</v>
      </c>
      <c r="B689" s="6">
        <v>3.3901584999999998E-2</v>
      </c>
      <c r="C689" s="6">
        <v>0.18804525699999999</v>
      </c>
    </row>
    <row r="690" spans="1:3" x14ac:dyDescent="0.25">
      <c r="A690" s="6" t="s">
        <v>463</v>
      </c>
      <c r="B690" s="6">
        <v>5.5877819000000002E-2</v>
      </c>
      <c r="C690" s="6">
        <v>0.277136936</v>
      </c>
    </row>
    <row r="691" spans="1:3" x14ac:dyDescent="0.25">
      <c r="A691" s="6" t="s">
        <v>396</v>
      </c>
      <c r="B691" s="6">
        <v>0.38840794000000001</v>
      </c>
      <c r="C691" s="6">
        <v>0.124785411</v>
      </c>
    </row>
    <row r="692" spans="1:3" x14ac:dyDescent="0.25">
      <c r="A692" s="6" t="s">
        <v>537</v>
      </c>
      <c r="B692" s="6">
        <v>2.7308506E-2</v>
      </c>
      <c r="C692" s="6">
        <v>0.91468740199999998</v>
      </c>
    </row>
    <row r="693" spans="1:3" x14ac:dyDescent="0.25">
      <c r="A693" s="6" t="s">
        <v>481</v>
      </c>
      <c r="B693" s="6">
        <v>7.3037871000000004E-2</v>
      </c>
      <c r="C693" s="6">
        <v>8.2226033000000004E-2</v>
      </c>
    </row>
    <row r="694" spans="1:3" x14ac:dyDescent="0.25">
      <c r="A694" s="6" t="s">
        <v>676</v>
      </c>
      <c r="B694" s="6">
        <v>0.14652062199999999</v>
      </c>
      <c r="C694" s="6">
        <v>0.17309728999999999</v>
      </c>
    </row>
    <row r="695" spans="1:3" x14ac:dyDescent="0.25">
      <c r="A695" s="6" t="s">
        <v>104</v>
      </c>
      <c r="B695" s="6">
        <v>6.2035591000000001E-2</v>
      </c>
      <c r="C695" s="6">
        <v>0.31310880099999999</v>
      </c>
    </row>
    <row r="696" spans="1:3" x14ac:dyDescent="0.25">
      <c r="A696" s="6" t="s">
        <v>585</v>
      </c>
      <c r="B696" s="6">
        <v>7.4157944000000003E-2</v>
      </c>
      <c r="C696" s="6">
        <v>0.60916353499999998</v>
      </c>
    </row>
    <row r="697" spans="1:3" x14ac:dyDescent="0.25">
      <c r="A697" s="6" t="s">
        <v>647</v>
      </c>
      <c r="B697" s="6">
        <v>6.2923517999999998E-2</v>
      </c>
      <c r="C697" s="6">
        <v>4.1510500500000003</v>
      </c>
    </row>
    <row r="698" spans="1:3" x14ac:dyDescent="0.25">
      <c r="A698" s="6" t="s">
        <v>63</v>
      </c>
      <c r="B698" s="6">
        <v>0.77153148800000004</v>
      </c>
      <c r="C698" s="6">
        <v>0.13242436299999999</v>
      </c>
    </row>
    <row r="699" spans="1:3" x14ac:dyDescent="0.25">
      <c r="A699" s="6" t="s">
        <v>419</v>
      </c>
      <c r="B699" s="6">
        <v>1.5536282E-2</v>
      </c>
      <c r="C699" s="6">
        <v>0.27470012100000002</v>
      </c>
    </row>
    <row r="700" spans="1:3" x14ac:dyDescent="0.25">
      <c r="A700" s="6" t="s">
        <v>299</v>
      </c>
      <c r="B700" s="6">
        <v>3.5292371000000003E-2</v>
      </c>
      <c r="C700" s="6">
        <v>0.155167533</v>
      </c>
    </row>
    <row r="701" spans="1:3" x14ac:dyDescent="0.25">
      <c r="A701" s="6" t="s">
        <v>700</v>
      </c>
      <c r="B701" s="6">
        <v>4.5168008000000003E-2</v>
      </c>
      <c r="C701" s="6">
        <v>5.7951105000000003E-2</v>
      </c>
    </row>
    <row r="702" spans="1:3" x14ac:dyDescent="0.25">
      <c r="A702" s="6" t="s">
        <v>456</v>
      </c>
      <c r="B702" s="6">
        <v>3.4079874000000003E-2</v>
      </c>
      <c r="C702" s="6">
        <v>1.0173055090000001</v>
      </c>
    </row>
    <row r="703" spans="1:3" x14ac:dyDescent="0.25">
      <c r="A703" s="6" t="s">
        <v>487</v>
      </c>
      <c r="B703" s="6">
        <v>2.9460037000000001E-2</v>
      </c>
      <c r="C703" s="6">
        <v>0.26406329200000001</v>
      </c>
    </row>
    <row r="704" spans="1:3" x14ac:dyDescent="0.25">
      <c r="A704" s="6" t="s">
        <v>208</v>
      </c>
      <c r="B704" s="6">
        <v>5.1647990000000003E-3</v>
      </c>
      <c r="C704" s="6">
        <v>0.54554894099999995</v>
      </c>
    </row>
    <row r="705" spans="1:3" x14ac:dyDescent="0.25">
      <c r="A705" s="6" t="s">
        <v>731</v>
      </c>
      <c r="B705" s="6">
        <v>4.9193965999999999E-2</v>
      </c>
      <c r="C705" s="6">
        <v>0.36221507800000002</v>
      </c>
    </row>
    <row r="706" spans="1:3" x14ac:dyDescent="0.25">
      <c r="A706" s="6" t="s">
        <v>560</v>
      </c>
      <c r="B706" s="6">
        <v>7.0333010000000001E-2</v>
      </c>
      <c r="C706" s="6">
        <v>1.6772334E-2</v>
      </c>
    </row>
    <row r="707" spans="1:3" x14ac:dyDescent="0.25">
      <c r="A707" s="6" t="s">
        <v>539</v>
      </c>
      <c r="B707" s="6">
        <v>3.5369649000000003E-2</v>
      </c>
      <c r="C707" s="6">
        <v>0.12145858599999999</v>
      </c>
    </row>
    <row r="708" spans="1:3" x14ac:dyDescent="0.25">
      <c r="A708" s="6" t="s">
        <v>340</v>
      </c>
      <c r="B708" s="6">
        <v>2.752129E-2</v>
      </c>
      <c r="C708" s="6">
        <v>0.25203717399999997</v>
      </c>
    </row>
    <row r="709" spans="1:3" x14ac:dyDescent="0.25">
      <c r="A709" s="6" t="s">
        <v>309</v>
      </c>
      <c r="B709" s="6">
        <v>9.9415435999999996E-2</v>
      </c>
      <c r="C709" s="6">
        <v>1.2819897520000001</v>
      </c>
    </row>
    <row r="710" spans="1:3" x14ac:dyDescent="0.25">
      <c r="A710" s="6" t="s">
        <v>746</v>
      </c>
      <c r="B710" s="6">
        <v>0.32445516299999999</v>
      </c>
      <c r="C710" s="6">
        <v>0.33915994799999999</v>
      </c>
    </row>
    <row r="711" spans="1:3" x14ac:dyDescent="0.25">
      <c r="A711" s="6" t="s">
        <v>530</v>
      </c>
      <c r="B711" s="6">
        <v>3.2396378000000003E-2</v>
      </c>
      <c r="C711" s="6">
        <v>2.4214424050000001</v>
      </c>
    </row>
    <row r="712" spans="1:3" x14ac:dyDescent="0.25">
      <c r="A712" s="6" t="s">
        <v>701</v>
      </c>
      <c r="B712" s="6">
        <v>3.8907709999999999E-3</v>
      </c>
      <c r="C712" s="6">
        <v>0.49552355300000001</v>
      </c>
    </row>
    <row r="713" spans="1:3" x14ac:dyDescent="0.25">
      <c r="A713" s="6" t="s">
        <v>239</v>
      </c>
      <c r="B713" s="6">
        <v>0.16472961999999999</v>
      </c>
      <c r="C713" s="6">
        <v>0.119857952</v>
      </c>
    </row>
    <row r="714" spans="1:3" x14ac:dyDescent="0.25">
      <c r="A714" s="6" t="s">
        <v>125</v>
      </c>
      <c r="B714" s="6">
        <v>2.9880417999999999E-2</v>
      </c>
      <c r="C714" s="6">
        <v>0.31308153100000002</v>
      </c>
    </row>
    <row r="715" spans="1:3" x14ac:dyDescent="0.25">
      <c r="A715" s="6" t="s">
        <v>513</v>
      </c>
      <c r="B715" s="6">
        <v>0.45353969799999999</v>
      </c>
      <c r="C715" s="6">
        <v>0.619716877</v>
      </c>
    </row>
    <row r="716" spans="1:3" x14ac:dyDescent="0.25">
      <c r="A716" s="6" t="s">
        <v>377</v>
      </c>
      <c r="B716" s="6">
        <v>5.4757001E-2</v>
      </c>
      <c r="C716" s="6">
        <v>1.121279183</v>
      </c>
    </row>
    <row r="717" spans="1:3" x14ac:dyDescent="0.25">
      <c r="A717" s="6" t="s">
        <v>660</v>
      </c>
      <c r="B717" s="6">
        <v>8.6413281999999994E-2</v>
      </c>
      <c r="C717" s="6">
        <v>9.5041537999999995E-2</v>
      </c>
    </row>
    <row r="718" spans="1:3" x14ac:dyDescent="0.25">
      <c r="A718" s="6" t="s">
        <v>5</v>
      </c>
      <c r="B718" s="6">
        <v>2.7015155999999999E-2</v>
      </c>
      <c r="C718" s="6">
        <v>0.40123384499999998</v>
      </c>
    </row>
    <row r="719" spans="1:3" x14ac:dyDescent="0.25">
      <c r="A719" s="6" t="s">
        <v>143</v>
      </c>
      <c r="B719" s="6">
        <v>4.0571879999999998E-2</v>
      </c>
      <c r="C719" s="6">
        <v>0.12976074300000001</v>
      </c>
    </row>
    <row r="720" spans="1:3" x14ac:dyDescent="0.25">
      <c r="A720" s="6" t="s">
        <v>527</v>
      </c>
      <c r="B720" s="6">
        <v>8.6085012000000002E-2</v>
      </c>
      <c r="C720" s="6">
        <v>0.412088175</v>
      </c>
    </row>
    <row r="721" spans="1:3" x14ac:dyDescent="0.25">
      <c r="A721" s="6" t="s">
        <v>669</v>
      </c>
      <c r="B721" s="6">
        <v>2.9192564000000001E-2</v>
      </c>
      <c r="C721" s="6">
        <v>0.24333716899999999</v>
      </c>
    </row>
    <row r="722" spans="1:3" x14ac:dyDescent="0.25">
      <c r="A722" s="6" t="s">
        <v>265</v>
      </c>
      <c r="B722" s="6">
        <v>5.2050814000000001E-2</v>
      </c>
      <c r="C722" s="6">
        <v>0.47136062299999998</v>
      </c>
    </row>
    <row r="723" spans="1:3" x14ac:dyDescent="0.25">
      <c r="A723" s="6" t="s">
        <v>570</v>
      </c>
      <c r="B723" s="6">
        <v>2.7157880999999998E-2</v>
      </c>
      <c r="C723" s="6">
        <v>0.19949787799999999</v>
      </c>
    </row>
    <row r="724" spans="1:3" x14ac:dyDescent="0.25">
      <c r="A724" s="6" t="s">
        <v>452</v>
      </c>
      <c r="B724" s="6">
        <v>4.7914945E-2</v>
      </c>
      <c r="C724" s="6">
        <v>0.90555998599999998</v>
      </c>
    </row>
    <row r="725" spans="1:3" x14ac:dyDescent="0.25">
      <c r="A725" s="6" t="s">
        <v>705</v>
      </c>
      <c r="B725" s="6">
        <v>0.261092767</v>
      </c>
      <c r="C725" s="6">
        <v>0.24249331299999999</v>
      </c>
    </row>
    <row r="726" spans="1:3" x14ac:dyDescent="0.25">
      <c r="A726" s="6" t="s">
        <v>30</v>
      </c>
      <c r="B726" s="6">
        <v>4.4981222000000001E-2</v>
      </c>
      <c r="C726" s="6">
        <v>0.26715385600000002</v>
      </c>
    </row>
    <row r="727" spans="1:3" x14ac:dyDescent="0.25">
      <c r="A727" s="6" t="s">
        <v>424</v>
      </c>
      <c r="B727" s="6">
        <v>9.7718973000000001E-2</v>
      </c>
      <c r="C727" s="6">
        <v>0.26363483900000001</v>
      </c>
    </row>
    <row r="728" spans="1:3" x14ac:dyDescent="0.25">
      <c r="A728" s="6" t="s">
        <v>211</v>
      </c>
      <c r="B728" s="6">
        <v>0.33742847300000001</v>
      </c>
      <c r="C728" s="6">
        <v>0.29704201499999999</v>
      </c>
    </row>
    <row r="729" spans="1:3" x14ac:dyDescent="0.25">
      <c r="A729" s="6" t="s">
        <v>514</v>
      </c>
      <c r="B729" s="6">
        <v>4.2423724000000003E-2</v>
      </c>
      <c r="C729" s="6">
        <v>1.027039839</v>
      </c>
    </row>
    <row r="730" spans="1:3" x14ac:dyDescent="0.25">
      <c r="A730" s="6" t="s">
        <v>378</v>
      </c>
      <c r="B730" s="6">
        <v>9.5345490000000005E-2</v>
      </c>
      <c r="C730" s="6">
        <v>0.36485583799999999</v>
      </c>
    </row>
    <row r="731" spans="1:3" x14ac:dyDescent="0.25">
      <c r="A731" s="6" t="s">
        <v>711</v>
      </c>
      <c r="B731" s="6">
        <v>7.0388833999999997E-2</v>
      </c>
      <c r="C731" s="6">
        <v>0.262278452</v>
      </c>
    </row>
    <row r="732" spans="1:3" x14ac:dyDescent="0.25">
      <c r="A732" s="6" t="s">
        <v>379</v>
      </c>
      <c r="B732" s="6">
        <v>9.4370969999999998E-2</v>
      </c>
      <c r="C732" s="6">
        <v>0.43322944600000002</v>
      </c>
    </row>
    <row r="733" spans="1:3" x14ac:dyDescent="0.25">
      <c r="A733" s="6" t="s">
        <v>281</v>
      </c>
      <c r="B733" s="6">
        <v>5.0855366999999999E-2</v>
      </c>
      <c r="C733" s="6">
        <v>0.49285169099999998</v>
      </c>
    </row>
    <row r="734" spans="1:3" x14ac:dyDescent="0.25">
      <c r="A734" s="6" t="s">
        <v>455</v>
      </c>
      <c r="B734" s="6">
        <v>5.8719757999999997E-2</v>
      </c>
      <c r="C734" s="6">
        <v>0.211624599</v>
      </c>
    </row>
    <row r="735" spans="1:3" x14ac:dyDescent="0.25">
      <c r="A735" s="6" t="s">
        <v>515</v>
      </c>
      <c r="B735" s="6">
        <v>1.4227889000000001E-2</v>
      </c>
      <c r="C735" s="6">
        <v>4.5611958000000001E-2</v>
      </c>
    </row>
    <row r="736" spans="1:3" x14ac:dyDescent="0.25">
      <c r="A736" s="6" t="s">
        <v>341</v>
      </c>
      <c r="B736" s="6">
        <v>1.4100631000000001E-2</v>
      </c>
      <c r="C736" s="6">
        <v>1.6459591999999999E-2</v>
      </c>
    </row>
    <row r="737" spans="1:3" x14ac:dyDescent="0.25">
      <c r="A737" s="6" t="s">
        <v>706</v>
      </c>
      <c r="B737" s="6">
        <v>3.3946955000000001E-2</v>
      </c>
      <c r="C737" s="6">
        <v>0.79421543900000002</v>
      </c>
    </row>
    <row r="738" spans="1:3" x14ac:dyDescent="0.25">
      <c r="A738" s="6" t="s">
        <v>384</v>
      </c>
      <c r="B738" s="6">
        <v>3.8649662000000001E-2</v>
      </c>
      <c r="C738" s="6">
        <v>0.29070509700000002</v>
      </c>
    </row>
    <row r="739" spans="1:3" x14ac:dyDescent="0.25">
      <c r="A739" s="6" t="s">
        <v>94</v>
      </c>
      <c r="B739" s="6">
        <v>9.7301967000000003E-2</v>
      </c>
      <c r="C739" s="6">
        <v>0.123217563</v>
      </c>
    </row>
    <row r="740" spans="1:3" x14ac:dyDescent="0.25">
      <c r="A740" s="6" t="s">
        <v>707</v>
      </c>
      <c r="B740" s="6">
        <v>4.7572504000000002E-2</v>
      </c>
      <c r="C740" s="6">
        <v>0.86951413200000005</v>
      </c>
    </row>
    <row r="741" spans="1:3" x14ac:dyDescent="0.25">
      <c r="A741" s="6" t="s">
        <v>615</v>
      </c>
      <c r="B741" s="6">
        <v>4.6819360999999997E-2</v>
      </c>
      <c r="C741" s="6">
        <v>3.0449547E-2</v>
      </c>
    </row>
    <row r="742" spans="1:3" x14ac:dyDescent="0.25">
      <c r="A742" s="6" t="s">
        <v>323</v>
      </c>
      <c r="B742" s="6">
        <v>0.15899178</v>
      </c>
      <c r="C742" s="6">
        <v>0.67118828600000002</v>
      </c>
    </row>
    <row r="743" spans="1:3" x14ac:dyDescent="0.25">
      <c r="A743" s="6" t="s">
        <v>589</v>
      </c>
      <c r="B743" s="6">
        <v>4.1241752999999999E-2</v>
      </c>
      <c r="C743" s="6">
        <v>0.28189955700000002</v>
      </c>
    </row>
    <row r="744" spans="1:3" x14ac:dyDescent="0.25">
      <c r="A744" s="6" t="s">
        <v>387</v>
      </c>
      <c r="B744" s="6">
        <v>7.5742624999999994E-2</v>
      </c>
      <c r="C744" s="6">
        <v>0.85682439099999996</v>
      </c>
    </row>
    <row r="745" spans="1:3" x14ac:dyDescent="0.25">
      <c r="A745" s="6" t="s">
        <v>630</v>
      </c>
      <c r="B745" s="6">
        <v>1.3735693090000001</v>
      </c>
      <c r="C745" s="6">
        <v>0.94094525600000001</v>
      </c>
    </row>
    <row r="746" spans="1:3" x14ac:dyDescent="0.25">
      <c r="A746" s="6" t="s">
        <v>317</v>
      </c>
      <c r="B746" s="6">
        <v>8.1391781999999996E-2</v>
      </c>
      <c r="C746" s="6">
        <v>0.34718882699999998</v>
      </c>
    </row>
    <row r="747" spans="1:3" x14ac:dyDescent="0.25">
      <c r="A747" s="6" t="s">
        <v>45</v>
      </c>
      <c r="B747" s="6">
        <v>3.4829368999999999E-2</v>
      </c>
      <c r="C747" s="6">
        <v>0.39017359600000001</v>
      </c>
    </row>
    <row r="748" spans="1:3" x14ac:dyDescent="0.25">
      <c r="A748" s="6" t="s">
        <v>257</v>
      </c>
      <c r="B748" s="6">
        <v>0.20720266600000001</v>
      </c>
      <c r="C748" s="6">
        <v>0.381396399</v>
      </c>
    </row>
    <row r="749" spans="1:3" x14ac:dyDescent="0.25">
      <c r="A749" s="6" t="s">
        <v>65</v>
      </c>
      <c r="B749" s="6">
        <v>4.6081820000000003E-2</v>
      </c>
      <c r="C749" s="6">
        <v>0.171330803</v>
      </c>
    </row>
  </sheetData>
  <sortState xmlns:xlrd2="http://schemas.microsoft.com/office/spreadsheetml/2017/richdata2" ref="A2:B880">
    <sortCondition ref="A1:A880"/>
  </sortState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45"/>
  <sheetViews>
    <sheetView workbookViewId="0">
      <selection sqref="A1:E1048576"/>
    </sheetView>
  </sheetViews>
  <sheetFormatPr defaultColWidth="9" defaultRowHeight="14.4" x14ac:dyDescent="0.25"/>
  <cols>
    <col min="1" max="1" width="21.21875" style="6" customWidth="1"/>
    <col min="2" max="2" width="14" style="6" customWidth="1"/>
    <col min="3" max="5" width="9" style="6"/>
  </cols>
  <sheetData>
    <row r="1" spans="1:5" x14ac:dyDescent="0.25">
      <c r="A1" s="6" t="s">
        <v>748</v>
      </c>
      <c r="B1" s="6" t="s">
        <v>883</v>
      </c>
      <c r="C1" s="6" t="s">
        <v>749</v>
      </c>
      <c r="D1" s="6" t="s">
        <v>750</v>
      </c>
      <c r="E1" s="6" t="s">
        <v>751</v>
      </c>
    </row>
    <row r="2" spans="1:5" x14ac:dyDescent="0.25">
      <c r="A2" s="6" t="s">
        <v>395</v>
      </c>
      <c r="B2" s="6">
        <v>7.07</v>
      </c>
      <c r="C2" s="6">
        <v>26</v>
      </c>
      <c r="D2" s="6">
        <v>5.76</v>
      </c>
      <c r="E2" s="6">
        <v>40</v>
      </c>
    </row>
    <row r="3" spans="1:5" x14ac:dyDescent="0.25">
      <c r="A3" s="6" t="s">
        <v>82</v>
      </c>
      <c r="B3" s="6">
        <v>4.6100000000000003</v>
      </c>
      <c r="C3" s="6">
        <v>63</v>
      </c>
      <c r="D3" s="6">
        <v>33.85</v>
      </c>
      <c r="E3" s="6">
        <v>371</v>
      </c>
    </row>
    <row r="4" spans="1:5" x14ac:dyDescent="0.25">
      <c r="A4" s="6" t="s">
        <v>698</v>
      </c>
      <c r="B4" s="6">
        <v>13.57</v>
      </c>
      <c r="C4" s="6">
        <v>134</v>
      </c>
      <c r="D4" s="6">
        <v>46.16</v>
      </c>
      <c r="E4" s="6">
        <v>404</v>
      </c>
    </row>
    <row r="5" spans="1:5" x14ac:dyDescent="0.25">
      <c r="A5" s="6" t="s">
        <v>417</v>
      </c>
      <c r="B5" s="6">
        <v>19.79</v>
      </c>
      <c r="C5" s="6">
        <v>186</v>
      </c>
      <c r="D5" s="6">
        <v>37.07</v>
      </c>
      <c r="E5" s="6">
        <v>282</v>
      </c>
    </row>
    <row r="6" spans="1:5" x14ac:dyDescent="0.25">
      <c r="A6" s="6" t="s">
        <v>534</v>
      </c>
      <c r="B6" s="6">
        <v>11.54</v>
      </c>
      <c r="C6" s="6">
        <v>116</v>
      </c>
      <c r="D6" s="6">
        <v>28.83</v>
      </c>
      <c r="E6" s="6">
        <v>274</v>
      </c>
    </row>
    <row r="7" spans="1:5" x14ac:dyDescent="0.25">
      <c r="A7" s="6" t="s">
        <v>752</v>
      </c>
      <c r="B7" s="6">
        <v>32.78</v>
      </c>
      <c r="C7" s="6">
        <v>310</v>
      </c>
      <c r="D7" s="6">
        <v>76.37</v>
      </c>
      <c r="E7" s="6">
        <v>593</v>
      </c>
    </row>
    <row r="8" spans="1:5" x14ac:dyDescent="0.25">
      <c r="A8" s="6" t="s">
        <v>517</v>
      </c>
      <c r="B8" s="6">
        <v>5.55</v>
      </c>
      <c r="C8" s="6">
        <v>91</v>
      </c>
      <c r="D8" s="6">
        <v>23.7</v>
      </c>
      <c r="E8" s="6">
        <v>236</v>
      </c>
    </row>
    <row r="9" spans="1:5" x14ac:dyDescent="0.25">
      <c r="A9" s="6" t="s">
        <v>557</v>
      </c>
      <c r="B9" s="6">
        <v>27.24</v>
      </c>
      <c r="C9" s="6">
        <v>192</v>
      </c>
      <c r="D9" s="6">
        <v>78.989999999999995</v>
      </c>
      <c r="E9" s="6">
        <v>690</v>
      </c>
    </row>
    <row r="10" spans="1:5" x14ac:dyDescent="0.25">
      <c r="A10" s="6" t="s">
        <v>48</v>
      </c>
      <c r="B10" s="6">
        <v>10.62</v>
      </c>
      <c r="C10" s="6">
        <v>106</v>
      </c>
      <c r="D10" s="6">
        <v>33.5</v>
      </c>
      <c r="E10" s="6">
        <v>277</v>
      </c>
    </row>
    <row r="11" spans="1:5" x14ac:dyDescent="0.25">
      <c r="A11" s="6" t="s">
        <v>40</v>
      </c>
      <c r="B11" s="6">
        <v>13.93</v>
      </c>
      <c r="C11" s="6">
        <v>144</v>
      </c>
      <c r="D11" s="6">
        <v>47.66</v>
      </c>
      <c r="E11" s="6">
        <v>350</v>
      </c>
    </row>
    <row r="12" spans="1:5" x14ac:dyDescent="0.25">
      <c r="A12" s="6" t="s">
        <v>472</v>
      </c>
      <c r="B12" s="6">
        <v>4.21</v>
      </c>
      <c r="C12" s="6">
        <v>69</v>
      </c>
      <c r="D12" s="6">
        <v>23.03</v>
      </c>
      <c r="E12" s="6">
        <v>268</v>
      </c>
    </row>
    <row r="13" spans="1:5" x14ac:dyDescent="0.25">
      <c r="A13" s="6" t="s">
        <v>654</v>
      </c>
      <c r="B13" s="6">
        <v>3.71</v>
      </c>
      <c r="C13" s="6">
        <v>66</v>
      </c>
      <c r="D13" s="6">
        <v>12.93</v>
      </c>
      <c r="E13" s="6">
        <v>109</v>
      </c>
    </row>
    <row r="14" spans="1:5" x14ac:dyDescent="0.25">
      <c r="A14" s="6" t="s">
        <v>100</v>
      </c>
      <c r="B14" s="6">
        <v>8.43</v>
      </c>
      <c r="C14" s="6">
        <v>124</v>
      </c>
      <c r="D14" s="6">
        <v>18.190000000000001</v>
      </c>
      <c r="E14" s="6">
        <v>263</v>
      </c>
    </row>
    <row r="15" spans="1:5" x14ac:dyDescent="0.25">
      <c r="A15" s="6" t="s">
        <v>508</v>
      </c>
      <c r="B15" s="6">
        <v>7.47</v>
      </c>
      <c r="C15" s="6">
        <v>85</v>
      </c>
      <c r="D15" s="6">
        <v>24.02</v>
      </c>
      <c r="E15" s="6">
        <v>185</v>
      </c>
    </row>
    <row r="16" spans="1:5" x14ac:dyDescent="0.25">
      <c r="A16" s="6" t="s">
        <v>884</v>
      </c>
      <c r="B16" s="6">
        <v>10.39</v>
      </c>
      <c r="C16" s="6">
        <v>149</v>
      </c>
      <c r="D16" s="6">
        <v>28.68</v>
      </c>
      <c r="E16" s="6">
        <v>421</v>
      </c>
    </row>
    <row r="17" spans="1:5" x14ac:dyDescent="0.25">
      <c r="A17" s="6" t="s">
        <v>473</v>
      </c>
      <c r="B17" s="6">
        <v>2.54</v>
      </c>
      <c r="C17" s="6">
        <v>48</v>
      </c>
      <c r="D17" s="6">
        <v>6.43</v>
      </c>
      <c r="E17" s="6">
        <v>50</v>
      </c>
    </row>
    <row r="18" spans="1:5" x14ac:dyDescent="0.25">
      <c r="A18" s="6" t="s">
        <v>546</v>
      </c>
      <c r="B18" s="6">
        <v>20.45</v>
      </c>
      <c r="C18" s="6">
        <v>241</v>
      </c>
      <c r="D18" s="6">
        <v>27.03</v>
      </c>
      <c r="E18" s="6">
        <v>249</v>
      </c>
    </row>
    <row r="19" spans="1:5" x14ac:dyDescent="0.25">
      <c r="A19" s="6" t="s">
        <v>270</v>
      </c>
      <c r="B19" s="6">
        <v>12.11</v>
      </c>
      <c r="C19" s="6">
        <v>146</v>
      </c>
      <c r="D19" s="6">
        <v>45.53</v>
      </c>
      <c r="E19" s="6">
        <v>335</v>
      </c>
    </row>
    <row r="20" spans="1:5" x14ac:dyDescent="0.25">
      <c r="A20" s="6" t="s">
        <v>62</v>
      </c>
      <c r="B20" s="6">
        <v>5.86</v>
      </c>
      <c r="C20" s="6">
        <v>110</v>
      </c>
      <c r="D20" s="6">
        <v>13.17</v>
      </c>
      <c r="E20" s="6">
        <v>91</v>
      </c>
    </row>
    <row r="21" spans="1:5" x14ac:dyDescent="0.25">
      <c r="A21" s="6" t="s">
        <v>636</v>
      </c>
      <c r="B21" s="6">
        <v>2.99</v>
      </c>
      <c r="C21" s="6">
        <v>52</v>
      </c>
      <c r="D21" s="6">
        <v>19.010000000000002</v>
      </c>
      <c r="E21" s="6">
        <v>199</v>
      </c>
    </row>
    <row r="22" spans="1:5" x14ac:dyDescent="0.25">
      <c r="A22" s="6" t="s">
        <v>413</v>
      </c>
      <c r="B22" s="6">
        <v>7.43</v>
      </c>
      <c r="C22" s="6">
        <v>91</v>
      </c>
      <c r="D22" s="6">
        <v>32.729999999999997</v>
      </c>
      <c r="E22" s="6">
        <v>266</v>
      </c>
    </row>
    <row r="23" spans="1:5" x14ac:dyDescent="0.25">
      <c r="A23" s="6" t="s">
        <v>885</v>
      </c>
      <c r="B23" s="6">
        <v>11.47</v>
      </c>
      <c r="C23" s="6">
        <v>159</v>
      </c>
      <c r="D23" s="6">
        <v>29.16</v>
      </c>
      <c r="E23" s="6">
        <v>427</v>
      </c>
    </row>
    <row r="24" spans="1:5" x14ac:dyDescent="0.25">
      <c r="A24" s="6" t="s">
        <v>683</v>
      </c>
      <c r="B24" s="6">
        <v>15.62</v>
      </c>
      <c r="C24" s="6">
        <v>155</v>
      </c>
      <c r="D24" s="6">
        <v>41.81</v>
      </c>
      <c r="E24" s="6">
        <v>374</v>
      </c>
    </row>
    <row r="25" spans="1:5" x14ac:dyDescent="0.25">
      <c r="A25" s="6" t="s">
        <v>171</v>
      </c>
      <c r="B25" s="6">
        <v>17.84</v>
      </c>
      <c r="C25" s="6">
        <v>196</v>
      </c>
      <c r="D25" s="6">
        <v>43.91</v>
      </c>
      <c r="E25" s="6">
        <v>330</v>
      </c>
    </row>
    <row r="26" spans="1:5" x14ac:dyDescent="0.25">
      <c r="A26" s="6" t="s">
        <v>753</v>
      </c>
      <c r="B26" s="6">
        <v>15.45</v>
      </c>
      <c r="C26" s="6">
        <v>273</v>
      </c>
      <c r="D26" s="6">
        <v>21.03</v>
      </c>
      <c r="E26" s="6">
        <v>231</v>
      </c>
    </row>
    <row r="27" spans="1:5" x14ac:dyDescent="0.25">
      <c r="A27" s="6" t="s">
        <v>590</v>
      </c>
      <c r="B27" s="6">
        <v>3.43</v>
      </c>
      <c r="C27" s="6">
        <v>64</v>
      </c>
      <c r="D27" s="6">
        <v>18.940000000000001</v>
      </c>
      <c r="E27" s="6">
        <v>228</v>
      </c>
    </row>
    <row r="28" spans="1:5" x14ac:dyDescent="0.25">
      <c r="A28" s="6" t="s">
        <v>886</v>
      </c>
      <c r="B28" s="6">
        <v>7.42</v>
      </c>
      <c r="C28" s="6">
        <v>117</v>
      </c>
      <c r="D28" s="6">
        <v>25.12</v>
      </c>
      <c r="E28" s="6">
        <v>376</v>
      </c>
    </row>
    <row r="29" spans="1:5" x14ac:dyDescent="0.25">
      <c r="A29" s="6" t="s">
        <v>462</v>
      </c>
      <c r="B29" s="6">
        <v>18.27</v>
      </c>
      <c r="C29" s="6">
        <v>232</v>
      </c>
      <c r="D29" s="6">
        <v>36.299999999999997</v>
      </c>
      <c r="E29" s="6">
        <v>328</v>
      </c>
    </row>
    <row r="30" spans="1:5" x14ac:dyDescent="0.25">
      <c r="A30" s="6" t="s">
        <v>887</v>
      </c>
      <c r="B30" s="6">
        <v>6.43</v>
      </c>
      <c r="C30" s="6">
        <v>103</v>
      </c>
      <c r="D30" s="6">
        <v>53.52</v>
      </c>
      <c r="E30" s="6">
        <v>505</v>
      </c>
    </row>
    <row r="31" spans="1:5" x14ac:dyDescent="0.25">
      <c r="A31" s="6" t="s">
        <v>380</v>
      </c>
      <c r="B31" s="6">
        <v>6</v>
      </c>
      <c r="C31" s="6">
        <v>82</v>
      </c>
      <c r="D31" s="6">
        <v>42.39</v>
      </c>
      <c r="E31" s="6">
        <v>405</v>
      </c>
    </row>
    <row r="32" spans="1:5" x14ac:dyDescent="0.25">
      <c r="A32" s="6" t="s">
        <v>358</v>
      </c>
      <c r="B32" s="6">
        <v>5.31</v>
      </c>
      <c r="C32" s="6">
        <v>80</v>
      </c>
      <c r="D32" s="6">
        <v>31.6</v>
      </c>
      <c r="E32" s="6">
        <v>307</v>
      </c>
    </row>
    <row r="33" spans="1:5" x14ac:dyDescent="0.25">
      <c r="A33" s="6" t="s">
        <v>645</v>
      </c>
      <c r="B33" s="6">
        <v>7.79</v>
      </c>
      <c r="C33" s="6">
        <v>107</v>
      </c>
      <c r="D33" s="6">
        <v>32</v>
      </c>
      <c r="E33" s="6">
        <v>430</v>
      </c>
    </row>
    <row r="34" spans="1:5" x14ac:dyDescent="0.25">
      <c r="A34" s="6" t="s">
        <v>620</v>
      </c>
      <c r="B34" s="6">
        <v>4.92</v>
      </c>
      <c r="C34" s="6">
        <v>66</v>
      </c>
      <c r="D34" s="6">
        <v>19.29</v>
      </c>
      <c r="E34" s="6">
        <v>134</v>
      </c>
    </row>
    <row r="35" spans="1:5" x14ac:dyDescent="0.25">
      <c r="A35" s="6" t="s">
        <v>232</v>
      </c>
      <c r="B35" s="6">
        <v>19.75</v>
      </c>
      <c r="C35" s="6">
        <v>196</v>
      </c>
      <c r="D35" s="6">
        <v>44.28</v>
      </c>
      <c r="E35" s="6">
        <v>381</v>
      </c>
    </row>
    <row r="36" spans="1:5" x14ac:dyDescent="0.25">
      <c r="A36" s="6" t="s">
        <v>389</v>
      </c>
      <c r="B36" s="6">
        <v>4.1100000000000003</v>
      </c>
      <c r="C36" s="6">
        <v>84</v>
      </c>
      <c r="D36" s="6">
        <v>23.63</v>
      </c>
      <c r="E36" s="6">
        <v>238</v>
      </c>
    </row>
    <row r="37" spans="1:5" x14ac:dyDescent="0.25">
      <c r="A37" s="6" t="s">
        <v>207</v>
      </c>
      <c r="B37" s="6">
        <v>5.95</v>
      </c>
      <c r="C37" s="6">
        <v>75</v>
      </c>
      <c r="D37" s="6">
        <v>22.85</v>
      </c>
      <c r="E37" s="6">
        <v>247</v>
      </c>
    </row>
    <row r="38" spans="1:5" x14ac:dyDescent="0.25">
      <c r="A38" s="6" t="s">
        <v>651</v>
      </c>
      <c r="B38" s="6">
        <v>19.73</v>
      </c>
      <c r="C38" s="6">
        <v>137</v>
      </c>
      <c r="D38" s="6">
        <v>58.35</v>
      </c>
      <c r="E38" s="6">
        <v>457</v>
      </c>
    </row>
    <row r="39" spans="1:5" x14ac:dyDescent="0.25">
      <c r="A39" s="6" t="s">
        <v>410</v>
      </c>
      <c r="B39" s="6">
        <v>10.92</v>
      </c>
      <c r="C39" s="6">
        <v>120</v>
      </c>
      <c r="D39" s="6">
        <v>20.75</v>
      </c>
      <c r="E39" s="6">
        <v>106</v>
      </c>
    </row>
    <row r="40" spans="1:5" x14ac:dyDescent="0.25">
      <c r="A40" s="6" t="s">
        <v>754</v>
      </c>
      <c r="B40" s="6">
        <v>21.15</v>
      </c>
      <c r="C40" s="6">
        <v>207</v>
      </c>
      <c r="D40" s="6">
        <v>58.34</v>
      </c>
      <c r="E40" s="6">
        <v>493</v>
      </c>
    </row>
    <row r="41" spans="1:5" x14ac:dyDescent="0.25">
      <c r="A41" s="6" t="s">
        <v>755</v>
      </c>
      <c r="B41" s="6">
        <v>17.04</v>
      </c>
      <c r="C41" s="6">
        <v>335</v>
      </c>
      <c r="D41" s="6">
        <v>52.7</v>
      </c>
      <c r="E41" s="6">
        <v>628</v>
      </c>
    </row>
    <row r="42" spans="1:5" x14ac:dyDescent="0.25">
      <c r="A42" s="6" t="s">
        <v>668</v>
      </c>
      <c r="B42" s="6">
        <v>4.88</v>
      </c>
      <c r="C42" s="6">
        <v>70</v>
      </c>
      <c r="D42" s="6">
        <v>8.99</v>
      </c>
      <c r="E42" s="6">
        <v>55</v>
      </c>
    </row>
    <row r="43" spans="1:5" x14ac:dyDescent="0.25">
      <c r="A43" s="6" t="s">
        <v>167</v>
      </c>
      <c r="B43" s="6">
        <v>3.8</v>
      </c>
      <c r="C43" s="6">
        <v>74</v>
      </c>
      <c r="D43" s="6">
        <v>24.83</v>
      </c>
      <c r="E43" s="6">
        <v>239</v>
      </c>
    </row>
    <row r="44" spans="1:5" x14ac:dyDescent="0.25">
      <c r="A44" s="6" t="s">
        <v>756</v>
      </c>
      <c r="B44" s="6">
        <v>3.63</v>
      </c>
      <c r="C44" s="6">
        <v>55</v>
      </c>
      <c r="D44" s="6">
        <v>13.78</v>
      </c>
      <c r="E44" s="6">
        <v>123</v>
      </c>
    </row>
    <row r="45" spans="1:5" x14ac:dyDescent="0.25">
      <c r="A45" s="6" t="s">
        <v>343</v>
      </c>
      <c r="B45" s="6">
        <v>12.95</v>
      </c>
      <c r="C45" s="6">
        <v>152</v>
      </c>
      <c r="D45" s="6">
        <v>28.12</v>
      </c>
      <c r="E45" s="6">
        <v>273</v>
      </c>
    </row>
    <row r="46" spans="1:5" x14ac:dyDescent="0.25">
      <c r="A46" s="6" t="s">
        <v>334</v>
      </c>
      <c r="B46" s="6">
        <v>4.51</v>
      </c>
      <c r="C46" s="6">
        <v>65</v>
      </c>
      <c r="D46" s="6">
        <v>16.170000000000002</v>
      </c>
      <c r="E46" s="6">
        <v>213</v>
      </c>
    </row>
    <row r="47" spans="1:5" x14ac:dyDescent="0.25">
      <c r="A47" s="6" t="s">
        <v>725</v>
      </c>
      <c r="B47" s="6">
        <v>4.37</v>
      </c>
      <c r="C47" s="6">
        <v>82</v>
      </c>
      <c r="D47" s="6">
        <v>19.239999999999998</v>
      </c>
      <c r="E47" s="6">
        <v>205</v>
      </c>
    </row>
    <row r="48" spans="1:5" x14ac:dyDescent="0.25">
      <c r="A48" s="6" t="s">
        <v>72</v>
      </c>
      <c r="B48" s="6">
        <v>11.53</v>
      </c>
      <c r="C48" s="6">
        <v>148</v>
      </c>
      <c r="D48" s="6">
        <v>34.15</v>
      </c>
      <c r="E48" s="6">
        <v>331</v>
      </c>
    </row>
    <row r="49" spans="1:5" x14ac:dyDescent="0.25">
      <c r="A49" s="6" t="s">
        <v>721</v>
      </c>
      <c r="B49" s="6">
        <v>4.51</v>
      </c>
      <c r="C49" s="6">
        <v>79</v>
      </c>
      <c r="D49" s="6">
        <v>23.05</v>
      </c>
      <c r="E49" s="6">
        <v>254</v>
      </c>
    </row>
    <row r="50" spans="1:5" x14ac:dyDescent="0.25">
      <c r="A50" s="6" t="s">
        <v>453</v>
      </c>
      <c r="B50" s="6">
        <v>2.34</v>
      </c>
      <c r="C50" s="6">
        <v>46</v>
      </c>
      <c r="D50" s="6">
        <v>17.97</v>
      </c>
      <c r="E50" s="6">
        <v>276</v>
      </c>
    </row>
    <row r="51" spans="1:5" x14ac:dyDescent="0.25">
      <c r="A51" s="6" t="s">
        <v>507</v>
      </c>
      <c r="B51" s="6">
        <v>7.86</v>
      </c>
      <c r="C51" s="6">
        <v>113</v>
      </c>
      <c r="D51" s="6">
        <v>35.299999999999997</v>
      </c>
      <c r="E51" s="6">
        <v>322</v>
      </c>
    </row>
    <row r="52" spans="1:5" x14ac:dyDescent="0.25">
      <c r="A52" s="6" t="s">
        <v>407</v>
      </c>
      <c r="B52" s="6">
        <v>5.54</v>
      </c>
      <c r="C52" s="6">
        <v>99</v>
      </c>
      <c r="D52" s="6">
        <v>26.27</v>
      </c>
      <c r="E52" s="6">
        <v>233</v>
      </c>
    </row>
    <row r="53" spans="1:5" x14ac:dyDescent="0.25">
      <c r="A53" s="6" t="s">
        <v>694</v>
      </c>
      <c r="B53" s="6">
        <v>4.59</v>
      </c>
      <c r="C53" s="6">
        <v>80</v>
      </c>
      <c r="D53" s="6">
        <v>30.79</v>
      </c>
      <c r="E53" s="6">
        <v>244</v>
      </c>
    </row>
    <row r="54" spans="1:5" x14ac:dyDescent="0.25">
      <c r="A54" s="6" t="s">
        <v>757</v>
      </c>
      <c r="B54" s="6">
        <v>27.34</v>
      </c>
      <c r="C54" s="6">
        <v>288</v>
      </c>
      <c r="D54" s="6">
        <v>26.13</v>
      </c>
      <c r="E54" s="6">
        <v>250</v>
      </c>
    </row>
    <row r="55" spans="1:5" x14ac:dyDescent="0.25">
      <c r="A55" s="6" t="s">
        <v>697</v>
      </c>
      <c r="B55" s="6">
        <v>2.33</v>
      </c>
      <c r="C55" s="6">
        <v>48</v>
      </c>
      <c r="D55" s="6">
        <v>17.649999999999999</v>
      </c>
      <c r="E55" s="6">
        <v>169</v>
      </c>
    </row>
    <row r="56" spans="1:5" x14ac:dyDescent="0.25">
      <c r="A56" s="6" t="s">
        <v>267</v>
      </c>
      <c r="B56" s="6">
        <v>7.23</v>
      </c>
      <c r="C56" s="6">
        <v>96</v>
      </c>
      <c r="D56" s="6">
        <v>23.72</v>
      </c>
      <c r="E56" s="6">
        <v>277</v>
      </c>
    </row>
    <row r="57" spans="1:5" x14ac:dyDescent="0.25">
      <c r="A57" s="6" t="s">
        <v>888</v>
      </c>
      <c r="B57" s="6">
        <v>4.25</v>
      </c>
      <c r="C57" s="6">
        <v>84</v>
      </c>
      <c r="D57" s="6">
        <v>32.21</v>
      </c>
      <c r="E57" s="6">
        <v>387</v>
      </c>
    </row>
    <row r="58" spans="1:5" x14ac:dyDescent="0.25">
      <c r="A58" s="6" t="s">
        <v>61</v>
      </c>
      <c r="B58" s="6">
        <v>26.88</v>
      </c>
      <c r="C58" s="6">
        <v>279</v>
      </c>
      <c r="D58" s="6">
        <v>32.49</v>
      </c>
      <c r="E58" s="6">
        <v>254</v>
      </c>
    </row>
    <row r="59" spans="1:5" x14ac:dyDescent="0.25">
      <c r="A59" s="6" t="s">
        <v>497</v>
      </c>
      <c r="B59" s="6">
        <v>5.45</v>
      </c>
      <c r="C59" s="6">
        <v>89</v>
      </c>
      <c r="D59" s="6">
        <v>35.4</v>
      </c>
      <c r="E59" s="6">
        <v>342</v>
      </c>
    </row>
    <row r="60" spans="1:5" x14ac:dyDescent="0.25">
      <c r="A60" s="6" t="s">
        <v>758</v>
      </c>
      <c r="B60" s="6">
        <v>16.170000000000002</v>
      </c>
      <c r="C60" s="6">
        <v>241</v>
      </c>
      <c r="D60" s="6">
        <v>27.53</v>
      </c>
      <c r="E60" s="6">
        <v>270</v>
      </c>
    </row>
    <row r="61" spans="1:5" x14ac:dyDescent="0.25">
      <c r="A61" s="6" t="s">
        <v>259</v>
      </c>
      <c r="B61" s="6">
        <v>26.27</v>
      </c>
      <c r="C61" s="6">
        <v>291</v>
      </c>
      <c r="D61" s="6">
        <v>26.98</v>
      </c>
      <c r="E61" s="6">
        <v>247</v>
      </c>
    </row>
    <row r="62" spans="1:5" x14ac:dyDescent="0.25">
      <c r="A62" s="6" t="s">
        <v>759</v>
      </c>
      <c r="B62" s="6">
        <v>8.06</v>
      </c>
      <c r="C62" s="6">
        <v>125</v>
      </c>
      <c r="D62" s="6">
        <v>23.16</v>
      </c>
      <c r="E62" s="6">
        <v>259</v>
      </c>
    </row>
    <row r="63" spans="1:5" x14ac:dyDescent="0.25">
      <c r="A63" s="6" t="s">
        <v>616</v>
      </c>
      <c r="B63" s="6">
        <v>7.93</v>
      </c>
      <c r="C63" s="6">
        <v>115</v>
      </c>
      <c r="D63" s="6">
        <v>21.79</v>
      </c>
      <c r="E63" s="6">
        <v>202</v>
      </c>
    </row>
    <row r="64" spans="1:5" x14ac:dyDescent="0.25">
      <c r="A64" s="6" t="s">
        <v>744</v>
      </c>
      <c r="B64" s="6">
        <v>10.5</v>
      </c>
      <c r="C64" s="6">
        <v>139</v>
      </c>
      <c r="D64" s="6">
        <v>28.01</v>
      </c>
      <c r="E64" s="6">
        <v>246</v>
      </c>
    </row>
    <row r="65" spans="1:5" x14ac:dyDescent="0.25">
      <c r="A65" s="6" t="s">
        <v>32</v>
      </c>
      <c r="B65" s="6">
        <v>7.35</v>
      </c>
      <c r="C65" s="6">
        <v>104</v>
      </c>
      <c r="D65" s="6">
        <v>16.43</v>
      </c>
      <c r="E65" s="6">
        <v>131</v>
      </c>
    </row>
    <row r="66" spans="1:5" x14ac:dyDescent="0.25">
      <c r="A66" s="6" t="s">
        <v>118</v>
      </c>
      <c r="B66" s="6">
        <v>21.96</v>
      </c>
      <c r="C66" s="6">
        <v>166</v>
      </c>
      <c r="D66" s="6">
        <v>45.21</v>
      </c>
      <c r="E66" s="6">
        <v>301</v>
      </c>
    </row>
    <row r="67" spans="1:5" x14ac:dyDescent="0.25">
      <c r="A67" s="6" t="s">
        <v>889</v>
      </c>
      <c r="B67" s="6">
        <v>17.88</v>
      </c>
      <c r="C67" s="6">
        <v>204</v>
      </c>
      <c r="D67" s="6">
        <v>35.92</v>
      </c>
      <c r="E67" s="6">
        <v>386</v>
      </c>
    </row>
    <row r="68" spans="1:5" x14ac:dyDescent="0.25">
      <c r="A68" s="6" t="s">
        <v>635</v>
      </c>
      <c r="B68" s="6">
        <v>3.13</v>
      </c>
      <c r="C68" s="6">
        <v>55</v>
      </c>
      <c r="D68" s="6">
        <v>9.3000000000000007</v>
      </c>
      <c r="E68" s="6">
        <v>59</v>
      </c>
    </row>
    <row r="69" spans="1:5" x14ac:dyDescent="0.25">
      <c r="A69" s="6" t="s">
        <v>52</v>
      </c>
      <c r="B69" s="6">
        <v>4.6900000000000004</v>
      </c>
      <c r="C69" s="6">
        <v>65</v>
      </c>
      <c r="D69" s="6">
        <v>30.47</v>
      </c>
      <c r="E69" s="6">
        <v>334</v>
      </c>
    </row>
    <row r="70" spans="1:5" x14ac:dyDescent="0.25">
      <c r="A70" s="6" t="s">
        <v>237</v>
      </c>
      <c r="B70" s="6">
        <v>2.0299999999999998</v>
      </c>
      <c r="C70" s="6">
        <v>43</v>
      </c>
      <c r="D70" s="6">
        <v>14.77</v>
      </c>
      <c r="E70" s="6">
        <v>155</v>
      </c>
    </row>
    <row r="71" spans="1:5" x14ac:dyDescent="0.25">
      <c r="A71" s="6" t="s">
        <v>54</v>
      </c>
      <c r="B71" s="6">
        <v>8.39</v>
      </c>
      <c r="C71" s="6">
        <v>112</v>
      </c>
      <c r="D71" s="6">
        <v>38.21</v>
      </c>
      <c r="E71" s="6">
        <v>322</v>
      </c>
    </row>
    <row r="72" spans="1:5" x14ac:dyDescent="0.25">
      <c r="A72" s="6" t="s">
        <v>245</v>
      </c>
      <c r="B72" s="6">
        <v>13.36</v>
      </c>
      <c r="C72" s="6">
        <v>159</v>
      </c>
      <c r="D72" s="6">
        <v>26.51</v>
      </c>
      <c r="E72" s="6">
        <v>260</v>
      </c>
    </row>
    <row r="73" spans="1:5" x14ac:dyDescent="0.25">
      <c r="A73" s="6" t="s">
        <v>544</v>
      </c>
      <c r="B73" s="6">
        <v>2.95</v>
      </c>
      <c r="C73" s="6">
        <v>69</v>
      </c>
      <c r="D73" s="6">
        <v>27.08</v>
      </c>
      <c r="E73" s="6">
        <v>259</v>
      </c>
    </row>
    <row r="74" spans="1:5" x14ac:dyDescent="0.25">
      <c r="A74" s="6" t="s">
        <v>164</v>
      </c>
      <c r="B74" s="6">
        <v>16.510000000000002</v>
      </c>
      <c r="C74" s="6">
        <v>190</v>
      </c>
      <c r="D74" s="6">
        <v>54.05</v>
      </c>
      <c r="E74" s="6">
        <v>464</v>
      </c>
    </row>
    <row r="75" spans="1:5" x14ac:dyDescent="0.25">
      <c r="A75" s="6" t="s">
        <v>155</v>
      </c>
      <c r="B75" s="6">
        <v>5.77</v>
      </c>
      <c r="C75" s="6">
        <v>79</v>
      </c>
      <c r="D75" s="6">
        <v>78.28</v>
      </c>
      <c r="E75" s="6">
        <v>709</v>
      </c>
    </row>
    <row r="76" spans="1:5" x14ac:dyDescent="0.25">
      <c r="A76" s="6" t="s">
        <v>573</v>
      </c>
      <c r="B76" s="6">
        <v>3.44</v>
      </c>
      <c r="C76" s="6">
        <v>66</v>
      </c>
      <c r="D76" s="6">
        <v>15.78</v>
      </c>
      <c r="E76" s="6">
        <v>167</v>
      </c>
    </row>
    <row r="77" spans="1:5" x14ac:dyDescent="0.25">
      <c r="A77" s="6" t="s">
        <v>22</v>
      </c>
      <c r="B77" s="6">
        <v>6.57</v>
      </c>
      <c r="C77" s="6">
        <v>108</v>
      </c>
      <c r="D77" s="6">
        <v>24.16</v>
      </c>
      <c r="E77" s="6">
        <v>175</v>
      </c>
    </row>
    <row r="78" spans="1:5" x14ac:dyDescent="0.25">
      <c r="A78" s="6" t="s">
        <v>372</v>
      </c>
      <c r="B78" s="6">
        <v>10.72</v>
      </c>
      <c r="C78" s="6">
        <v>132</v>
      </c>
      <c r="D78" s="6">
        <v>25.73</v>
      </c>
      <c r="E78" s="6">
        <v>185</v>
      </c>
    </row>
    <row r="79" spans="1:5" x14ac:dyDescent="0.25">
      <c r="A79" s="6" t="s">
        <v>283</v>
      </c>
      <c r="B79" s="6">
        <v>7.87</v>
      </c>
      <c r="C79" s="6">
        <v>92</v>
      </c>
      <c r="D79" s="6">
        <v>24.29</v>
      </c>
      <c r="E79" s="6">
        <v>182</v>
      </c>
    </row>
    <row r="80" spans="1:5" x14ac:dyDescent="0.25">
      <c r="A80" s="6" t="s">
        <v>409</v>
      </c>
      <c r="B80" s="6">
        <v>13.22</v>
      </c>
      <c r="C80" s="6">
        <v>158</v>
      </c>
      <c r="D80" s="6">
        <v>37.06</v>
      </c>
      <c r="E80" s="6">
        <v>257</v>
      </c>
    </row>
    <row r="81" spans="1:5" x14ac:dyDescent="0.25">
      <c r="A81" s="6" t="s">
        <v>16</v>
      </c>
      <c r="B81" s="6">
        <v>7.07</v>
      </c>
      <c r="C81" s="6">
        <v>98</v>
      </c>
      <c r="D81" s="6">
        <v>28.34</v>
      </c>
      <c r="E81" s="6">
        <v>284</v>
      </c>
    </row>
    <row r="82" spans="1:5" x14ac:dyDescent="0.25">
      <c r="A82" s="6" t="s">
        <v>890</v>
      </c>
      <c r="B82" s="6">
        <v>16.010000000000002</v>
      </c>
      <c r="C82" s="6">
        <v>192</v>
      </c>
      <c r="D82" s="6">
        <v>38.53</v>
      </c>
      <c r="E82" s="6">
        <v>308</v>
      </c>
    </row>
    <row r="83" spans="1:5" x14ac:dyDescent="0.25">
      <c r="A83" s="6" t="s">
        <v>512</v>
      </c>
      <c r="B83" s="6">
        <v>28.92</v>
      </c>
      <c r="C83" s="6">
        <v>246</v>
      </c>
      <c r="D83" s="6">
        <v>44.17</v>
      </c>
      <c r="E83" s="6">
        <v>366</v>
      </c>
    </row>
    <row r="84" spans="1:5" x14ac:dyDescent="0.25">
      <c r="A84" s="6" t="s">
        <v>233</v>
      </c>
      <c r="B84" s="6">
        <v>18.96</v>
      </c>
      <c r="C84" s="6">
        <v>176</v>
      </c>
      <c r="D84" s="6">
        <v>34.69</v>
      </c>
      <c r="E84" s="6">
        <v>251</v>
      </c>
    </row>
    <row r="85" spans="1:5" x14ac:dyDescent="0.25">
      <c r="A85" s="6" t="s">
        <v>891</v>
      </c>
      <c r="B85" s="6">
        <v>27.76</v>
      </c>
      <c r="C85" s="6">
        <v>430</v>
      </c>
      <c r="D85" s="6">
        <v>32.56</v>
      </c>
      <c r="E85" s="6">
        <v>398</v>
      </c>
    </row>
    <row r="86" spans="1:5" x14ac:dyDescent="0.25">
      <c r="A86" s="6" t="s">
        <v>382</v>
      </c>
      <c r="B86" s="6">
        <v>5.25</v>
      </c>
      <c r="C86" s="6">
        <v>85</v>
      </c>
      <c r="D86" s="6">
        <v>19.149999999999999</v>
      </c>
      <c r="E86" s="6">
        <v>256</v>
      </c>
    </row>
    <row r="87" spans="1:5" x14ac:dyDescent="0.25">
      <c r="A87" s="6" t="s">
        <v>679</v>
      </c>
      <c r="B87" s="6">
        <v>5.86</v>
      </c>
      <c r="C87" s="6">
        <v>90</v>
      </c>
      <c r="D87" s="6">
        <v>31.52</v>
      </c>
      <c r="E87" s="6">
        <v>244</v>
      </c>
    </row>
    <row r="88" spans="1:5" x14ac:dyDescent="0.25">
      <c r="A88" s="6" t="s">
        <v>482</v>
      </c>
      <c r="B88" s="6">
        <v>3.48</v>
      </c>
      <c r="C88" s="6">
        <v>73</v>
      </c>
      <c r="D88" s="6">
        <v>16.260000000000002</v>
      </c>
      <c r="E88" s="6">
        <v>177</v>
      </c>
    </row>
    <row r="89" spans="1:5" x14ac:dyDescent="0.25">
      <c r="A89" s="6" t="s">
        <v>680</v>
      </c>
      <c r="B89" s="6">
        <v>17.66</v>
      </c>
      <c r="C89" s="6">
        <v>140</v>
      </c>
      <c r="D89" s="6">
        <v>52.63</v>
      </c>
      <c r="E89" s="6">
        <v>375</v>
      </c>
    </row>
    <row r="90" spans="1:5" x14ac:dyDescent="0.25">
      <c r="A90" s="6" t="s">
        <v>581</v>
      </c>
      <c r="B90" s="6">
        <v>4.07</v>
      </c>
      <c r="C90" s="6">
        <v>75</v>
      </c>
      <c r="D90" s="6">
        <v>22.73</v>
      </c>
      <c r="E90" s="6">
        <v>253</v>
      </c>
    </row>
    <row r="91" spans="1:5" x14ac:dyDescent="0.25">
      <c r="A91" s="6" t="s">
        <v>761</v>
      </c>
      <c r="B91" s="6">
        <v>11.63</v>
      </c>
      <c r="C91" s="6">
        <v>175</v>
      </c>
      <c r="D91" s="6">
        <v>23.91</v>
      </c>
      <c r="E91" s="6">
        <v>339</v>
      </c>
    </row>
    <row r="92" spans="1:5" x14ac:dyDescent="0.25">
      <c r="A92" s="6" t="s">
        <v>892</v>
      </c>
      <c r="B92" s="6">
        <v>15.54</v>
      </c>
      <c r="C92" s="6">
        <v>210</v>
      </c>
      <c r="D92" s="6">
        <v>24.28</v>
      </c>
      <c r="E92" s="6">
        <v>281</v>
      </c>
    </row>
    <row r="93" spans="1:5" x14ac:dyDescent="0.25">
      <c r="A93" s="6" t="s">
        <v>304</v>
      </c>
      <c r="B93" s="6">
        <v>6.61</v>
      </c>
      <c r="C93" s="6">
        <v>88</v>
      </c>
      <c r="D93" s="6">
        <v>37.54</v>
      </c>
      <c r="E93" s="6">
        <v>375</v>
      </c>
    </row>
    <row r="94" spans="1:5" x14ac:dyDescent="0.25">
      <c r="A94" s="6" t="s">
        <v>179</v>
      </c>
      <c r="B94" s="6">
        <v>11.93</v>
      </c>
      <c r="C94" s="6">
        <v>145</v>
      </c>
      <c r="D94" s="6">
        <v>31.36</v>
      </c>
      <c r="E94" s="6">
        <v>293</v>
      </c>
    </row>
    <row r="95" spans="1:5" x14ac:dyDescent="0.25">
      <c r="A95" s="6" t="s">
        <v>316</v>
      </c>
      <c r="B95" s="6">
        <v>16.91</v>
      </c>
      <c r="C95" s="6">
        <v>186</v>
      </c>
      <c r="D95" s="6">
        <v>15.68</v>
      </c>
      <c r="E95" s="6">
        <v>111</v>
      </c>
    </row>
    <row r="96" spans="1:5" x14ac:dyDescent="0.25">
      <c r="A96" s="6" t="s">
        <v>762</v>
      </c>
      <c r="B96" s="6">
        <v>22.52</v>
      </c>
      <c r="C96" s="6">
        <v>237</v>
      </c>
      <c r="D96" s="6">
        <v>71.22</v>
      </c>
      <c r="E96" s="6">
        <v>561</v>
      </c>
    </row>
    <row r="97" spans="1:5" x14ac:dyDescent="0.25">
      <c r="A97" s="6" t="s">
        <v>502</v>
      </c>
      <c r="B97" s="6">
        <v>2.4</v>
      </c>
      <c r="C97" s="6">
        <v>42</v>
      </c>
      <c r="D97" s="6">
        <v>7.16</v>
      </c>
      <c r="E97" s="6">
        <v>48</v>
      </c>
    </row>
    <row r="98" spans="1:5" x14ac:dyDescent="0.25">
      <c r="A98" s="6" t="s">
        <v>246</v>
      </c>
      <c r="B98" s="6">
        <v>9.35</v>
      </c>
      <c r="C98" s="6">
        <v>128</v>
      </c>
      <c r="D98" s="6">
        <v>21.63</v>
      </c>
      <c r="E98" s="6">
        <v>191</v>
      </c>
    </row>
    <row r="99" spans="1:5" x14ac:dyDescent="0.25">
      <c r="A99" s="6" t="s">
        <v>763</v>
      </c>
      <c r="B99" s="6">
        <v>22.63</v>
      </c>
      <c r="C99" s="6">
        <v>207</v>
      </c>
      <c r="D99" s="6">
        <v>39.99</v>
      </c>
      <c r="E99" s="6">
        <v>340</v>
      </c>
    </row>
    <row r="100" spans="1:5" x14ac:dyDescent="0.25">
      <c r="A100" s="6" t="s">
        <v>575</v>
      </c>
      <c r="B100" s="6">
        <v>16.489999999999998</v>
      </c>
      <c r="C100" s="6">
        <v>173</v>
      </c>
      <c r="D100" s="6">
        <v>24.27</v>
      </c>
      <c r="E100" s="6">
        <v>140</v>
      </c>
    </row>
    <row r="101" spans="1:5" x14ac:dyDescent="0.25">
      <c r="A101" s="6" t="s">
        <v>320</v>
      </c>
      <c r="B101" s="6">
        <v>33.69</v>
      </c>
      <c r="C101" s="6">
        <v>328</v>
      </c>
      <c r="D101" s="6">
        <v>33.25</v>
      </c>
      <c r="E101" s="6">
        <v>289</v>
      </c>
    </row>
    <row r="102" spans="1:5" x14ac:dyDescent="0.25">
      <c r="A102" s="6" t="s">
        <v>764</v>
      </c>
      <c r="B102" s="6">
        <v>16.11</v>
      </c>
      <c r="C102" s="6">
        <v>186</v>
      </c>
      <c r="D102" s="6">
        <v>34.76</v>
      </c>
      <c r="E102" s="6">
        <v>319</v>
      </c>
    </row>
    <row r="103" spans="1:5" x14ac:dyDescent="0.25">
      <c r="A103" s="6" t="s">
        <v>629</v>
      </c>
      <c r="B103" s="6">
        <v>10.01</v>
      </c>
      <c r="C103" s="6">
        <v>128</v>
      </c>
      <c r="D103" s="6">
        <v>28.12</v>
      </c>
      <c r="E103" s="6">
        <v>218</v>
      </c>
    </row>
    <row r="104" spans="1:5" x14ac:dyDescent="0.25">
      <c r="A104" s="6" t="s">
        <v>187</v>
      </c>
      <c r="B104" s="6">
        <v>4.3499999999999996</v>
      </c>
      <c r="C104" s="6">
        <v>81</v>
      </c>
      <c r="D104" s="6">
        <v>17.29</v>
      </c>
      <c r="E104" s="6">
        <v>116</v>
      </c>
    </row>
    <row r="105" spans="1:5" x14ac:dyDescent="0.25">
      <c r="A105" s="6" t="s">
        <v>326</v>
      </c>
      <c r="B105" s="6">
        <v>23.05</v>
      </c>
      <c r="C105" s="6">
        <v>175</v>
      </c>
      <c r="D105" s="6">
        <v>55.5</v>
      </c>
      <c r="E105" s="6">
        <v>490</v>
      </c>
    </row>
    <row r="106" spans="1:5" x14ac:dyDescent="0.25">
      <c r="A106" s="6" t="s">
        <v>501</v>
      </c>
      <c r="B106" s="6">
        <v>9.84</v>
      </c>
      <c r="C106" s="6">
        <v>106</v>
      </c>
      <c r="D106" s="6">
        <v>21.22</v>
      </c>
      <c r="E106" s="6">
        <v>148</v>
      </c>
    </row>
    <row r="107" spans="1:5" x14ac:dyDescent="0.25">
      <c r="A107" s="6" t="s">
        <v>418</v>
      </c>
      <c r="B107" s="6">
        <v>13.36</v>
      </c>
      <c r="C107" s="6">
        <v>223</v>
      </c>
      <c r="D107" s="6">
        <v>37.76</v>
      </c>
      <c r="E107" s="6">
        <v>406</v>
      </c>
    </row>
    <row r="108" spans="1:5" x14ac:dyDescent="0.25">
      <c r="A108" s="6" t="s">
        <v>144</v>
      </c>
      <c r="B108" s="6">
        <v>9.31</v>
      </c>
      <c r="C108" s="6">
        <v>130</v>
      </c>
      <c r="D108" s="6">
        <v>33.19</v>
      </c>
      <c r="E108" s="6">
        <v>268</v>
      </c>
    </row>
    <row r="109" spans="1:5" x14ac:dyDescent="0.25">
      <c r="A109" s="6" t="s">
        <v>765</v>
      </c>
      <c r="B109" s="6">
        <v>21.7</v>
      </c>
      <c r="C109" s="6">
        <v>265</v>
      </c>
      <c r="D109" s="6">
        <v>25.69</v>
      </c>
      <c r="E109" s="6">
        <v>210</v>
      </c>
    </row>
    <row r="110" spans="1:5" x14ac:dyDescent="0.25">
      <c r="A110" s="6" t="s">
        <v>121</v>
      </c>
      <c r="B110" s="6">
        <v>13.96</v>
      </c>
      <c r="C110" s="6">
        <v>175</v>
      </c>
      <c r="D110" s="6">
        <v>33.43</v>
      </c>
      <c r="E110" s="6">
        <v>281</v>
      </c>
    </row>
    <row r="111" spans="1:5" x14ac:dyDescent="0.25">
      <c r="A111" s="6" t="s">
        <v>174</v>
      </c>
      <c r="B111" s="6">
        <v>21.05</v>
      </c>
      <c r="C111" s="6">
        <v>218</v>
      </c>
      <c r="D111" s="6">
        <v>63.67</v>
      </c>
      <c r="E111" s="6">
        <v>487</v>
      </c>
    </row>
    <row r="112" spans="1:5" x14ac:dyDescent="0.25">
      <c r="A112" s="6" t="s">
        <v>690</v>
      </c>
      <c r="B112" s="6">
        <v>5.92</v>
      </c>
      <c r="C112" s="6">
        <v>100</v>
      </c>
      <c r="D112" s="6">
        <v>18.37</v>
      </c>
      <c r="E112" s="6">
        <v>200</v>
      </c>
    </row>
    <row r="113" spans="1:5" x14ac:dyDescent="0.25">
      <c r="A113" s="6" t="s">
        <v>536</v>
      </c>
      <c r="B113" s="6">
        <v>8.35</v>
      </c>
      <c r="C113" s="6">
        <v>132</v>
      </c>
      <c r="D113" s="6">
        <v>41.42</v>
      </c>
      <c r="E113" s="6">
        <v>381</v>
      </c>
    </row>
    <row r="114" spans="1:5" x14ac:dyDescent="0.25">
      <c r="A114" s="6" t="s">
        <v>893</v>
      </c>
      <c r="B114" s="6">
        <v>14.36</v>
      </c>
      <c r="C114" s="6">
        <v>136</v>
      </c>
      <c r="D114" s="6">
        <v>38.36</v>
      </c>
      <c r="E114" s="6">
        <v>305</v>
      </c>
    </row>
    <row r="115" spans="1:5" x14ac:dyDescent="0.25">
      <c r="A115" s="6" t="s">
        <v>894</v>
      </c>
      <c r="B115" s="6">
        <v>7.92</v>
      </c>
      <c r="C115" s="6">
        <v>117</v>
      </c>
      <c r="D115" s="6">
        <v>32.479999999999997</v>
      </c>
      <c r="E115" s="6">
        <v>288</v>
      </c>
    </row>
    <row r="116" spans="1:5" x14ac:dyDescent="0.25">
      <c r="A116" s="6" t="s">
        <v>450</v>
      </c>
      <c r="B116" s="6">
        <v>5.19</v>
      </c>
      <c r="C116" s="6">
        <v>89</v>
      </c>
      <c r="D116" s="6">
        <v>21.48</v>
      </c>
      <c r="E116" s="6">
        <v>255</v>
      </c>
    </row>
    <row r="117" spans="1:5" x14ac:dyDescent="0.25">
      <c r="A117" s="6" t="s">
        <v>238</v>
      </c>
      <c r="B117" s="6">
        <v>6.37</v>
      </c>
      <c r="C117" s="6">
        <v>100</v>
      </c>
      <c r="D117" s="6">
        <v>10.85</v>
      </c>
      <c r="E117" s="6">
        <v>91</v>
      </c>
    </row>
    <row r="118" spans="1:5" x14ac:dyDescent="0.25">
      <c r="A118" s="6" t="s">
        <v>535</v>
      </c>
      <c r="B118" s="6">
        <v>6.88</v>
      </c>
      <c r="C118" s="6">
        <v>109</v>
      </c>
      <c r="D118" s="6">
        <v>27.42</v>
      </c>
      <c r="E118" s="6">
        <v>238</v>
      </c>
    </row>
    <row r="119" spans="1:5" x14ac:dyDescent="0.25">
      <c r="A119" s="6" t="s">
        <v>29</v>
      </c>
      <c r="B119" s="6">
        <v>13.16</v>
      </c>
      <c r="C119" s="6">
        <v>160</v>
      </c>
      <c r="D119" s="6">
        <v>75.03</v>
      </c>
      <c r="E119" s="6">
        <v>592</v>
      </c>
    </row>
    <row r="120" spans="1:5" x14ac:dyDescent="0.25">
      <c r="A120" s="6" t="s">
        <v>766</v>
      </c>
      <c r="B120" s="6">
        <v>11.02</v>
      </c>
      <c r="C120" s="6">
        <v>123</v>
      </c>
      <c r="D120" s="6">
        <v>43.82</v>
      </c>
      <c r="E120" s="6">
        <v>371</v>
      </c>
    </row>
    <row r="121" spans="1:5" x14ac:dyDescent="0.25">
      <c r="A121" s="6" t="s">
        <v>643</v>
      </c>
      <c r="B121" s="6">
        <v>5.58</v>
      </c>
      <c r="C121" s="6">
        <v>100</v>
      </c>
      <c r="D121" s="6">
        <v>30.48</v>
      </c>
      <c r="E121" s="6">
        <v>314</v>
      </c>
    </row>
    <row r="122" spans="1:5" x14ac:dyDescent="0.25">
      <c r="A122" s="6" t="s">
        <v>291</v>
      </c>
      <c r="B122" s="6">
        <v>6.69</v>
      </c>
      <c r="C122" s="6">
        <v>109</v>
      </c>
      <c r="D122" s="6">
        <v>14.5</v>
      </c>
      <c r="E122" s="6">
        <v>206</v>
      </c>
    </row>
    <row r="123" spans="1:5" x14ac:dyDescent="0.25">
      <c r="A123" s="6" t="s">
        <v>520</v>
      </c>
      <c r="B123" s="6">
        <v>14.37</v>
      </c>
      <c r="C123" s="6">
        <v>160</v>
      </c>
      <c r="D123" s="6">
        <v>24.42</v>
      </c>
      <c r="E123" s="6">
        <v>200</v>
      </c>
    </row>
    <row r="124" spans="1:5" x14ac:dyDescent="0.25">
      <c r="A124" s="6" t="s">
        <v>745</v>
      </c>
      <c r="B124" s="6">
        <v>19.059999999999999</v>
      </c>
      <c r="C124" s="6">
        <v>186</v>
      </c>
      <c r="D124" s="6">
        <v>31.35</v>
      </c>
      <c r="E124" s="6">
        <v>272</v>
      </c>
    </row>
    <row r="125" spans="1:5" x14ac:dyDescent="0.25">
      <c r="A125" s="6" t="s">
        <v>226</v>
      </c>
      <c r="B125" s="6">
        <v>10.64</v>
      </c>
      <c r="C125" s="6">
        <v>106</v>
      </c>
      <c r="D125" s="6">
        <v>37.78</v>
      </c>
      <c r="E125" s="6">
        <v>263</v>
      </c>
    </row>
    <row r="126" spans="1:5" x14ac:dyDescent="0.25">
      <c r="A126" s="6" t="s">
        <v>84</v>
      </c>
      <c r="B126" s="6">
        <v>2.57</v>
      </c>
      <c r="C126" s="6">
        <v>36</v>
      </c>
      <c r="D126" s="6">
        <v>9.32</v>
      </c>
      <c r="E126" s="6">
        <v>90</v>
      </c>
    </row>
    <row r="127" spans="1:5" x14ac:dyDescent="0.25">
      <c r="A127" s="6" t="s">
        <v>34</v>
      </c>
      <c r="B127" s="6">
        <v>7.43</v>
      </c>
      <c r="C127" s="6">
        <v>100</v>
      </c>
      <c r="D127" s="6">
        <v>16.36</v>
      </c>
      <c r="E127" s="6">
        <v>164</v>
      </c>
    </row>
    <row r="128" spans="1:5" x14ac:dyDescent="0.25">
      <c r="A128" s="6" t="s">
        <v>319</v>
      </c>
      <c r="B128" s="6">
        <v>3.66</v>
      </c>
      <c r="C128" s="6">
        <v>81</v>
      </c>
      <c r="D128" s="6">
        <v>26.24</v>
      </c>
      <c r="E128" s="6">
        <v>244</v>
      </c>
    </row>
    <row r="129" spans="1:5" x14ac:dyDescent="0.25">
      <c r="A129" s="6" t="s">
        <v>168</v>
      </c>
      <c r="B129" s="6">
        <v>12.8</v>
      </c>
      <c r="C129" s="6">
        <v>163</v>
      </c>
      <c r="D129" s="6">
        <v>34.65</v>
      </c>
      <c r="E129" s="6">
        <v>327</v>
      </c>
    </row>
    <row r="130" spans="1:5" x14ac:dyDescent="0.25">
      <c r="A130" s="6" t="s">
        <v>240</v>
      </c>
      <c r="B130" s="6">
        <v>13.68</v>
      </c>
      <c r="C130" s="6">
        <v>173</v>
      </c>
      <c r="D130" s="6">
        <v>45.43</v>
      </c>
      <c r="E130" s="6">
        <v>447</v>
      </c>
    </row>
    <row r="131" spans="1:5" x14ac:dyDescent="0.25">
      <c r="A131" s="6" t="s">
        <v>895</v>
      </c>
      <c r="B131" s="6">
        <v>9.7799999999999994</v>
      </c>
      <c r="C131" s="6">
        <v>115</v>
      </c>
      <c r="D131" s="6">
        <v>49.1</v>
      </c>
      <c r="E131" s="6">
        <v>397</v>
      </c>
    </row>
    <row r="132" spans="1:5" x14ac:dyDescent="0.25">
      <c r="A132" s="6" t="s">
        <v>374</v>
      </c>
      <c r="B132" s="6">
        <v>12.27</v>
      </c>
      <c r="C132" s="6">
        <v>149</v>
      </c>
      <c r="D132" s="6">
        <v>32.020000000000003</v>
      </c>
      <c r="E132" s="6">
        <v>265</v>
      </c>
    </row>
    <row r="133" spans="1:5" x14ac:dyDescent="0.25">
      <c r="A133" s="6" t="s">
        <v>767</v>
      </c>
      <c r="B133" s="6">
        <v>28.17</v>
      </c>
      <c r="C133" s="6">
        <v>210</v>
      </c>
      <c r="D133" s="6">
        <v>78.150000000000006</v>
      </c>
      <c r="E133" s="6">
        <v>775</v>
      </c>
    </row>
    <row r="134" spans="1:5" x14ac:dyDescent="0.25">
      <c r="A134" s="6" t="s">
        <v>768</v>
      </c>
      <c r="B134" s="6">
        <v>17.2</v>
      </c>
      <c r="C134" s="6">
        <v>216</v>
      </c>
      <c r="D134" s="6">
        <v>45.83</v>
      </c>
      <c r="E134" s="6">
        <v>441</v>
      </c>
    </row>
    <row r="135" spans="1:5" x14ac:dyDescent="0.25">
      <c r="A135" s="6" t="s">
        <v>896</v>
      </c>
      <c r="B135" s="6">
        <v>14.98</v>
      </c>
      <c r="C135" s="6">
        <v>228</v>
      </c>
      <c r="D135" s="6">
        <v>28.54</v>
      </c>
      <c r="E135" s="6">
        <v>532</v>
      </c>
    </row>
    <row r="136" spans="1:5" x14ac:dyDescent="0.25">
      <c r="A136" s="6" t="s">
        <v>571</v>
      </c>
      <c r="B136" s="6">
        <v>2.8</v>
      </c>
      <c r="C136" s="6">
        <v>64</v>
      </c>
      <c r="D136" s="6">
        <v>13.79</v>
      </c>
      <c r="E136" s="6">
        <v>104</v>
      </c>
    </row>
    <row r="137" spans="1:5" x14ac:dyDescent="0.25">
      <c r="A137" s="6" t="s">
        <v>252</v>
      </c>
      <c r="B137" s="6">
        <v>7.15</v>
      </c>
      <c r="C137" s="6">
        <v>90</v>
      </c>
      <c r="D137" s="6">
        <v>48.09</v>
      </c>
      <c r="E137" s="6">
        <v>400</v>
      </c>
    </row>
    <row r="138" spans="1:5" x14ac:dyDescent="0.25">
      <c r="A138" s="6" t="s">
        <v>376</v>
      </c>
      <c r="B138" s="6">
        <v>8.81</v>
      </c>
      <c r="C138" s="6">
        <v>127</v>
      </c>
      <c r="D138" s="6">
        <v>27.16</v>
      </c>
      <c r="E138" s="6">
        <v>278</v>
      </c>
    </row>
    <row r="139" spans="1:5" x14ac:dyDescent="0.25">
      <c r="A139" s="6" t="s">
        <v>742</v>
      </c>
      <c r="B139" s="6">
        <v>8.99</v>
      </c>
      <c r="C139" s="6">
        <v>100</v>
      </c>
      <c r="D139" s="6">
        <v>41.74</v>
      </c>
      <c r="E139" s="6">
        <v>289</v>
      </c>
    </row>
    <row r="140" spans="1:5" x14ac:dyDescent="0.25">
      <c r="A140" s="6" t="s">
        <v>342</v>
      </c>
      <c r="B140" s="6">
        <v>46.21</v>
      </c>
      <c r="C140" s="6">
        <v>328</v>
      </c>
      <c r="D140" s="6">
        <v>30.11</v>
      </c>
      <c r="E140" s="6">
        <v>187</v>
      </c>
    </row>
    <row r="141" spans="1:5" x14ac:dyDescent="0.25">
      <c r="A141" s="6" t="s">
        <v>313</v>
      </c>
      <c r="B141" s="6">
        <v>3.06</v>
      </c>
      <c r="C141" s="6">
        <v>60</v>
      </c>
      <c r="D141" s="6">
        <v>23.63</v>
      </c>
      <c r="E141" s="6">
        <v>305</v>
      </c>
    </row>
    <row r="142" spans="1:5" x14ac:dyDescent="0.25">
      <c r="A142" s="6" t="s">
        <v>218</v>
      </c>
      <c r="B142" s="6">
        <v>6.35</v>
      </c>
      <c r="C142" s="6">
        <v>113</v>
      </c>
      <c r="D142" s="6">
        <v>36.24</v>
      </c>
      <c r="E142" s="6">
        <v>571</v>
      </c>
    </row>
    <row r="143" spans="1:5" x14ac:dyDescent="0.25">
      <c r="A143" s="6" t="s">
        <v>639</v>
      </c>
      <c r="B143" s="6">
        <v>7.47</v>
      </c>
      <c r="C143" s="6">
        <v>87</v>
      </c>
      <c r="D143" s="6">
        <v>41.73</v>
      </c>
      <c r="E143" s="6">
        <v>388</v>
      </c>
    </row>
    <row r="144" spans="1:5" x14ac:dyDescent="0.25">
      <c r="A144" s="6" t="s">
        <v>531</v>
      </c>
      <c r="B144" s="6">
        <v>2.68</v>
      </c>
      <c r="C144" s="6">
        <v>55</v>
      </c>
      <c r="D144" s="6">
        <v>26.46</v>
      </c>
      <c r="E144" s="6">
        <v>291</v>
      </c>
    </row>
    <row r="145" spans="1:5" x14ac:dyDescent="0.25">
      <c r="A145" s="6" t="s">
        <v>428</v>
      </c>
      <c r="B145" s="6">
        <v>3.85</v>
      </c>
      <c r="C145" s="6">
        <v>70</v>
      </c>
      <c r="D145" s="6">
        <v>27</v>
      </c>
      <c r="E145" s="6">
        <v>275</v>
      </c>
    </row>
    <row r="146" spans="1:5" x14ac:dyDescent="0.25">
      <c r="A146" s="6" t="s">
        <v>769</v>
      </c>
      <c r="B146" s="6">
        <v>16.690000000000001</v>
      </c>
      <c r="C146" s="6">
        <v>196</v>
      </c>
      <c r="D146" s="6">
        <v>61.4</v>
      </c>
      <c r="E146" s="6">
        <v>625</v>
      </c>
    </row>
    <row r="147" spans="1:5" x14ac:dyDescent="0.25">
      <c r="A147" s="6" t="s">
        <v>897</v>
      </c>
      <c r="B147" s="6">
        <v>3.07</v>
      </c>
      <c r="C147" s="6">
        <v>67</v>
      </c>
      <c r="D147" s="6">
        <v>26.17</v>
      </c>
      <c r="E147" s="6">
        <v>380</v>
      </c>
    </row>
    <row r="148" spans="1:5" x14ac:dyDescent="0.25">
      <c r="A148" s="6" t="s">
        <v>670</v>
      </c>
      <c r="B148" s="6">
        <v>5.76</v>
      </c>
      <c r="C148" s="6">
        <v>86</v>
      </c>
      <c r="D148" s="6">
        <v>23.85</v>
      </c>
      <c r="E148" s="6">
        <v>214</v>
      </c>
    </row>
    <row r="149" spans="1:5" x14ac:dyDescent="0.25">
      <c r="A149" s="6" t="s">
        <v>258</v>
      </c>
      <c r="B149" s="6">
        <v>1.03</v>
      </c>
      <c r="C149" s="6">
        <v>21</v>
      </c>
      <c r="D149" s="6">
        <v>6.64</v>
      </c>
      <c r="E149" s="6">
        <v>53</v>
      </c>
    </row>
    <row r="150" spans="1:5" x14ac:dyDescent="0.25">
      <c r="A150" s="6" t="s">
        <v>727</v>
      </c>
      <c r="B150" s="6">
        <v>5.87</v>
      </c>
      <c r="C150" s="6">
        <v>101</v>
      </c>
      <c r="D150" s="6">
        <v>32.909999999999997</v>
      </c>
      <c r="E150" s="6">
        <v>289</v>
      </c>
    </row>
    <row r="151" spans="1:5" x14ac:dyDescent="0.25">
      <c r="A151" s="6" t="s">
        <v>632</v>
      </c>
      <c r="B151" s="6">
        <v>8.58</v>
      </c>
      <c r="C151" s="6">
        <v>157</v>
      </c>
      <c r="D151" s="6">
        <v>41.71</v>
      </c>
      <c r="E151" s="6">
        <v>465</v>
      </c>
    </row>
    <row r="152" spans="1:5" x14ac:dyDescent="0.25">
      <c r="A152" s="6" t="s">
        <v>567</v>
      </c>
      <c r="B152" s="6">
        <v>10.85</v>
      </c>
      <c r="C152" s="6">
        <v>122</v>
      </c>
      <c r="D152" s="6">
        <v>30.78</v>
      </c>
      <c r="E152" s="6">
        <v>232</v>
      </c>
    </row>
    <row r="153" spans="1:5" x14ac:dyDescent="0.25">
      <c r="A153" s="6" t="s">
        <v>728</v>
      </c>
      <c r="B153" s="6">
        <v>13.75</v>
      </c>
      <c r="C153" s="6">
        <v>120</v>
      </c>
      <c r="D153" s="6">
        <v>68.64</v>
      </c>
      <c r="E153" s="6">
        <v>430</v>
      </c>
    </row>
    <row r="154" spans="1:5" x14ac:dyDescent="0.25">
      <c r="A154" s="6" t="s">
        <v>770</v>
      </c>
      <c r="B154" s="6">
        <v>15.9</v>
      </c>
      <c r="C154" s="6">
        <v>179</v>
      </c>
      <c r="D154" s="6">
        <v>41.03</v>
      </c>
      <c r="E154" s="6">
        <v>419</v>
      </c>
    </row>
    <row r="155" spans="1:5" x14ac:dyDescent="0.25">
      <c r="A155" s="6" t="s">
        <v>898</v>
      </c>
      <c r="B155" s="6">
        <v>2.95</v>
      </c>
      <c r="C155" s="6">
        <v>63</v>
      </c>
      <c r="D155" s="6">
        <v>19.600000000000001</v>
      </c>
      <c r="E155" s="6">
        <v>199</v>
      </c>
    </row>
    <row r="156" spans="1:5" x14ac:dyDescent="0.25">
      <c r="A156" s="6" t="s">
        <v>301</v>
      </c>
      <c r="B156" s="6">
        <v>6.21</v>
      </c>
      <c r="C156" s="6">
        <v>91</v>
      </c>
      <c r="D156" s="6">
        <v>35.28</v>
      </c>
      <c r="E156" s="6">
        <v>375</v>
      </c>
    </row>
    <row r="157" spans="1:5" x14ac:dyDescent="0.25">
      <c r="A157" s="6" t="s">
        <v>145</v>
      </c>
      <c r="B157" s="6">
        <v>12.31</v>
      </c>
      <c r="C157" s="6">
        <v>172</v>
      </c>
      <c r="D157" s="6">
        <v>26.98</v>
      </c>
      <c r="E157" s="6">
        <v>236</v>
      </c>
    </row>
    <row r="158" spans="1:5" x14ac:dyDescent="0.25">
      <c r="A158" s="6" t="s">
        <v>716</v>
      </c>
      <c r="B158" s="6">
        <v>10.26</v>
      </c>
      <c r="C158" s="6">
        <v>171</v>
      </c>
      <c r="D158" s="6">
        <v>9.81</v>
      </c>
      <c r="E158" s="6">
        <v>71</v>
      </c>
    </row>
    <row r="159" spans="1:5" x14ac:dyDescent="0.25">
      <c r="A159" s="6" t="s">
        <v>217</v>
      </c>
      <c r="B159" s="6">
        <v>1.38</v>
      </c>
      <c r="C159" s="6">
        <v>33</v>
      </c>
      <c r="D159" s="6">
        <v>13.11</v>
      </c>
      <c r="E159" s="6">
        <v>100</v>
      </c>
    </row>
    <row r="160" spans="1:5" x14ac:dyDescent="0.25">
      <c r="A160" s="6" t="s">
        <v>375</v>
      </c>
      <c r="B160" s="6">
        <v>8.9600000000000009</v>
      </c>
      <c r="C160" s="6">
        <v>120</v>
      </c>
      <c r="D160" s="6">
        <v>28.78</v>
      </c>
      <c r="E160" s="6">
        <v>266</v>
      </c>
    </row>
    <row r="161" spans="1:5" x14ac:dyDescent="0.25">
      <c r="A161" s="6" t="s">
        <v>723</v>
      </c>
      <c r="B161" s="6">
        <v>4.33</v>
      </c>
      <c r="C161" s="6">
        <v>82</v>
      </c>
      <c r="D161" s="6">
        <v>17.62</v>
      </c>
      <c r="E161" s="6">
        <v>173</v>
      </c>
    </row>
    <row r="162" spans="1:5" x14ac:dyDescent="0.25">
      <c r="A162" s="6" t="s">
        <v>108</v>
      </c>
      <c r="B162" s="6">
        <v>9.64</v>
      </c>
      <c r="C162" s="6">
        <v>128</v>
      </c>
      <c r="D162" s="6">
        <v>53</v>
      </c>
      <c r="E162" s="6">
        <v>446</v>
      </c>
    </row>
    <row r="163" spans="1:5" x14ac:dyDescent="0.25">
      <c r="A163" s="6" t="s">
        <v>504</v>
      </c>
      <c r="B163" s="6">
        <v>6.21</v>
      </c>
      <c r="C163" s="6">
        <v>100</v>
      </c>
      <c r="D163" s="6">
        <v>22.84</v>
      </c>
      <c r="E163" s="6">
        <v>263</v>
      </c>
    </row>
    <row r="164" spans="1:5" x14ac:dyDescent="0.25">
      <c r="A164" s="6" t="s">
        <v>68</v>
      </c>
      <c r="B164" s="6">
        <v>8.2799999999999994</v>
      </c>
      <c r="C164" s="6">
        <v>101</v>
      </c>
      <c r="D164" s="6">
        <v>45.86</v>
      </c>
      <c r="E164" s="6">
        <v>397</v>
      </c>
    </row>
    <row r="165" spans="1:5" x14ac:dyDescent="0.25">
      <c r="A165" s="6" t="s">
        <v>899</v>
      </c>
      <c r="B165" s="6">
        <v>6.42</v>
      </c>
      <c r="C165" s="6">
        <v>101</v>
      </c>
      <c r="D165" s="6">
        <v>40.71</v>
      </c>
      <c r="E165" s="6">
        <v>373</v>
      </c>
    </row>
    <row r="166" spans="1:5" x14ac:dyDescent="0.25">
      <c r="A166" s="6" t="s">
        <v>175</v>
      </c>
      <c r="B166" s="6">
        <v>4.88</v>
      </c>
      <c r="C166" s="6">
        <v>77</v>
      </c>
      <c r="D166" s="6">
        <v>27.16</v>
      </c>
      <c r="E166" s="6">
        <v>301</v>
      </c>
    </row>
    <row r="167" spans="1:5" x14ac:dyDescent="0.25">
      <c r="A167" s="6" t="s">
        <v>332</v>
      </c>
      <c r="B167" s="6">
        <v>6.04</v>
      </c>
      <c r="C167" s="6">
        <v>91</v>
      </c>
      <c r="D167" s="6">
        <v>37.380000000000003</v>
      </c>
      <c r="E167" s="6">
        <v>394</v>
      </c>
    </row>
    <row r="168" spans="1:5" x14ac:dyDescent="0.25">
      <c r="A168" s="6" t="s">
        <v>256</v>
      </c>
      <c r="B168" s="6">
        <v>11.58</v>
      </c>
      <c r="C168" s="6">
        <v>150</v>
      </c>
      <c r="D168" s="6">
        <v>35.06</v>
      </c>
      <c r="E168" s="6">
        <v>202</v>
      </c>
    </row>
    <row r="169" spans="1:5" x14ac:dyDescent="0.25">
      <c r="A169" s="6" t="s">
        <v>408</v>
      </c>
      <c r="B169" s="6">
        <v>9.2200000000000006</v>
      </c>
      <c r="C169" s="6">
        <v>108</v>
      </c>
      <c r="D169" s="6">
        <v>27.99</v>
      </c>
      <c r="E169" s="6">
        <v>247</v>
      </c>
    </row>
    <row r="170" spans="1:5" x14ac:dyDescent="0.25">
      <c r="A170" s="6" t="s">
        <v>123</v>
      </c>
      <c r="B170" s="6">
        <v>9.91</v>
      </c>
      <c r="C170" s="6">
        <v>146</v>
      </c>
      <c r="D170" s="6">
        <v>52.34</v>
      </c>
      <c r="E170" s="6">
        <v>468</v>
      </c>
    </row>
    <row r="171" spans="1:5" x14ac:dyDescent="0.25">
      <c r="A171" s="6" t="s">
        <v>184</v>
      </c>
      <c r="B171" s="6">
        <v>10.63</v>
      </c>
      <c r="C171" s="6">
        <v>142</v>
      </c>
      <c r="D171" s="6">
        <v>44.5</v>
      </c>
      <c r="E171" s="6">
        <v>559</v>
      </c>
    </row>
    <row r="172" spans="1:5" x14ac:dyDescent="0.25">
      <c r="A172" s="6" t="s">
        <v>618</v>
      </c>
      <c r="B172" s="6">
        <v>3.64</v>
      </c>
      <c r="C172" s="6">
        <v>70</v>
      </c>
      <c r="D172" s="6">
        <v>16.7</v>
      </c>
      <c r="E172" s="6">
        <v>152</v>
      </c>
    </row>
    <row r="173" spans="1:5" x14ac:dyDescent="0.25">
      <c r="A173" s="6" t="s">
        <v>158</v>
      </c>
      <c r="B173" s="6">
        <v>2.25</v>
      </c>
      <c r="C173" s="6">
        <v>45</v>
      </c>
      <c r="D173" s="6">
        <v>20.5</v>
      </c>
      <c r="E173" s="6">
        <v>189</v>
      </c>
    </row>
    <row r="174" spans="1:5" x14ac:dyDescent="0.25">
      <c r="A174" s="6" t="s">
        <v>330</v>
      </c>
      <c r="B174" s="6">
        <v>14.09</v>
      </c>
      <c r="C174" s="6">
        <v>140</v>
      </c>
      <c r="D174" s="6">
        <v>27.44</v>
      </c>
      <c r="E174" s="6">
        <v>258</v>
      </c>
    </row>
    <row r="175" spans="1:5" x14ac:dyDescent="0.25">
      <c r="A175" s="6" t="s">
        <v>180</v>
      </c>
      <c r="B175" s="6">
        <v>13.57</v>
      </c>
      <c r="C175" s="6">
        <v>144</v>
      </c>
      <c r="D175" s="6">
        <v>61.68</v>
      </c>
      <c r="E175" s="6">
        <v>454</v>
      </c>
    </row>
    <row r="176" spans="1:5" x14ac:dyDescent="0.25">
      <c r="A176" s="6" t="s">
        <v>199</v>
      </c>
      <c r="B176" s="6">
        <v>5.43</v>
      </c>
      <c r="C176" s="6">
        <v>74</v>
      </c>
      <c r="D176" s="6">
        <v>38.340000000000003</v>
      </c>
      <c r="E176" s="6">
        <v>384</v>
      </c>
    </row>
    <row r="177" spans="1:5" x14ac:dyDescent="0.25">
      <c r="A177" s="6" t="s">
        <v>337</v>
      </c>
      <c r="B177" s="6">
        <v>11.87</v>
      </c>
      <c r="C177" s="6">
        <v>127</v>
      </c>
      <c r="D177" s="6">
        <v>35.18</v>
      </c>
      <c r="E177" s="6">
        <v>452</v>
      </c>
    </row>
    <row r="178" spans="1:5" x14ac:dyDescent="0.25">
      <c r="A178" s="6" t="s">
        <v>771</v>
      </c>
      <c r="B178" s="6">
        <v>10.86</v>
      </c>
      <c r="C178" s="6">
        <v>167</v>
      </c>
      <c r="D178" s="6">
        <v>57.95</v>
      </c>
      <c r="E178" s="6">
        <v>578</v>
      </c>
    </row>
    <row r="179" spans="1:5" x14ac:dyDescent="0.25">
      <c r="A179" s="6" t="s">
        <v>900</v>
      </c>
      <c r="B179" s="6">
        <v>5.92</v>
      </c>
      <c r="C179" s="6">
        <v>92</v>
      </c>
      <c r="D179" s="6">
        <v>21.14</v>
      </c>
      <c r="E179" s="6">
        <v>183</v>
      </c>
    </row>
    <row r="180" spans="1:5" x14ac:dyDescent="0.25">
      <c r="A180" s="6" t="s">
        <v>466</v>
      </c>
      <c r="B180" s="6">
        <v>11.75</v>
      </c>
      <c r="C180" s="6">
        <v>153</v>
      </c>
      <c r="D180" s="6">
        <v>26.92</v>
      </c>
      <c r="E180" s="6">
        <v>254</v>
      </c>
    </row>
    <row r="181" spans="1:5" x14ac:dyDescent="0.25">
      <c r="A181" s="6" t="s">
        <v>901</v>
      </c>
      <c r="B181" s="6">
        <v>8.99</v>
      </c>
      <c r="C181" s="6">
        <v>85</v>
      </c>
      <c r="D181" s="6">
        <v>37.18</v>
      </c>
      <c r="E181" s="6">
        <v>244</v>
      </c>
    </row>
    <row r="182" spans="1:5" x14ac:dyDescent="0.25">
      <c r="A182" s="6" t="s">
        <v>338</v>
      </c>
      <c r="B182" s="6">
        <v>11.97</v>
      </c>
      <c r="C182" s="6">
        <v>163</v>
      </c>
      <c r="D182" s="6">
        <v>31.47</v>
      </c>
      <c r="E182" s="6">
        <v>223</v>
      </c>
    </row>
    <row r="183" spans="1:5" x14ac:dyDescent="0.25">
      <c r="A183" s="6" t="s">
        <v>602</v>
      </c>
      <c r="B183" s="6">
        <v>4.41</v>
      </c>
      <c r="C183" s="6">
        <v>82</v>
      </c>
      <c r="D183" s="6">
        <v>13.65</v>
      </c>
      <c r="E183" s="6">
        <v>96</v>
      </c>
    </row>
    <row r="184" spans="1:5" x14ac:dyDescent="0.25">
      <c r="A184" s="6" t="s">
        <v>599</v>
      </c>
      <c r="B184" s="6">
        <v>6.21</v>
      </c>
      <c r="C184" s="6">
        <v>104</v>
      </c>
      <c r="D184" s="6">
        <v>24.2</v>
      </c>
      <c r="E184" s="6">
        <v>239</v>
      </c>
    </row>
    <row r="185" spans="1:5" x14ac:dyDescent="0.25">
      <c r="A185" s="6" t="s">
        <v>772</v>
      </c>
      <c r="B185" s="6">
        <v>12.6</v>
      </c>
      <c r="C185" s="6">
        <v>144</v>
      </c>
      <c r="D185" s="6">
        <v>53.13</v>
      </c>
      <c r="E185" s="6">
        <v>420</v>
      </c>
    </row>
    <row r="186" spans="1:5" x14ac:dyDescent="0.25">
      <c r="A186" s="6" t="s">
        <v>902</v>
      </c>
      <c r="B186" s="6">
        <v>4.05</v>
      </c>
      <c r="C186" s="6">
        <v>71</v>
      </c>
      <c r="D186" s="6">
        <v>25.94</v>
      </c>
      <c r="E186" s="6">
        <v>252</v>
      </c>
    </row>
    <row r="187" spans="1:5" x14ac:dyDescent="0.25">
      <c r="A187" s="6" t="s">
        <v>426</v>
      </c>
      <c r="B187" s="6">
        <v>5.89</v>
      </c>
      <c r="C187" s="6">
        <v>89</v>
      </c>
      <c r="D187" s="6">
        <v>26.94</v>
      </c>
      <c r="E187" s="6">
        <v>260</v>
      </c>
    </row>
    <row r="188" spans="1:5" x14ac:dyDescent="0.25">
      <c r="A188" s="6" t="s">
        <v>46</v>
      </c>
      <c r="B188" s="6">
        <v>10.210000000000001</v>
      </c>
      <c r="C188" s="6">
        <v>123</v>
      </c>
      <c r="D188" s="6">
        <v>29.47</v>
      </c>
      <c r="E188" s="6">
        <v>264</v>
      </c>
    </row>
    <row r="189" spans="1:5" x14ac:dyDescent="0.25">
      <c r="A189" s="6" t="s">
        <v>605</v>
      </c>
      <c r="B189" s="6">
        <v>15.54</v>
      </c>
      <c r="C189" s="6">
        <v>155</v>
      </c>
      <c r="D189" s="6">
        <v>40.869999999999997</v>
      </c>
      <c r="E189" s="6">
        <v>265</v>
      </c>
    </row>
    <row r="190" spans="1:5" x14ac:dyDescent="0.25">
      <c r="A190" s="6" t="s">
        <v>486</v>
      </c>
      <c r="B190" s="6">
        <v>5.27</v>
      </c>
      <c r="C190" s="6">
        <v>91</v>
      </c>
      <c r="D190" s="6">
        <v>11.41</v>
      </c>
      <c r="E190" s="6">
        <v>57</v>
      </c>
    </row>
    <row r="191" spans="1:5" x14ac:dyDescent="0.25">
      <c r="A191" s="6" t="s">
        <v>773</v>
      </c>
      <c r="B191" s="6">
        <v>31.79</v>
      </c>
      <c r="C191" s="6">
        <v>281</v>
      </c>
      <c r="D191" s="6">
        <v>40.21</v>
      </c>
      <c r="E191" s="6">
        <v>293</v>
      </c>
    </row>
    <row r="192" spans="1:5" x14ac:dyDescent="0.25">
      <c r="A192" s="6" t="s">
        <v>533</v>
      </c>
      <c r="B192" s="6">
        <v>3.26</v>
      </c>
      <c r="C192" s="6">
        <v>63</v>
      </c>
      <c r="D192" s="6">
        <v>22.23</v>
      </c>
      <c r="E192" s="6">
        <v>168</v>
      </c>
    </row>
    <row r="193" spans="1:5" x14ac:dyDescent="0.25">
      <c r="A193" s="6" t="s">
        <v>13</v>
      </c>
      <c r="B193" s="6">
        <v>9.66</v>
      </c>
      <c r="C193" s="6">
        <v>140</v>
      </c>
      <c r="D193" s="6">
        <v>37.869999999999997</v>
      </c>
      <c r="E193" s="6">
        <v>612</v>
      </c>
    </row>
    <row r="194" spans="1:5" x14ac:dyDescent="0.25">
      <c r="A194" s="6" t="s">
        <v>774</v>
      </c>
      <c r="B194" s="6">
        <v>30.05</v>
      </c>
      <c r="C194" s="6">
        <v>266</v>
      </c>
      <c r="D194" s="6">
        <v>57.88</v>
      </c>
      <c r="E194" s="6">
        <v>499</v>
      </c>
    </row>
    <row r="195" spans="1:5" x14ac:dyDescent="0.25">
      <c r="A195" s="6" t="s">
        <v>406</v>
      </c>
      <c r="B195" s="6">
        <v>22.53</v>
      </c>
      <c r="C195" s="6">
        <v>251</v>
      </c>
      <c r="D195" s="6">
        <v>39.93</v>
      </c>
      <c r="E195" s="6">
        <v>332</v>
      </c>
    </row>
    <row r="196" spans="1:5" x14ac:dyDescent="0.25">
      <c r="A196" s="6" t="s">
        <v>212</v>
      </c>
      <c r="B196" s="6">
        <v>9.2799999999999994</v>
      </c>
      <c r="C196" s="6">
        <v>154</v>
      </c>
      <c r="D196" s="6">
        <v>9.9600000000000009</v>
      </c>
      <c r="E196" s="6">
        <v>49</v>
      </c>
    </row>
    <row r="197" spans="1:5" x14ac:dyDescent="0.25">
      <c r="A197" s="6" t="s">
        <v>775</v>
      </c>
      <c r="B197" s="6">
        <v>15.29</v>
      </c>
      <c r="C197" s="6">
        <v>192</v>
      </c>
      <c r="D197" s="6">
        <v>55.37</v>
      </c>
      <c r="E197" s="6">
        <v>462</v>
      </c>
    </row>
    <row r="198" spans="1:5" x14ac:dyDescent="0.25">
      <c r="A198" s="6" t="s">
        <v>776</v>
      </c>
      <c r="B198" s="6">
        <v>31.03</v>
      </c>
      <c r="C198" s="6">
        <v>436</v>
      </c>
      <c r="D198" s="6">
        <v>46.21</v>
      </c>
      <c r="E198" s="6">
        <v>493</v>
      </c>
    </row>
    <row r="199" spans="1:5" x14ac:dyDescent="0.25">
      <c r="A199" s="6" t="s">
        <v>6</v>
      </c>
      <c r="B199" s="6">
        <v>6.17</v>
      </c>
      <c r="C199" s="6">
        <v>79</v>
      </c>
      <c r="D199" s="6">
        <v>20.91</v>
      </c>
      <c r="E199" s="6">
        <v>131</v>
      </c>
    </row>
    <row r="200" spans="1:5" x14ac:dyDescent="0.25">
      <c r="A200" s="6" t="s">
        <v>279</v>
      </c>
      <c r="B200" s="6">
        <v>6.86</v>
      </c>
      <c r="C200" s="6">
        <v>118</v>
      </c>
      <c r="D200" s="6">
        <v>22.73</v>
      </c>
      <c r="E200" s="6">
        <v>233</v>
      </c>
    </row>
    <row r="201" spans="1:5" x14ac:dyDescent="0.25">
      <c r="A201" s="6" t="s">
        <v>610</v>
      </c>
      <c r="B201" s="6">
        <v>4.62</v>
      </c>
      <c r="C201" s="6">
        <v>89</v>
      </c>
      <c r="D201" s="6">
        <v>35.340000000000003</v>
      </c>
      <c r="E201" s="6">
        <v>346</v>
      </c>
    </row>
    <row r="202" spans="1:5" x14ac:dyDescent="0.25">
      <c r="A202" s="6" t="s">
        <v>307</v>
      </c>
      <c r="B202" s="6">
        <v>2.87</v>
      </c>
      <c r="C202" s="6">
        <v>55</v>
      </c>
      <c r="D202" s="6">
        <v>13.56</v>
      </c>
      <c r="E202" s="6">
        <v>114</v>
      </c>
    </row>
    <row r="203" spans="1:5" x14ac:dyDescent="0.25">
      <c r="A203" s="6" t="s">
        <v>903</v>
      </c>
      <c r="B203" s="6">
        <v>11.87</v>
      </c>
      <c r="C203" s="6">
        <v>165</v>
      </c>
      <c r="D203" s="6">
        <v>34.83</v>
      </c>
      <c r="E203" s="6">
        <v>411</v>
      </c>
    </row>
    <row r="204" spans="1:5" x14ac:dyDescent="0.25">
      <c r="A204" s="6" t="s">
        <v>385</v>
      </c>
      <c r="B204" s="6">
        <v>29.78</v>
      </c>
      <c r="C204" s="6">
        <v>291</v>
      </c>
      <c r="D204" s="6">
        <v>68.02</v>
      </c>
      <c r="E204" s="6">
        <v>630</v>
      </c>
    </row>
    <row r="205" spans="1:5" x14ac:dyDescent="0.25">
      <c r="A205" s="6" t="s">
        <v>101</v>
      </c>
      <c r="B205" s="6">
        <v>9.89</v>
      </c>
      <c r="C205" s="6">
        <v>141</v>
      </c>
      <c r="D205" s="6">
        <v>38.799999999999997</v>
      </c>
      <c r="E205" s="6">
        <v>446</v>
      </c>
    </row>
    <row r="206" spans="1:5" x14ac:dyDescent="0.25">
      <c r="A206" s="6" t="s">
        <v>719</v>
      </c>
      <c r="B206" s="6">
        <v>2.37</v>
      </c>
      <c r="C206" s="6">
        <v>54</v>
      </c>
      <c r="D206" s="6">
        <v>12.53</v>
      </c>
      <c r="E206" s="6">
        <v>127</v>
      </c>
    </row>
    <row r="207" spans="1:5" x14ac:dyDescent="0.25">
      <c r="A207" s="6" t="s">
        <v>173</v>
      </c>
      <c r="B207" s="6">
        <v>4.99</v>
      </c>
      <c r="C207" s="6">
        <v>92</v>
      </c>
      <c r="D207" s="6">
        <v>28.81</v>
      </c>
      <c r="E207" s="6">
        <v>269</v>
      </c>
    </row>
    <row r="208" spans="1:5" x14ac:dyDescent="0.25">
      <c r="A208" s="6" t="s">
        <v>484</v>
      </c>
      <c r="B208" s="6">
        <v>8.7200000000000006</v>
      </c>
      <c r="C208" s="6">
        <v>96</v>
      </c>
      <c r="D208" s="6">
        <v>19.829999999999998</v>
      </c>
      <c r="E208" s="6">
        <v>158</v>
      </c>
    </row>
    <row r="209" spans="1:5" x14ac:dyDescent="0.25">
      <c r="A209" s="6" t="s">
        <v>445</v>
      </c>
      <c r="B209" s="6">
        <v>3.29</v>
      </c>
      <c r="C209" s="6">
        <v>69</v>
      </c>
      <c r="D209" s="6">
        <v>14</v>
      </c>
      <c r="E209" s="6">
        <v>165</v>
      </c>
    </row>
    <row r="210" spans="1:5" x14ac:dyDescent="0.25">
      <c r="A210" s="6" t="s">
        <v>576</v>
      </c>
      <c r="B210" s="6">
        <v>9.3699999999999992</v>
      </c>
      <c r="C210" s="6">
        <v>121</v>
      </c>
      <c r="D210" s="6">
        <v>31.15</v>
      </c>
      <c r="E210" s="6">
        <v>274</v>
      </c>
    </row>
    <row r="211" spans="1:5" x14ac:dyDescent="0.25">
      <c r="A211" s="6" t="s">
        <v>611</v>
      </c>
      <c r="B211" s="6">
        <v>5.91</v>
      </c>
      <c r="C211" s="6">
        <v>118</v>
      </c>
      <c r="D211" s="6">
        <v>21.29</v>
      </c>
      <c r="E211" s="6">
        <v>200</v>
      </c>
    </row>
    <row r="212" spans="1:5" x14ac:dyDescent="0.25">
      <c r="A212" s="6" t="s">
        <v>186</v>
      </c>
      <c r="B212" s="6">
        <v>3.39</v>
      </c>
      <c r="C212" s="6">
        <v>72</v>
      </c>
      <c r="D212" s="6">
        <v>16.86</v>
      </c>
      <c r="E212" s="6">
        <v>150</v>
      </c>
    </row>
    <row r="213" spans="1:5" x14ac:dyDescent="0.25">
      <c r="A213" s="6" t="s">
        <v>86</v>
      </c>
      <c r="B213" s="6">
        <v>16.920000000000002</v>
      </c>
      <c r="C213" s="6">
        <v>176</v>
      </c>
      <c r="D213" s="6">
        <v>27.02</v>
      </c>
      <c r="E213" s="6">
        <v>203</v>
      </c>
    </row>
    <row r="214" spans="1:5" x14ac:dyDescent="0.25">
      <c r="A214" s="6" t="s">
        <v>558</v>
      </c>
      <c r="B214" s="6">
        <v>5.78</v>
      </c>
      <c r="C214" s="6">
        <v>84</v>
      </c>
      <c r="D214" s="6">
        <v>18.3</v>
      </c>
      <c r="E214" s="6">
        <v>187</v>
      </c>
    </row>
    <row r="215" spans="1:5" x14ac:dyDescent="0.25">
      <c r="A215" s="6" t="s">
        <v>447</v>
      </c>
      <c r="B215" s="6">
        <v>4.04</v>
      </c>
      <c r="C215" s="6">
        <v>68</v>
      </c>
      <c r="D215" s="6">
        <v>26.34</v>
      </c>
      <c r="E215" s="6">
        <v>231</v>
      </c>
    </row>
    <row r="216" spans="1:5" x14ac:dyDescent="0.25">
      <c r="A216" s="6" t="s">
        <v>465</v>
      </c>
      <c r="B216" s="6">
        <v>7.65</v>
      </c>
      <c r="C216" s="6">
        <v>102</v>
      </c>
      <c r="D216" s="6">
        <v>15.63</v>
      </c>
      <c r="E216" s="6">
        <v>149</v>
      </c>
    </row>
    <row r="217" spans="1:5" x14ac:dyDescent="0.25">
      <c r="A217" s="6" t="s">
        <v>457</v>
      </c>
      <c r="B217" s="6">
        <v>5.59</v>
      </c>
      <c r="C217" s="6">
        <v>89</v>
      </c>
      <c r="D217" s="6">
        <v>22.24</v>
      </c>
      <c r="E217" s="6">
        <v>202</v>
      </c>
    </row>
    <row r="218" spans="1:5" x14ac:dyDescent="0.25">
      <c r="A218" s="6" t="s">
        <v>904</v>
      </c>
      <c r="B218" s="6">
        <v>13.62</v>
      </c>
      <c r="C218" s="6">
        <v>153</v>
      </c>
      <c r="D218" s="6">
        <v>49.5</v>
      </c>
      <c r="E218" s="6">
        <v>554</v>
      </c>
    </row>
    <row r="219" spans="1:5" x14ac:dyDescent="0.25">
      <c r="A219" s="6" t="s">
        <v>8</v>
      </c>
      <c r="B219" s="6">
        <v>6</v>
      </c>
      <c r="C219" s="6">
        <v>88</v>
      </c>
      <c r="D219" s="6">
        <v>49.41</v>
      </c>
      <c r="E219" s="6">
        <v>503</v>
      </c>
    </row>
    <row r="220" spans="1:5" x14ac:dyDescent="0.25">
      <c r="A220" s="6" t="s">
        <v>44</v>
      </c>
      <c r="B220" s="6">
        <v>8.5500000000000007</v>
      </c>
      <c r="C220" s="6">
        <v>123</v>
      </c>
      <c r="D220" s="6">
        <v>54.17</v>
      </c>
      <c r="E220" s="6">
        <v>439</v>
      </c>
    </row>
    <row r="221" spans="1:5" x14ac:dyDescent="0.25">
      <c r="A221" s="6" t="s">
        <v>206</v>
      </c>
      <c r="B221" s="6">
        <v>10.11</v>
      </c>
      <c r="C221" s="6">
        <v>122</v>
      </c>
      <c r="D221" s="6">
        <v>48.25</v>
      </c>
      <c r="E221" s="6">
        <v>600</v>
      </c>
    </row>
    <row r="222" spans="1:5" x14ac:dyDescent="0.25">
      <c r="A222" s="6" t="s">
        <v>71</v>
      </c>
      <c r="B222" s="6">
        <v>4.83</v>
      </c>
      <c r="C222" s="6">
        <v>75</v>
      </c>
      <c r="D222" s="6">
        <v>22.55</v>
      </c>
      <c r="E222" s="6">
        <v>244</v>
      </c>
    </row>
    <row r="223" spans="1:5" x14ac:dyDescent="0.25">
      <c r="A223" s="6" t="s">
        <v>722</v>
      </c>
      <c r="B223" s="6">
        <v>4.9400000000000004</v>
      </c>
      <c r="C223" s="6">
        <v>90</v>
      </c>
      <c r="D223" s="6">
        <v>18</v>
      </c>
      <c r="E223" s="6">
        <v>151</v>
      </c>
    </row>
    <row r="224" spans="1:5" x14ac:dyDescent="0.25">
      <c r="A224" s="6" t="s">
        <v>203</v>
      </c>
      <c r="B224" s="6">
        <v>13.95</v>
      </c>
      <c r="C224" s="6">
        <v>139</v>
      </c>
      <c r="D224" s="6">
        <v>31.41</v>
      </c>
      <c r="E224" s="6">
        <v>175</v>
      </c>
    </row>
    <row r="225" spans="1:5" x14ac:dyDescent="0.25">
      <c r="A225" s="6" t="s">
        <v>777</v>
      </c>
      <c r="B225" s="6">
        <v>35</v>
      </c>
      <c r="C225" s="6">
        <v>314</v>
      </c>
      <c r="D225" s="6">
        <v>43.06</v>
      </c>
      <c r="E225" s="6">
        <v>338</v>
      </c>
    </row>
    <row r="226" spans="1:5" x14ac:dyDescent="0.25">
      <c r="A226" s="6" t="s">
        <v>451</v>
      </c>
      <c r="B226" s="6">
        <v>29.65</v>
      </c>
      <c r="C226" s="6">
        <v>253</v>
      </c>
      <c r="D226" s="6">
        <v>34.4</v>
      </c>
      <c r="E226" s="6">
        <v>231</v>
      </c>
    </row>
    <row r="227" spans="1:5" x14ac:dyDescent="0.25">
      <c r="A227" s="6" t="s">
        <v>210</v>
      </c>
      <c r="B227" s="6">
        <v>3.4</v>
      </c>
      <c r="C227" s="6">
        <v>63</v>
      </c>
      <c r="D227" s="6">
        <v>13.77</v>
      </c>
      <c r="E227" s="6">
        <v>100</v>
      </c>
    </row>
    <row r="228" spans="1:5" x14ac:dyDescent="0.25">
      <c r="A228" s="6" t="s">
        <v>905</v>
      </c>
      <c r="B228" s="6">
        <v>85.05</v>
      </c>
      <c r="C228" s="6">
        <v>659</v>
      </c>
      <c r="D228" s="6">
        <v>79.290000000000006</v>
      </c>
      <c r="E228" s="6">
        <v>830</v>
      </c>
    </row>
    <row r="229" spans="1:5" x14ac:dyDescent="0.25">
      <c r="A229" s="6" t="s">
        <v>778</v>
      </c>
      <c r="B229" s="6">
        <v>20.29</v>
      </c>
      <c r="C229" s="6">
        <v>278</v>
      </c>
      <c r="D229" s="6">
        <v>26.05</v>
      </c>
      <c r="E229" s="6">
        <v>322</v>
      </c>
    </row>
    <row r="230" spans="1:5" x14ac:dyDescent="0.25">
      <c r="A230" s="6" t="s">
        <v>91</v>
      </c>
      <c r="B230" s="6">
        <v>3.78</v>
      </c>
      <c r="C230" s="6">
        <v>59</v>
      </c>
      <c r="D230" s="6">
        <v>27.45</v>
      </c>
      <c r="E230" s="6">
        <v>387</v>
      </c>
    </row>
    <row r="231" spans="1:5" x14ac:dyDescent="0.25">
      <c r="A231" s="6" t="s">
        <v>152</v>
      </c>
      <c r="B231" s="6">
        <v>6.57</v>
      </c>
      <c r="C231" s="6">
        <v>95</v>
      </c>
      <c r="D231" s="6">
        <v>40.1</v>
      </c>
      <c r="E231" s="6">
        <v>547</v>
      </c>
    </row>
    <row r="232" spans="1:5" x14ac:dyDescent="0.25">
      <c r="A232" s="6" t="s">
        <v>906</v>
      </c>
      <c r="B232" s="6">
        <v>7.74</v>
      </c>
      <c r="C232" s="6">
        <v>103</v>
      </c>
      <c r="D232" s="6">
        <v>24.06</v>
      </c>
      <c r="E232" s="6">
        <v>173</v>
      </c>
    </row>
    <row r="233" spans="1:5" x14ac:dyDescent="0.25">
      <c r="A233" s="6" t="s">
        <v>672</v>
      </c>
      <c r="B233" s="6">
        <v>1.92</v>
      </c>
      <c r="C233" s="6">
        <v>39</v>
      </c>
      <c r="D233" s="6">
        <v>18.690000000000001</v>
      </c>
      <c r="E233" s="6">
        <v>190</v>
      </c>
    </row>
    <row r="234" spans="1:5" x14ac:dyDescent="0.25">
      <c r="A234" s="6" t="s">
        <v>70</v>
      </c>
      <c r="B234" s="6">
        <v>30.63</v>
      </c>
      <c r="C234" s="6">
        <v>206</v>
      </c>
      <c r="D234" s="6">
        <v>60.97</v>
      </c>
      <c r="E234" s="6">
        <v>371</v>
      </c>
    </row>
    <row r="235" spans="1:5" x14ac:dyDescent="0.25">
      <c r="A235" s="6" t="s">
        <v>907</v>
      </c>
      <c r="B235" s="6">
        <v>5.45</v>
      </c>
      <c r="C235" s="6">
        <v>87</v>
      </c>
      <c r="D235" s="6">
        <v>28.17</v>
      </c>
      <c r="E235" s="6">
        <v>286</v>
      </c>
    </row>
    <row r="236" spans="1:5" x14ac:dyDescent="0.25">
      <c r="A236" s="6" t="s">
        <v>779</v>
      </c>
      <c r="B236" s="6">
        <v>6.11</v>
      </c>
      <c r="C236" s="6">
        <v>96</v>
      </c>
      <c r="D236" s="6">
        <v>35.9</v>
      </c>
      <c r="E236" s="6">
        <v>424</v>
      </c>
    </row>
    <row r="237" spans="1:5" x14ac:dyDescent="0.25">
      <c r="A237" s="6" t="s">
        <v>356</v>
      </c>
      <c r="B237" s="6">
        <v>11.81</v>
      </c>
      <c r="C237" s="6">
        <v>163</v>
      </c>
      <c r="D237" s="6">
        <v>19.11</v>
      </c>
      <c r="E237" s="6">
        <v>123</v>
      </c>
    </row>
    <row r="238" spans="1:5" x14ac:dyDescent="0.25">
      <c r="A238" s="6" t="s">
        <v>908</v>
      </c>
      <c r="B238" s="6">
        <v>26.51</v>
      </c>
      <c r="C238" s="6">
        <v>256</v>
      </c>
      <c r="D238" s="6">
        <v>33.92</v>
      </c>
      <c r="E238" s="6">
        <v>214</v>
      </c>
    </row>
    <row r="239" spans="1:5" x14ac:dyDescent="0.25">
      <c r="A239" s="6" t="s">
        <v>656</v>
      </c>
      <c r="B239" s="6">
        <v>23.44</v>
      </c>
      <c r="C239" s="6">
        <v>156</v>
      </c>
      <c r="D239" s="6">
        <v>37.770000000000003</v>
      </c>
      <c r="E239" s="6">
        <v>254</v>
      </c>
    </row>
    <row r="240" spans="1:5" x14ac:dyDescent="0.25">
      <c r="A240" s="6" t="s">
        <v>220</v>
      </c>
      <c r="B240" s="6">
        <v>29.24</v>
      </c>
      <c r="C240" s="6">
        <v>263</v>
      </c>
      <c r="D240" s="6">
        <v>30.55</v>
      </c>
      <c r="E240" s="6">
        <v>193</v>
      </c>
    </row>
    <row r="241" spans="1:5" x14ac:dyDescent="0.25">
      <c r="A241" s="6" t="s">
        <v>780</v>
      </c>
      <c r="B241" s="6">
        <v>41.06</v>
      </c>
      <c r="C241" s="6">
        <v>334</v>
      </c>
      <c r="D241" s="6">
        <v>54.35</v>
      </c>
      <c r="E241" s="6">
        <v>458</v>
      </c>
    </row>
    <row r="242" spans="1:5" x14ac:dyDescent="0.25">
      <c r="A242" s="6" t="s">
        <v>388</v>
      </c>
      <c r="B242" s="6">
        <v>3.53</v>
      </c>
      <c r="C242" s="6">
        <v>62</v>
      </c>
      <c r="D242" s="6">
        <v>18.86</v>
      </c>
      <c r="E242" s="6">
        <v>232</v>
      </c>
    </row>
    <row r="243" spans="1:5" x14ac:dyDescent="0.25">
      <c r="A243" s="6" t="s">
        <v>909</v>
      </c>
      <c r="B243" s="6">
        <v>10.87</v>
      </c>
      <c r="C243" s="6">
        <v>117</v>
      </c>
      <c r="D243" s="6">
        <v>49.45</v>
      </c>
      <c r="E243" s="6">
        <v>440</v>
      </c>
    </row>
    <row r="244" spans="1:5" x14ac:dyDescent="0.25">
      <c r="A244" s="6" t="s">
        <v>110</v>
      </c>
      <c r="B244" s="6">
        <v>6.7</v>
      </c>
      <c r="C244" s="6">
        <v>108</v>
      </c>
      <c r="D244" s="6">
        <v>46.41</v>
      </c>
      <c r="E244" s="6">
        <v>602</v>
      </c>
    </row>
    <row r="245" spans="1:5" x14ac:dyDescent="0.25">
      <c r="A245" s="6" t="s">
        <v>292</v>
      </c>
      <c r="B245" s="6">
        <v>23.54</v>
      </c>
      <c r="C245" s="6">
        <v>173</v>
      </c>
      <c r="D245" s="6">
        <v>94.48</v>
      </c>
      <c r="E245" s="6">
        <v>825</v>
      </c>
    </row>
    <row r="246" spans="1:5" x14ac:dyDescent="0.25">
      <c r="A246" s="6" t="s">
        <v>781</v>
      </c>
      <c r="B246" s="6">
        <v>16.579999999999998</v>
      </c>
      <c r="C246" s="6">
        <v>229</v>
      </c>
      <c r="D246" s="6">
        <v>33.5</v>
      </c>
      <c r="E246" s="6">
        <v>316</v>
      </c>
    </row>
    <row r="247" spans="1:5" x14ac:dyDescent="0.25">
      <c r="A247" s="6" t="s">
        <v>663</v>
      </c>
      <c r="B247" s="6">
        <v>9.0500000000000007</v>
      </c>
      <c r="C247" s="6">
        <v>96</v>
      </c>
      <c r="D247" s="6">
        <v>28.92</v>
      </c>
      <c r="E247" s="6">
        <v>228</v>
      </c>
    </row>
    <row r="248" spans="1:5" x14ac:dyDescent="0.25">
      <c r="A248" s="6" t="s">
        <v>734</v>
      </c>
      <c r="B248" s="6">
        <v>6.59</v>
      </c>
      <c r="C248" s="6">
        <v>100</v>
      </c>
      <c r="D248" s="6">
        <v>20.99</v>
      </c>
      <c r="E248" s="6">
        <v>173</v>
      </c>
    </row>
    <row r="249" spans="1:5" x14ac:dyDescent="0.25">
      <c r="A249" s="6" t="s">
        <v>613</v>
      </c>
      <c r="B249" s="6">
        <v>3.32</v>
      </c>
      <c r="C249" s="6">
        <v>58</v>
      </c>
      <c r="D249" s="6">
        <v>26.92</v>
      </c>
      <c r="E249" s="6">
        <v>331</v>
      </c>
    </row>
    <row r="250" spans="1:5" x14ac:dyDescent="0.25">
      <c r="A250" s="6" t="s">
        <v>569</v>
      </c>
      <c r="B250" s="6">
        <v>3.29</v>
      </c>
      <c r="C250" s="6">
        <v>62</v>
      </c>
      <c r="D250" s="6">
        <v>23.07</v>
      </c>
      <c r="E250" s="6">
        <v>230</v>
      </c>
    </row>
    <row r="251" spans="1:5" x14ac:dyDescent="0.25">
      <c r="A251" s="6" t="s">
        <v>671</v>
      </c>
      <c r="B251" s="6">
        <v>4.8</v>
      </c>
      <c r="C251" s="6">
        <v>64</v>
      </c>
      <c r="D251" s="6">
        <v>22.76</v>
      </c>
      <c r="E251" s="6">
        <v>213</v>
      </c>
    </row>
    <row r="252" spans="1:5" x14ac:dyDescent="0.25">
      <c r="A252" s="6" t="s">
        <v>255</v>
      </c>
      <c r="B252" s="6">
        <v>13.65</v>
      </c>
      <c r="C252" s="6">
        <v>151</v>
      </c>
      <c r="D252" s="6">
        <v>49.13</v>
      </c>
      <c r="E252" s="6">
        <v>367</v>
      </c>
    </row>
    <row r="253" spans="1:5" x14ac:dyDescent="0.25">
      <c r="A253" s="6" t="s">
        <v>432</v>
      </c>
      <c r="B253" s="6">
        <v>11.32</v>
      </c>
      <c r="C253" s="6">
        <v>137</v>
      </c>
      <c r="D253" s="6">
        <v>29.28</v>
      </c>
      <c r="E253" s="6">
        <v>326</v>
      </c>
    </row>
    <row r="254" spans="1:5" x14ac:dyDescent="0.25">
      <c r="A254" s="6" t="s">
        <v>782</v>
      </c>
      <c r="B254" s="6">
        <v>20.64</v>
      </c>
      <c r="C254" s="6">
        <v>256</v>
      </c>
      <c r="D254" s="6">
        <v>48.82</v>
      </c>
      <c r="E254" s="6">
        <v>428</v>
      </c>
    </row>
    <row r="255" spans="1:5" x14ac:dyDescent="0.25">
      <c r="A255" s="6" t="s">
        <v>223</v>
      </c>
      <c r="B255" s="6">
        <v>17.079999999999998</v>
      </c>
      <c r="C255" s="6">
        <v>170</v>
      </c>
      <c r="D255" s="6">
        <v>21.39</v>
      </c>
      <c r="E255" s="6">
        <v>119</v>
      </c>
    </row>
    <row r="256" spans="1:5" x14ac:dyDescent="0.25">
      <c r="A256" s="6" t="s">
        <v>294</v>
      </c>
      <c r="B256" s="6">
        <v>14.49</v>
      </c>
      <c r="C256" s="6">
        <v>149</v>
      </c>
      <c r="D256" s="6">
        <v>35.14</v>
      </c>
      <c r="E256" s="6">
        <v>249</v>
      </c>
    </row>
    <row r="257" spans="1:5" x14ac:dyDescent="0.25">
      <c r="A257" s="6" t="s">
        <v>726</v>
      </c>
      <c r="B257" s="6">
        <v>8.49</v>
      </c>
      <c r="C257" s="6">
        <v>118</v>
      </c>
      <c r="D257" s="6">
        <v>21.18</v>
      </c>
      <c r="E257" s="6">
        <v>133</v>
      </c>
    </row>
    <row r="258" spans="1:5" x14ac:dyDescent="0.25">
      <c r="A258" s="6" t="s">
        <v>303</v>
      </c>
      <c r="B258" s="6">
        <v>18.63</v>
      </c>
      <c r="C258" s="6">
        <v>181</v>
      </c>
      <c r="D258" s="6">
        <v>52.79</v>
      </c>
      <c r="E258" s="6">
        <v>376</v>
      </c>
    </row>
    <row r="259" spans="1:5" x14ac:dyDescent="0.25">
      <c r="A259" s="6" t="s">
        <v>657</v>
      </c>
      <c r="B259" s="6">
        <v>6.18</v>
      </c>
      <c r="C259" s="6">
        <v>88</v>
      </c>
      <c r="D259" s="6">
        <v>35.28</v>
      </c>
      <c r="E259" s="6">
        <v>317</v>
      </c>
    </row>
    <row r="260" spans="1:5" x14ac:dyDescent="0.25">
      <c r="A260" s="6" t="s">
        <v>601</v>
      </c>
      <c r="B260" s="6">
        <v>5.7</v>
      </c>
      <c r="C260" s="6">
        <v>91</v>
      </c>
      <c r="D260" s="6">
        <v>33.67</v>
      </c>
      <c r="E260" s="6">
        <v>426</v>
      </c>
    </row>
    <row r="261" spans="1:5" x14ac:dyDescent="0.25">
      <c r="A261" s="6" t="s">
        <v>365</v>
      </c>
      <c r="B261" s="6">
        <v>8.2799999999999994</v>
      </c>
      <c r="C261" s="6">
        <v>114</v>
      </c>
      <c r="D261" s="6">
        <v>19.96</v>
      </c>
      <c r="E261" s="6">
        <v>189</v>
      </c>
    </row>
    <row r="262" spans="1:5" x14ac:dyDescent="0.25">
      <c r="A262" s="6" t="s">
        <v>298</v>
      </c>
      <c r="B262" s="6">
        <v>9.81</v>
      </c>
      <c r="C262" s="6">
        <v>137</v>
      </c>
      <c r="D262" s="6">
        <v>30.92</v>
      </c>
      <c r="E262" s="6">
        <v>247</v>
      </c>
    </row>
    <row r="263" spans="1:5" x14ac:dyDescent="0.25">
      <c r="A263" s="6" t="s">
        <v>154</v>
      </c>
      <c r="B263" s="6">
        <v>12.72</v>
      </c>
      <c r="C263" s="6">
        <v>158</v>
      </c>
      <c r="D263" s="6">
        <v>41.86</v>
      </c>
      <c r="E263" s="6">
        <v>553</v>
      </c>
    </row>
    <row r="264" spans="1:5" x14ac:dyDescent="0.25">
      <c r="A264" s="6" t="s">
        <v>910</v>
      </c>
      <c r="B264" s="6">
        <v>7.01</v>
      </c>
      <c r="C264" s="6">
        <v>117</v>
      </c>
      <c r="D264" s="6">
        <v>13.58</v>
      </c>
      <c r="E264" s="6">
        <v>239</v>
      </c>
    </row>
    <row r="265" spans="1:5" x14ac:dyDescent="0.25">
      <c r="A265" s="6" t="s">
        <v>542</v>
      </c>
      <c r="B265" s="6">
        <v>4.16</v>
      </c>
      <c r="C265" s="6">
        <v>72</v>
      </c>
      <c r="D265" s="6">
        <v>29.54</v>
      </c>
      <c r="E265" s="6">
        <v>460</v>
      </c>
    </row>
    <row r="266" spans="1:5" x14ac:dyDescent="0.25">
      <c r="A266" s="6" t="s">
        <v>784</v>
      </c>
      <c r="B266" s="6">
        <v>17.809999999999999</v>
      </c>
      <c r="C266" s="6">
        <v>225</v>
      </c>
      <c r="D266" s="6">
        <v>21.37</v>
      </c>
      <c r="E266" s="6">
        <v>143</v>
      </c>
    </row>
    <row r="267" spans="1:5" x14ac:dyDescent="0.25">
      <c r="A267" s="6" t="s">
        <v>10</v>
      </c>
      <c r="B267" s="6">
        <v>5.2</v>
      </c>
      <c r="C267" s="6">
        <v>89</v>
      </c>
      <c r="D267" s="6">
        <v>13.14</v>
      </c>
      <c r="E267" s="6">
        <v>178</v>
      </c>
    </row>
    <row r="268" spans="1:5" x14ac:dyDescent="0.25">
      <c r="A268" s="6" t="s">
        <v>594</v>
      </c>
      <c r="B268" s="6">
        <v>4.9800000000000004</v>
      </c>
      <c r="C268" s="6">
        <v>86</v>
      </c>
      <c r="D268" s="6">
        <v>30.12</v>
      </c>
      <c r="E268" s="6">
        <v>517</v>
      </c>
    </row>
    <row r="269" spans="1:5" x14ac:dyDescent="0.25">
      <c r="A269" s="6" t="s">
        <v>627</v>
      </c>
      <c r="B269" s="6">
        <v>4.3</v>
      </c>
      <c r="C269" s="6">
        <v>72</v>
      </c>
      <c r="D269" s="6">
        <v>30.24</v>
      </c>
      <c r="E269" s="6">
        <v>293</v>
      </c>
    </row>
    <row r="270" spans="1:5" x14ac:dyDescent="0.25">
      <c r="A270" s="6" t="s">
        <v>353</v>
      </c>
      <c r="B270" s="6">
        <v>3.8</v>
      </c>
      <c r="C270" s="6">
        <v>66</v>
      </c>
      <c r="D270" s="6">
        <v>13.46</v>
      </c>
      <c r="E270" s="6">
        <v>176</v>
      </c>
    </row>
    <row r="271" spans="1:5" x14ac:dyDescent="0.25">
      <c r="A271" s="6" t="s">
        <v>181</v>
      </c>
      <c r="B271" s="6">
        <v>37.33</v>
      </c>
      <c r="C271" s="6">
        <v>268</v>
      </c>
      <c r="D271" s="6">
        <v>29.04</v>
      </c>
      <c r="E271" s="6">
        <v>178</v>
      </c>
    </row>
    <row r="272" spans="1:5" x14ac:dyDescent="0.25">
      <c r="A272" s="6" t="s">
        <v>785</v>
      </c>
      <c r="B272" s="6">
        <v>46.26</v>
      </c>
      <c r="C272" s="6">
        <v>284</v>
      </c>
      <c r="D272" s="6">
        <v>58.57</v>
      </c>
      <c r="E272" s="6">
        <v>494</v>
      </c>
    </row>
    <row r="273" spans="1:5" x14ac:dyDescent="0.25">
      <c r="A273" s="6" t="s">
        <v>911</v>
      </c>
      <c r="B273" s="6">
        <v>20.13</v>
      </c>
      <c r="C273" s="6">
        <v>204</v>
      </c>
      <c r="D273" s="6">
        <v>61.77</v>
      </c>
      <c r="E273" s="6">
        <v>726</v>
      </c>
    </row>
    <row r="274" spans="1:5" x14ac:dyDescent="0.25">
      <c r="A274" s="6" t="s">
        <v>434</v>
      </c>
      <c r="B274" s="6">
        <v>4.6100000000000003</v>
      </c>
      <c r="C274" s="6">
        <v>78</v>
      </c>
      <c r="D274" s="6">
        <v>29.5</v>
      </c>
      <c r="E274" s="6">
        <v>282</v>
      </c>
    </row>
    <row r="275" spans="1:5" x14ac:dyDescent="0.25">
      <c r="A275" s="6" t="s">
        <v>912</v>
      </c>
      <c r="B275" s="6">
        <v>11.71</v>
      </c>
      <c r="C275" s="6">
        <v>154</v>
      </c>
      <c r="D275" s="6">
        <v>16.73</v>
      </c>
      <c r="E275" s="6">
        <v>257</v>
      </c>
    </row>
    <row r="276" spans="1:5" x14ac:dyDescent="0.25">
      <c r="A276" s="6" t="s">
        <v>139</v>
      </c>
      <c r="B276" s="6">
        <v>10.88</v>
      </c>
      <c r="C276" s="6">
        <v>126</v>
      </c>
      <c r="D276" s="6">
        <v>36.450000000000003</v>
      </c>
      <c r="E276" s="6">
        <v>363</v>
      </c>
    </row>
    <row r="277" spans="1:5" x14ac:dyDescent="0.25">
      <c r="A277" s="6" t="s">
        <v>596</v>
      </c>
      <c r="B277" s="6">
        <v>17.920000000000002</v>
      </c>
      <c r="C277" s="6">
        <v>139</v>
      </c>
      <c r="D277" s="6">
        <v>49.03</v>
      </c>
      <c r="E277" s="6">
        <v>406</v>
      </c>
    </row>
    <row r="278" spans="1:5" x14ac:dyDescent="0.25">
      <c r="A278" s="6" t="s">
        <v>393</v>
      </c>
      <c r="B278" s="6">
        <v>9.1199999999999992</v>
      </c>
      <c r="C278" s="6">
        <v>114</v>
      </c>
      <c r="D278" s="6">
        <v>29.85</v>
      </c>
      <c r="E278" s="6">
        <v>214</v>
      </c>
    </row>
    <row r="279" spans="1:5" x14ac:dyDescent="0.25">
      <c r="A279" s="6" t="s">
        <v>913</v>
      </c>
      <c r="B279" s="6">
        <v>15.43</v>
      </c>
      <c r="C279" s="6">
        <v>146</v>
      </c>
      <c r="D279" s="6">
        <v>76.680000000000007</v>
      </c>
      <c r="E279" s="6">
        <v>598</v>
      </c>
    </row>
    <row r="280" spans="1:5" x14ac:dyDescent="0.25">
      <c r="A280" s="6" t="s">
        <v>631</v>
      </c>
      <c r="B280" s="6">
        <v>13.75</v>
      </c>
      <c r="C280" s="6">
        <v>160</v>
      </c>
      <c r="D280" s="6">
        <v>30.59</v>
      </c>
      <c r="E280" s="6">
        <v>357</v>
      </c>
    </row>
    <row r="281" spans="1:5" x14ac:dyDescent="0.25">
      <c r="A281" s="6" t="s">
        <v>1</v>
      </c>
      <c r="B281" s="6">
        <v>5.33</v>
      </c>
      <c r="C281" s="6">
        <v>86</v>
      </c>
      <c r="D281" s="6">
        <v>35.53</v>
      </c>
      <c r="E281" s="6">
        <v>355</v>
      </c>
    </row>
    <row r="282" spans="1:5" x14ac:dyDescent="0.25">
      <c r="A282" s="6" t="s">
        <v>296</v>
      </c>
      <c r="B282" s="6">
        <v>12.06</v>
      </c>
      <c r="C282" s="6">
        <v>137</v>
      </c>
      <c r="D282" s="6">
        <v>40.299999999999997</v>
      </c>
      <c r="E282" s="6">
        <v>361</v>
      </c>
    </row>
    <row r="283" spans="1:5" x14ac:dyDescent="0.25">
      <c r="A283" s="6" t="s">
        <v>786</v>
      </c>
      <c r="B283" s="6">
        <v>5.38</v>
      </c>
      <c r="C283" s="6">
        <v>86</v>
      </c>
      <c r="D283" s="6">
        <v>26.92</v>
      </c>
      <c r="E283" s="6">
        <v>310</v>
      </c>
    </row>
    <row r="284" spans="1:5" x14ac:dyDescent="0.25">
      <c r="A284" s="6" t="s">
        <v>649</v>
      </c>
      <c r="B284" s="6">
        <v>6.95</v>
      </c>
      <c r="C284" s="6">
        <v>114</v>
      </c>
      <c r="D284" s="6">
        <v>16.7</v>
      </c>
      <c r="E284" s="6">
        <v>124</v>
      </c>
    </row>
    <row r="285" spans="1:5" x14ac:dyDescent="0.25">
      <c r="A285" s="6" t="s">
        <v>693</v>
      </c>
      <c r="B285" s="6">
        <v>6.91</v>
      </c>
      <c r="C285" s="6">
        <v>112</v>
      </c>
      <c r="D285" s="6">
        <v>48.11</v>
      </c>
      <c r="E285" s="6">
        <v>588</v>
      </c>
    </row>
    <row r="286" spans="1:5" x14ac:dyDescent="0.25">
      <c r="A286" s="6" t="s">
        <v>494</v>
      </c>
      <c r="B286" s="6">
        <v>3.79</v>
      </c>
      <c r="C286" s="6">
        <v>75</v>
      </c>
      <c r="D286" s="6">
        <v>14.67</v>
      </c>
      <c r="E286" s="6">
        <v>145</v>
      </c>
    </row>
    <row r="287" spans="1:5" x14ac:dyDescent="0.25">
      <c r="A287" s="6" t="s">
        <v>787</v>
      </c>
      <c r="B287" s="6">
        <v>14.67</v>
      </c>
      <c r="C287" s="6">
        <v>158</v>
      </c>
      <c r="D287" s="6">
        <v>68.930000000000007</v>
      </c>
      <c r="E287" s="6">
        <v>464</v>
      </c>
    </row>
    <row r="288" spans="1:5" x14ac:dyDescent="0.25">
      <c r="A288" s="6" t="s">
        <v>7</v>
      </c>
      <c r="B288" s="6">
        <v>11.01</v>
      </c>
      <c r="C288" s="6">
        <v>151</v>
      </c>
      <c r="D288" s="6">
        <v>25.93</v>
      </c>
      <c r="E288" s="6">
        <v>325</v>
      </c>
    </row>
    <row r="289" spans="1:5" x14ac:dyDescent="0.25">
      <c r="A289" s="6" t="s">
        <v>493</v>
      </c>
      <c r="B289" s="6">
        <v>13.97</v>
      </c>
      <c r="C289" s="6">
        <v>150</v>
      </c>
      <c r="D289" s="6">
        <v>38.64</v>
      </c>
      <c r="E289" s="6">
        <v>257</v>
      </c>
    </row>
    <row r="290" spans="1:5" x14ac:dyDescent="0.25">
      <c r="A290" s="6" t="s">
        <v>460</v>
      </c>
      <c r="B290" s="6">
        <v>5.24</v>
      </c>
      <c r="C290" s="6">
        <v>65</v>
      </c>
      <c r="D290" s="6">
        <v>14.6</v>
      </c>
      <c r="E290" s="6">
        <v>111</v>
      </c>
    </row>
    <row r="291" spans="1:5" x14ac:dyDescent="0.25">
      <c r="A291" s="6" t="s">
        <v>318</v>
      </c>
      <c r="B291" s="6">
        <v>10.9</v>
      </c>
      <c r="C291" s="6">
        <v>133</v>
      </c>
      <c r="D291" s="6">
        <v>32.74</v>
      </c>
      <c r="E291" s="6">
        <v>306</v>
      </c>
    </row>
    <row r="292" spans="1:5" x14ac:dyDescent="0.25">
      <c r="A292" s="6" t="s">
        <v>150</v>
      </c>
      <c r="B292" s="6">
        <v>6.42</v>
      </c>
      <c r="C292" s="6">
        <v>94</v>
      </c>
      <c r="D292" s="6">
        <v>45.8</v>
      </c>
      <c r="E292" s="6">
        <v>463</v>
      </c>
    </row>
    <row r="293" spans="1:5" x14ac:dyDescent="0.25">
      <c r="A293" s="6" t="s">
        <v>147</v>
      </c>
      <c r="B293" s="6">
        <v>7.94</v>
      </c>
      <c r="C293" s="6">
        <v>108</v>
      </c>
      <c r="D293" s="6">
        <v>35.86</v>
      </c>
      <c r="E293" s="6">
        <v>370</v>
      </c>
    </row>
    <row r="294" spans="1:5" x14ac:dyDescent="0.25">
      <c r="A294" s="6" t="s">
        <v>483</v>
      </c>
      <c r="B294" s="6">
        <v>8.85</v>
      </c>
      <c r="C294" s="6">
        <v>104</v>
      </c>
      <c r="D294" s="6">
        <v>23.95</v>
      </c>
      <c r="E294" s="6">
        <v>231</v>
      </c>
    </row>
    <row r="295" spans="1:5" x14ac:dyDescent="0.25">
      <c r="A295" s="6" t="s">
        <v>308</v>
      </c>
      <c r="B295" s="6">
        <v>8.18</v>
      </c>
      <c r="C295" s="6">
        <v>125</v>
      </c>
      <c r="D295" s="6">
        <v>22.32</v>
      </c>
      <c r="E295" s="6">
        <v>270</v>
      </c>
    </row>
    <row r="296" spans="1:5" x14ac:dyDescent="0.25">
      <c r="A296" s="6" t="s">
        <v>788</v>
      </c>
      <c r="B296" s="6">
        <v>16.739999999999998</v>
      </c>
      <c r="C296" s="6">
        <v>184</v>
      </c>
      <c r="D296" s="6">
        <v>91.78</v>
      </c>
      <c r="E296" s="6">
        <v>854</v>
      </c>
    </row>
    <row r="297" spans="1:5" x14ac:dyDescent="0.25">
      <c r="A297" s="6" t="s">
        <v>664</v>
      </c>
      <c r="B297" s="6">
        <v>7.32</v>
      </c>
      <c r="C297" s="6">
        <v>107</v>
      </c>
      <c r="D297" s="6">
        <v>25.27</v>
      </c>
      <c r="E297" s="6">
        <v>270</v>
      </c>
    </row>
    <row r="298" spans="1:5" x14ac:dyDescent="0.25">
      <c r="A298" s="6" t="s">
        <v>404</v>
      </c>
      <c r="B298" s="6">
        <v>2.98</v>
      </c>
      <c r="C298" s="6">
        <v>52</v>
      </c>
      <c r="D298" s="6">
        <v>23.21</v>
      </c>
      <c r="E298" s="6">
        <v>222</v>
      </c>
    </row>
    <row r="299" spans="1:5" x14ac:dyDescent="0.25">
      <c r="A299" s="6" t="s">
        <v>117</v>
      </c>
      <c r="B299" s="6">
        <v>4.21</v>
      </c>
      <c r="C299" s="6">
        <v>76</v>
      </c>
      <c r="D299" s="6">
        <v>15.94</v>
      </c>
      <c r="E299" s="6">
        <v>158</v>
      </c>
    </row>
    <row r="300" spans="1:5" x14ac:dyDescent="0.25">
      <c r="A300" s="6" t="s">
        <v>789</v>
      </c>
      <c r="B300" s="6">
        <v>18.98</v>
      </c>
      <c r="C300" s="6">
        <v>268</v>
      </c>
      <c r="D300" s="6">
        <v>12.54</v>
      </c>
      <c r="E300" s="6">
        <v>66</v>
      </c>
    </row>
    <row r="301" spans="1:5" x14ac:dyDescent="0.25">
      <c r="A301" s="6" t="s">
        <v>90</v>
      </c>
      <c r="B301" s="6">
        <v>11.36</v>
      </c>
      <c r="C301" s="6">
        <v>125</v>
      </c>
      <c r="D301" s="6">
        <v>33.22</v>
      </c>
      <c r="E301" s="6">
        <v>252</v>
      </c>
    </row>
    <row r="302" spans="1:5" x14ac:dyDescent="0.25">
      <c r="A302" s="6" t="s">
        <v>286</v>
      </c>
      <c r="B302" s="6">
        <v>20.059999999999999</v>
      </c>
      <c r="C302" s="6">
        <v>151</v>
      </c>
      <c r="D302" s="6">
        <v>76.39</v>
      </c>
      <c r="E302" s="6">
        <v>666</v>
      </c>
    </row>
    <row r="303" spans="1:5" x14ac:dyDescent="0.25">
      <c r="A303" s="6" t="s">
        <v>290</v>
      </c>
      <c r="B303" s="6">
        <v>4.76</v>
      </c>
      <c r="C303" s="6">
        <v>81</v>
      </c>
      <c r="D303" s="6">
        <v>27.27</v>
      </c>
      <c r="E303" s="6">
        <v>313</v>
      </c>
    </row>
    <row r="304" spans="1:5" x14ac:dyDescent="0.25">
      <c r="A304" s="6" t="s">
        <v>127</v>
      </c>
      <c r="B304" s="6">
        <v>11.99</v>
      </c>
      <c r="C304" s="6">
        <v>111</v>
      </c>
      <c r="D304" s="6">
        <v>26.18</v>
      </c>
      <c r="E304" s="6">
        <v>189</v>
      </c>
    </row>
    <row r="305" spans="1:5" x14ac:dyDescent="0.25">
      <c r="A305" s="6" t="s">
        <v>566</v>
      </c>
      <c r="B305" s="6">
        <v>11.27</v>
      </c>
      <c r="C305" s="6">
        <v>100</v>
      </c>
      <c r="D305" s="6">
        <v>34.19</v>
      </c>
      <c r="E305" s="6">
        <v>274</v>
      </c>
    </row>
    <row r="306" spans="1:5" x14ac:dyDescent="0.25">
      <c r="A306" s="6" t="s">
        <v>790</v>
      </c>
      <c r="B306" s="6">
        <v>4.91</v>
      </c>
      <c r="C306" s="6">
        <v>92</v>
      </c>
      <c r="D306" s="6">
        <v>15.51</v>
      </c>
      <c r="E306" s="6">
        <v>130</v>
      </c>
    </row>
    <row r="307" spans="1:5" x14ac:dyDescent="0.25">
      <c r="A307" s="6" t="s">
        <v>791</v>
      </c>
      <c r="B307" s="6">
        <v>8.41</v>
      </c>
      <c r="C307" s="6">
        <v>100</v>
      </c>
      <c r="D307" s="6">
        <v>43.71</v>
      </c>
      <c r="E307" s="6">
        <v>448</v>
      </c>
    </row>
    <row r="308" spans="1:5" x14ac:dyDescent="0.25">
      <c r="A308" s="6" t="s">
        <v>266</v>
      </c>
      <c r="B308" s="6">
        <v>14.52</v>
      </c>
      <c r="C308" s="6">
        <v>186</v>
      </c>
      <c r="D308" s="6">
        <v>24.7</v>
      </c>
      <c r="E308" s="6">
        <v>236</v>
      </c>
    </row>
    <row r="309" spans="1:5" x14ac:dyDescent="0.25">
      <c r="A309" s="6" t="s">
        <v>914</v>
      </c>
      <c r="B309" s="6">
        <v>89.34</v>
      </c>
      <c r="C309" s="6">
        <v>437</v>
      </c>
      <c r="D309" s="6">
        <v>54.13</v>
      </c>
      <c r="E309" s="6">
        <v>313</v>
      </c>
    </row>
    <row r="310" spans="1:5" x14ac:dyDescent="0.25">
      <c r="A310" s="6" t="s">
        <v>730</v>
      </c>
      <c r="B310" s="6">
        <v>1.72</v>
      </c>
      <c r="C310" s="6">
        <v>23</v>
      </c>
      <c r="D310" s="6">
        <v>12.06</v>
      </c>
      <c r="E310" s="6">
        <v>93</v>
      </c>
    </row>
    <row r="311" spans="1:5" x14ac:dyDescent="0.25">
      <c r="A311" s="6" t="s">
        <v>9</v>
      </c>
      <c r="B311" s="6">
        <v>3.39</v>
      </c>
      <c r="C311" s="6">
        <v>65</v>
      </c>
      <c r="D311" s="6">
        <v>22.29</v>
      </c>
      <c r="E311" s="6">
        <v>197</v>
      </c>
    </row>
    <row r="312" spans="1:5" x14ac:dyDescent="0.25">
      <c r="A312" s="6" t="s">
        <v>249</v>
      </c>
      <c r="B312" s="6">
        <v>18.670000000000002</v>
      </c>
      <c r="C312" s="6">
        <v>197</v>
      </c>
      <c r="D312" s="6">
        <v>22.7</v>
      </c>
      <c r="E312" s="6">
        <v>143</v>
      </c>
    </row>
    <row r="313" spans="1:5" x14ac:dyDescent="0.25">
      <c r="A313" s="6" t="s">
        <v>287</v>
      </c>
      <c r="B313" s="6">
        <v>9.49</v>
      </c>
      <c r="C313" s="6">
        <v>115</v>
      </c>
      <c r="D313" s="6">
        <v>36.07</v>
      </c>
      <c r="E313" s="6">
        <v>312</v>
      </c>
    </row>
    <row r="314" spans="1:5" x14ac:dyDescent="0.25">
      <c r="A314" s="6" t="s">
        <v>477</v>
      </c>
      <c r="B314" s="6">
        <v>5.99</v>
      </c>
      <c r="C314" s="6">
        <v>69</v>
      </c>
      <c r="D314" s="6">
        <v>23.63</v>
      </c>
      <c r="E314" s="6">
        <v>210</v>
      </c>
    </row>
    <row r="315" spans="1:5" x14ac:dyDescent="0.25">
      <c r="A315" s="6" t="s">
        <v>234</v>
      </c>
      <c r="B315" s="6">
        <v>4.7300000000000004</v>
      </c>
      <c r="C315" s="6">
        <v>73</v>
      </c>
      <c r="D315" s="6">
        <v>31.61</v>
      </c>
      <c r="E315" s="6">
        <v>252</v>
      </c>
    </row>
    <row r="316" spans="1:5" x14ac:dyDescent="0.25">
      <c r="A316" s="6" t="s">
        <v>276</v>
      </c>
      <c r="B316" s="6">
        <v>3.92</v>
      </c>
      <c r="C316" s="6">
        <v>64</v>
      </c>
      <c r="D316" s="6">
        <v>14.83</v>
      </c>
      <c r="E316" s="6">
        <v>150</v>
      </c>
    </row>
    <row r="317" spans="1:5" x14ac:dyDescent="0.25">
      <c r="A317" s="6" t="s">
        <v>792</v>
      </c>
      <c r="B317" s="6">
        <v>42</v>
      </c>
      <c r="C317" s="6">
        <v>341</v>
      </c>
      <c r="D317" s="6">
        <v>56.84</v>
      </c>
      <c r="E317" s="6">
        <v>599</v>
      </c>
    </row>
    <row r="318" spans="1:5" x14ac:dyDescent="0.25">
      <c r="A318" s="6" t="s">
        <v>609</v>
      </c>
      <c r="B318" s="6">
        <v>6.63</v>
      </c>
      <c r="C318" s="6">
        <v>107</v>
      </c>
      <c r="D318" s="6">
        <v>29.33</v>
      </c>
      <c r="E318" s="6">
        <v>353</v>
      </c>
    </row>
    <row r="319" spans="1:5" x14ac:dyDescent="0.25">
      <c r="A319" s="6" t="s">
        <v>109</v>
      </c>
      <c r="B319" s="6">
        <v>3.64</v>
      </c>
      <c r="C319" s="6">
        <v>73</v>
      </c>
      <c r="D319" s="6">
        <v>22.12</v>
      </c>
      <c r="E319" s="6">
        <v>294</v>
      </c>
    </row>
    <row r="320" spans="1:5" x14ac:dyDescent="0.25">
      <c r="A320" s="6" t="s">
        <v>692</v>
      </c>
      <c r="B320" s="6">
        <v>1.84</v>
      </c>
      <c r="C320" s="6">
        <v>47</v>
      </c>
      <c r="D320" s="6">
        <v>19.78</v>
      </c>
      <c r="E320" s="6">
        <v>365</v>
      </c>
    </row>
    <row r="321" spans="1:5" x14ac:dyDescent="0.25">
      <c r="A321" s="6" t="s">
        <v>160</v>
      </c>
      <c r="B321" s="6">
        <v>3.61</v>
      </c>
      <c r="C321" s="6">
        <v>73</v>
      </c>
      <c r="D321" s="6">
        <v>18.36</v>
      </c>
      <c r="E321" s="6">
        <v>229</v>
      </c>
    </row>
    <row r="322" spans="1:5" x14ac:dyDescent="0.25">
      <c r="A322" s="6" t="s">
        <v>666</v>
      </c>
      <c r="B322" s="6">
        <v>1.59</v>
      </c>
      <c r="C322" s="6">
        <v>44</v>
      </c>
      <c r="D322" s="6">
        <v>11.85</v>
      </c>
      <c r="E322" s="6">
        <v>132</v>
      </c>
    </row>
    <row r="323" spans="1:5" x14ac:dyDescent="0.25">
      <c r="A323" s="6" t="s">
        <v>200</v>
      </c>
      <c r="B323" s="6">
        <v>16.57</v>
      </c>
      <c r="C323" s="6">
        <v>223</v>
      </c>
      <c r="D323" s="6">
        <v>18.04</v>
      </c>
      <c r="E323" s="6">
        <v>200</v>
      </c>
    </row>
    <row r="324" spans="1:5" x14ac:dyDescent="0.25">
      <c r="A324" s="6" t="s">
        <v>336</v>
      </c>
      <c r="B324" s="6">
        <v>4.92</v>
      </c>
      <c r="C324" s="6">
        <v>101</v>
      </c>
      <c r="D324" s="6">
        <v>26.21</v>
      </c>
      <c r="E324" s="6">
        <v>313</v>
      </c>
    </row>
    <row r="325" spans="1:5" x14ac:dyDescent="0.25">
      <c r="A325" s="6" t="s">
        <v>614</v>
      </c>
      <c r="B325" s="6">
        <v>2.2799999999999998</v>
      </c>
      <c r="C325" s="6">
        <v>55</v>
      </c>
      <c r="D325" s="6">
        <v>14.05</v>
      </c>
      <c r="E325" s="6">
        <v>204</v>
      </c>
    </row>
    <row r="326" spans="1:5" x14ac:dyDescent="0.25">
      <c r="A326" s="6" t="s">
        <v>392</v>
      </c>
      <c r="B326" s="6">
        <v>12.72</v>
      </c>
      <c r="C326" s="6">
        <v>172</v>
      </c>
      <c r="D326" s="6">
        <v>24.79</v>
      </c>
      <c r="E326" s="6">
        <v>282</v>
      </c>
    </row>
    <row r="327" spans="1:5" x14ac:dyDescent="0.25">
      <c r="A327" s="6" t="s">
        <v>102</v>
      </c>
      <c r="B327" s="6">
        <v>11.63</v>
      </c>
      <c r="C327" s="6">
        <v>182</v>
      </c>
      <c r="D327" s="6">
        <v>29.44</v>
      </c>
      <c r="E327" s="6">
        <v>289</v>
      </c>
    </row>
    <row r="328" spans="1:5" x14ac:dyDescent="0.25">
      <c r="A328" s="6" t="s">
        <v>915</v>
      </c>
      <c r="B328" s="6">
        <v>9.6199999999999992</v>
      </c>
      <c r="C328" s="6">
        <v>117</v>
      </c>
      <c r="D328" s="6">
        <v>18.739999999999998</v>
      </c>
      <c r="E328" s="6">
        <v>149</v>
      </c>
    </row>
    <row r="329" spans="1:5" x14ac:dyDescent="0.25">
      <c r="A329" s="6" t="s">
        <v>519</v>
      </c>
      <c r="B329" s="6">
        <v>2.5099999999999998</v>
      </c>
      <c r="C329" s="6">
        <v>60</v>
      </c>
      <c r="D329" s="6">
        <v>10.37</v>
      </c>
      <c r="E329" s="6">
        <v>104</v>
      </c>
    </row>
    <row r="330" spans="1:5" x14ac:dyDescent="0.25">
      <c r="A330" s="6" t="s">
        <v>793</v>
      </c>
      <c r="B330" s="6">
        <v>11.9</v>
      </c>
      <c r="C330" s="6">
        <v>146</v>
      </c>
      <c r="D330" s="6">
        <v>26.92</v>
      </c>
      <c r="E330" s="6">
        <v>295</v>
      </c>
    </row>
    <row r="331" spans="1:5" x14ac:dyDescent="0.25">
      <c r="A331" s="6" t="s">
        <v>77</v>
      </c>
      <c r="B331" s="6">
        <v>9.42</v>
      </c>
      <c r="C331" s="6">
        <v>151</v>
      </c>
      <c r="D331" s="6">
        <v>14.13</v>
      </c>
      <c r="E331" s="6">
        <v>208</v>
      </c>
    </row>
    <row r="332" spans="1:5" x14ac:dyDescent="0.25">
      <c r="A332" s="6" t="s">
        <v>325</v>
      </c>
      <c r="B332" s="6">
        <v>10.92</v>
      </c>
      <c r="C332" s="6">
        <v>140</v>
      </c>
      <c r="D332" s="6">
        <v>30.76</v>
      </c>
      <c r="E332" s="6">
        <v>303</v>
      </c>
    </row>
    <row r="333" spans="1:5" x14ac:dyDescent="0.25">
      <c r="A333" s="6" t="s">
        <v>592</v>
      </c>
      <c r="B333" s="6">
        <v>10</v>
      </c>
      <c r="C333" s="6">
        <v>154</v>
      </c>
      <c r="D333" s="6">
        <v>37.409999999999997</v>
      </c>
      <c r="E333" s="6">
        <v>435</v>
      </c>
    </row>
    <row r="334" spans="1:5" x14ac:dyDescent="0.25">
      <c r="A334" s="6" t="s">
        <v>916</v>
      </c>
      <c r="B334" s="6">
        <v>5.54</v>
      </c>
      <c r="C334" s="6">
        <v>118</v>
      </c>
      <c r="D334" s="6">
        <v>18.579999999999998</v>
      </c>
      <c r="E334" s="6">
        <v>214</v>
      </c>
    </row>
    <row r="335" spans="1:5" x14ac:dyDescent="0.25">
      <c r="A335" s="6" t="s">
        <v>429</v>
      </c>
      <c r="B335" s="6">
        <v>2.17</v>
      </c>
      <c r="C335" s="6">
        <v>52</v>
      </c>
      <c r="D335" s="6">
        <v>16.03</v>
      </c>
      <c r="E335" s="6">
        <v>198</v>
      </c>
    </row>
    <row r="336" spans="1:5" x14ac:dyDescent="0.25">
      <c r="A336" s="6" t="s">
        <v>78</v>
      </c>
      <c r="B336" s="6">
        <v>23.49</v>
      </c>
      <c r="C336" s="6">
        <v>236</v>
      </c>
      <c r="D336" s="6">
        <v>64.92</v>
      </c>
      <c r="E336" s="6">
        <v>662</v>
      </c>
    </row>
    <row r="337" spans="1:5" x14ac:dyDescent="0.25">
      <c r="A337" s="6" t="s">
        <v>468</v>
      </c>
      <c r="B337" s="6">
        <v>4.41</v>
      </c>
      <c r="C337" s="6">
        <v>92</v>
      </c>
      <c r="D337" s="6">
        <v>22.42</v>
      </c>
      <c r="E337" s="6">
        <v>338</v>
      </c>
    </row>
    <row r="338" spans="1:5" x14ac:dyDescent="0.25">
      <c r="A338" s="6" t="s">
        <v>603</v>
      </c>
      <c r="B338" s="6">
        <v>12.04</v>
      </c>
      <c r="C338" s="6">
        <v>163</v>
      </c>
      <c r="D338" s="6">
        <v>25.84</v>
      </c>
      <c r="E338" s="6">
        <v>322</v>
      </c>
    </row>
    <row r="339" spans="1:5" x14ac:dyDescent="0.25">
      <c r="A339" s="6" t="s">
        <v>740</v>
      </c>
      <c r="B339" s="6">
        <v>3.23</v>
      </c>
      <c r="C339" s="6">
        <v>64</v>
      </c>
      <c r="D339" s="6">
        <v>28.08</v>
      </c>
      <c r="E339" s="6">
        <v>339</v>
      </c>
    </row>
    <row r="340" spans="1:5" x14ac:dyDescent="0.25">
      <c r="A340" s="6" t="s">
        <v>362</v>
      </c>
      <c r="B340" s="6">
        <v>12.89</v>
      </c>
      <c r="C340" s="6">
        <v>171</v>
      </c>
      <c r="D340" s="6">
        <v>22.89</v>
      </c>
      <c r="E340" s="6">
        <v>279</v>
      </c>
    </row>
    <row r="341" spans="1:5" x14ac:dyDescent="0.25">
      <c r="A341" s="6" t="s">
        <v>38</v>
      </c>
      <c r="B341" s="6">
        <v>6.01</v>
      </c>
      <c r="C341" s="6">
        <v>103</v>
      </c>
      <c r="D341" s="6">
        <v>23.06</v>
      </c>
      <c r="E341" s="6">
        <v>333</v>
      </c>
    </row>
    <row r="342" spans="1:5" x14ac:dyDescent="0.25">
      <c r="A342" s="6" t="s">
        <v>182</v>
      </c>
      <c r="B342" s="6">
        <v>2.38</v>
      </c>
      <c r="C342" s="6">
        <v>57</v>
      </c>
      <c r="D342" s="6">
        <v>9.6999999999999993</v>
      </c>
      <c r="E342" s="6">
        <v>93</v>
      </c>
    </row>
    <row r="343" spans="1:5" x14ac:dyDescent="0.25">
      <c r="A343" s="6" t="s">
        <v>917</v>
      </c>
      <c r="B343" s="6">
        <v>12.85</v>
      </c>
      <c r="C343" s="6">
        <v>226</v>
      </c>
      <c r="D343" s="6">
        <v>32.49</v>
      </c>
      <c r="E343" s="6">
        <v>423</v>
      </c>
    </row>
    <row r="344" spans="1:5" x14ac:dyDescent="0.25">
      <c r="A344" s="6" t="s">
        <v>43</v>
      </c>
      <c r="B344" s="6">
        <v>8.69</v>
      </c>
      <c r="C344" s="6">
        <v>130</v>
      </c>
      <c r="D344" s="6">
        <v>19.420000000000002</v>
      </c>
      <c r="E344" s="6">
        <v>257</v>
      </c>
    </row>
    <row r="345" spans="1:5" x14ac:dyDescent="0.25">
      <c r="A345" s="6" t="s">
        <v>696</v>
      </c>
      <c r="B345" s="6">
        <v>4.45</v>
      </c>
      <c r="C345" s="6">
        <v>87</v>
      </c>
      <c r="D345" s="6">
        <v>22.44</v>
      </c>
      <c r="E345" s="6">
        <v>295</v>
      </c>
    </row>
    <row r="346" spans="1:5" x14ac:dyDescent="0.25">
      <c r="A346" s="6" t="s">
        <v>638</v>
      </c>
      <c r="B346" s="6">
        <v>3.11</v>
      </c>
      <c r="C346" s="6">
        <v>58</v>
      </c>
      <c r="D346" s="6">
        <v>9.68</v>
      </c>
      <c r="E346" s="6">
        <v>165</v>
      </c>
    </row>
    <row r="347" spans="1:5" x14ac:dyDescent="0.25">
      <c r="A347" s="6" t="s">
        <v>264</v>
      </c>
      <c r="B347" s="6">
        <v>2</v>
      </c>
      <c r="C347" s="6">
        <v>46</v>
      </c>
      <c r="D347" s="6">
        <v>17.190000000000001</v>
      </c>
      <c r="E347" s="6">
        <v>205</v>
      </c>
    </row>
    <row r="348" spans="1:5" x14ac:dyDescent="0.25">
      <c r="A348" s="6" t="s">
        <v>553</v>
      </c>
      <c r="B348" s="6">
        <v>4.6900000000000004</v>
      </c>
      <c r="C348" s="6">
        <v>88</v>
      </c>
      <c r="D348" s="6">
        <v>12.67</v>
      </c>
      <c r="E348" s="6">
        <v>139</v>
      </c>
    </row>
    <row r="349" spans="1:5" x14ac:dyDescent="0.25">
      <c r="A349" s="6" t="s">
        <v>398</v>
      </c>
      <c r="B349" s="6">
        <v>4.8899999999999997</v>
      </c>
      <c r="C349" s="6">
        <v>81</v>
      </c>
      <c r="D349" s="6">
        <v>20.98</v>
      </c>
      <c r="E349" s="6">
        <v>239</v>
      </c>
    </row>
    <row r="350" spans="1:5" x14ac:dyDescent="0.25">
      <c r="A350" s="6" t="s">
        <v>612</v>
      </c>
      <c r="B350" s="6">
        <v>5.0199999999999996</v>
      </c>
      <c r="C350" s="6">
        <v>99</v>
      </c>
      <c r="D350" s="6">
        <v>24.71</v>
      </c>
      <c r="E350" s="6">
        <v>370</v>
      </c>
    </row>
    <row r="351" spans="1:5" x14ac:dyDescent="0.25">
      <c r="A351" s="6" t="s">
        <v>244</v>
      </c>
      <c r="B351" s="6">
        <v>5.36</v>
      </c>
      <c r="C351" s="6">
        <v>101</v>
      </c>
      <c r="D351" s="6">
        <v>29.36</v>
      </c>
      <c r="E351" s="6">
        <v>490</v>
      </c>
    </row>
    <row r="352" spans="1:5" x14ac:dyDescent="0.25">
      <c r="A352" s="6" t="s">
        <v>794</v>
      </c>
      <c r="B352" s="6">
        <v>9.06</v>
      </c>
      <c r="C352" s="6">
        <v>145</v>
      </c>
      <c r="D352" s="6">
        <v>25.72</v>
      </c>
      <c r="E352" s="6">
        <v>299</v>
      </c>
    </row>
    <row r="353" spans="1:5" x14ac:dyDescent="0.25">
      <c r="A353" s="6" t="s">
        <v>348</v>
      </c>
      <c r="B353" s="6">
        <v>55.56</v>
      </c>
      <c r="C353" s="6">
        <v>369</v>
      </c>
      <c r="D353" s="6">
        <v>47.07</v>
      </c>
      <c r="E353" s="6">
        <v>385</v>
      </c>
    </row>
    <row r="354" spans="1:5" x14ac:dyDescent="0.25">
      <c r="A354" s="6" t="s">
        <v>496</v>
      </c>
      <c r="B354" s="6">
        <v>8.41</v>
      </c>
      <c r="C354" s="6">
        <v>164</v>
      </c>
      <c r="D354" s="6">
        <v>19.78</v>
      </c>
      <c r="E354" s="6">
        <v>250</v>
      </c>
    </row>
    <row r="355" spans="1:5" x14ac:dyDescent="0.25">
      <c r="A355" s="6" t="s">
        <v>241</v>
      </c>
      <c r="B355" s="6">
        <v>8.4499999999999993</v>
      </c>
      <c r="C355" s="6">
        <v>142</v>
      </c>
      <c r="D355" s="6">
        <v>13.36</v>
      </c>
      <c r="E355" s="6">
        <v>168</v>
      </c>
    </row>
    <row r="356" spans="1:5" x14ac:dyDescent="0.25">
      <c r="A356" s="6" t="s">
        <v>633</v>
      </c>
      <c r="B356" s="6">
        <v>27.46</v>
      </c>
      <c r="C356" s="6">
        <v>361</v>
      </c>
      <c r="D356" s="6">
        <v>23.91</v>
      </c>
      <c r="E356" s="6">
        <v>333</v>
      </c>
    </row>
    <row r="357" spans="1:5" x14ac:dyDescent="0.25">
      <c r="A357" s="6" t="s">
        <v>918</v>
      </c>
      <c r="B357" s="6">
        <v>4.55</v>
      </c>
      <c r="C357" s="6">
        <v>101</v>
      </c>
      <c r="D357" s="6">
        <v>17.73</v>
      </c>
      <c r="E357" s="6">
        <v>168</v>
      </c>
    </row>
    <row r="358" spans="1:5" x14ac:dyDescent="0.25">
      <c r="A358" s="6" t="s">
        <v>369</v>
      </c>
      <c r="B358" s="6">
        <v>5.36</v>
      </c>
      <c r="C358" s="6">
        <v>101</v>
      </c>
      <c r="D358" s="6">
        <v>22.86</v>
      </c>
      <c r="E358" s="6">
        <v>343</v>
      </c>
    </row>
    <row r="359" spans="1:5" x14ac:dyDescent="0.25">
      <c r="A359" s="6" t="s">
        <v>795</v>
      </c>
      <c r="B359" s="6">
        <v>4.4800000000000004</v>
      </c>
      <c r="C359" s="6">
        <v>86</v>
      </c>
      <c r="D359" s="6">
        <v>26.07</v>
      </c>
      <c r="E359" s="6">
        <v>292</v>
      </c>
    </row>
    <row r="360" spans="1:5" x14ac:dyDescent="0.25">
      <c r="A360" s="6" t="s">
        <v>919</v>
      </c>
      <c r="B360" s="6">
        <v>3.71</v>
      </c>
      <c r="C360" s="6">
        <v>70</v>
      </c>
      <c r="D360" s="6">
        <v>10.44</v>
      </c>
      <c r="E360" s="6">
        <v>100</v>
      </c>
    </row>
    <row r="361" spans="1:5" x14ac:dyDescent="0.25">
      <c r="A361" s="6" t="s">
        <v>796</v>
      </c>
      <c r="B361" s="6">
        <v>6.31</v>
      </c>
      <c r="C361" s="6">
        <v>101</v>
      </c>
      <c r="D361" s="6">
        <v>53.46</v>
      </c>
      <c r="E361" s="6">
        <v>583</v>
      </c>
    </row>
    <row r="362" spans="1:5" x14ac:dyDescent="0.25">
      <c r="A362" s="6" t="s">
        <v>53</v>
      </c>
      <c r="B362" s="6">
        <v>3.89</v>
      </c>
      <c r="C362" s="6">
        <v>73</v>
      </c>
      <c r="D362" s="6">
        <v>25.45</v>
      </c>
      <c r="E362" s="6">
        <v>411</v>
      </c>
    </row>
    <row r="363" spans="1:5" x14ac:dyDescent="0.25">
      <c r="A363" s="6" t="s">
        <v>797</v>
      </c>
      <c r="B363" s="6">
        <v>15.69</v>
      </c>
      <c r="C363" s="6">
        <v>190</v>
      </c>
      <c r="D363" s="6">
        <v>24.63</v>
      </c>
      <c r="E363" s="6">
        <v>282</v>
      </c>
    </row>
    <row r="364" spans="1:5" x14ac:dyDescent="0.25">
      <c r="A364" s="6" t="s">
        <v>444</v>
      </c>
      <c r="B364" s="6">
        <v>9.09</v>
      </c>
      <c r="C364" s="6">
        <v>149</v>
      </c>
      <c r="D364" s="6">
        <v>35.39</v>
      </c>
      <c r="E364" s="6">
        <v>549</v>
      </c>
    </row>
    <row r="365" spans="1:5" x14ac:dyDescent="0.25">
      <c r="A365" s="6" t="s">
        <v>920</v>
      </c>
      <c r="B365" s="6">
        <v>4.38</v>
      </c>
      <c r="C365" s="6">
        <v>88</v>
      </c>
      <c r="D365" s="6">
        <v>21.9</v>
      </c>
      <c r="E365" s="6">
        <v>329</v>
      </c>
    </row>
    <row r="366" spans="1:5" x14ac:dyDescent="0.25">
      <c r="A366" s="6" t="s">
        <v>485</v>
      </c>
      <c r="B366" s="6">
        <v>4.76</v>
      </c>
      <c r="C366" s="6">
        <v>78</v>
      </c>
      <c r="D366" s="6">
        <v>22.39</v>
      </c>
      <c r="E366" s="6">
        <v>292</v>
      </c>
    </row>
    <row r="367" spans="1:5" x14ac:dyDescent="0.25">
      <c r="A367" s="6" t="s">
        <v>295</v>
      </c>
      <c r="B367" s="6">
        <v>18.87</v>
      </c>
      <c r="C367" s="6">
        <v>208</v>
      </c>
      <c r="D367" s="6">
        <v>28.23</v>
      </c>
      <c r="E367" s="6">
        <v>297</v>
      </c>
    </row>
    <row r="368" spans="1:5" x14ac:dyDescent="0.25">
      <c r="A368" s="6" t="s">
        <v>201</v>
      </c>
      <c r="B368" s="6">
        <v>4.9000000000000004</v>
      </c>
      <c r="C368" s="6">
        <v>89</v>
      </c>
      <c r="D368" s="6">
        <v>22.97</v>
      </c>
      <c r="E368" s="6">
        <v>285</v>
      </c>
    </row>
    <row r="369" spans="1:5" x14ac:dyDescent="0.25">
      <c r="A369" s="6" t="s">
        <v>798</v>
      </c>
      <c r="B369" s="6">
        <v>4.46</v>
      </c>
      <c r="C369" s="6">
        <v>91</v>
      </c>
      <c r="D369" s="6">
        <v>19.48</v>
      </c>
      <c r="E369" s="6">
        <v>262</v>
      </c>
    </row>
    <row r="370" spans="1:5" x14ac:dyDescent="0.25">
      <c r="A370" s="6" t="s">
        <v>595</v>
      </c>
      <c r="B370" s="6">
        <v>12.59</v>
      </c>
      <c r="C370" s="6">
        <v>161</v>
      </c>
      <c r="D370" s="6">
        <v>39.380000000000003</v>
      </c>
      <c r="E370" s="6">
        <v>379</v>
      </c>
    </row>
    <row r="371" spans="1:5" x14ac:dyDescent="0.25">
      <c r="A371" s="6" t="s">
        <v>391</v>
      </c>
      <c r="B371" s="6">
        <v>6</v>
      </c>
      <c r="C371" s="6">
        <v>100</v>
      </c>
      <c r="D371" s="6">
        <v>20.28</v>
      </c>
      <c r="E371" s="6">
        <v>265</v>
      </c>
    </row>
    <row r="372" spans="1:5" x14ac:dyDescent="0.25">
      <c r="A372" s="6" t="s">
        <v>488</v>
      </c>
      <c r="B372" s="6">
        <v>9.0500000000000007</v>
      </c>
      <c r="C372" s="6">
        <v>140</v>
      </c>
      <c r="D372" s="6">
        <v>17.5</v>
      </c>
      <c r="E372" s="6">
        <v>206</v>
      </c>
    </row>
    <row r="373" spans="1:5" x14ac:dyDescent="0.25">
      <c r="A373" s="6" t="s">
        <v>565</v>
      </c>
      <c r="B373" s="6">
        <v>5.33</v>
      </c>
      <c r="C373" s="6">
        <v>101</v>
      </c>
      <c r="D373" s="6">
        <v>33.82</v>
      </c>
      <c r="E373" s="6">
        <v>593</v>
      </c>
    </row>
    <row r="374" spans="1:5" x14ac:dyDescent="0.25">
      <c r="A374" s="6" t="s">
        <v>412</v>
      </c>
      <c r="B374" s="6">
        <v>6.38</v>
      </c>
      <c r="C374" s="6">
        <v>103</v>
      </c>
      <c r="D374" s="6">
        <v>30.58</v>
      </c>
      <c r="E374" s="6">
        <v>376</v>
      </c>
    </row>
    <row r="375" spans="1:5" x14ac:dyDescent="0.25">
      <c r="A375" s="6" t="s">
        <v>349</v>
      </c>
      <c r="B375" s="6">
        <v>2.75</v>
      </c>
      <c r="C375" s="6">
        <v>65</v>
      </c>
      <c r="D375" s="6">
        <v>19.3</v>
      </c>
      <c r="E375" s="6">
        <v>250</v>
      </c>
    </row>
    <row r="376" spans="1:5" x14ac:dyDescent="0.25">
      <c r="A376" s="6" t="s">
        <v>480</v>
      </c>
      <c r="B376" s="6">
        <v>2.4</v>
      </c>
      <c r="C376" s="6">
        <v>64</v>
      </c>
      <c r="D376" s="6">
        <v>10.66</v>
      </c>
      <c r="E376" s="6">
        <v>146</v>
      </c>
    </row>
    <row r="377" spans="1:5" x14ac:dyDescent="0.25">
      <c r="A377" s="6" t="s">
        <v>474</v>
      </c>
      <c r="B377" s="6">
        <v>3.53</v>
      </c>
      <c r="C377" s="6">
        <v>78</v>
      </c>
      <c r="D377" s="6">
        <v>20.58</v>
      </c>
      <c r="E377" s="6">
        <v>382</v>
      </c>
    </row>
    <row r="378" spans="1:5" x14ac:dyDescent="0.25">
      <c r="A378" s="6" t="s">
        <v>31</v>
      </c>
      <c r="B378" s="6">
        <v>2.31</v>
      </c>
      <c r="C378" s="6">
        <v>57</v>
      </c>
      <c r="D378" s="6">
        <v>13.59</v>
      </c>
      <c r="E378" s="6">
        <v>189</v>
      </c>
    </row>
    <row r="379" spans="1:5" x14ac:dyDescent="0.25">
      <c r="A379" s="6" t="s">
        <v>386</v>
      </c>
      <c r="B379" s="6">
        <v>9.35</v>
      </c>
      <c r="C379" s="6">
        <v>152</v>
      </c>
      <c r="D379" s="6">
        <v>22.07</v>
      </c>
      <c r="E379" s="6">
        <v>255</v>
      </c>
    </row>
    <row r="380" spans="1:5" x14ac:dyDescent="0.25">
      <c r="A380" s="6" t="s">
        <v>122</v>
      </c>
      <c r="B380" s="6">
        <v>3.36</v>
      </c>
      <c r="C380" s="6">
        <v>79</v>
      </c>
      <c r="D380" s="6">
        <v>13.28</v>
      </c>
      <c r="E380" s="6">
        <v>161</v>
      </c>
    </row>
    <row r="381" spans="1:5" x14ac:dyDescent="0.25">
      <c r="A381" s="6" t="s">
        <v>230</v>
      </c>
      <c r="B381" s="6">
        <v>12.56</v>
      </c>
      <c r="C381" s="6">
        <v>168</v>
      </c>
      <c r="D381" s="6">
        <v>17.87</v>
      </c>
      <c r="E381" s="6">
        <v>221</v>
      </c>
    </row>
    <row r="382" spans="1:5" x14ac:dyDescent="0.25">
      <c r="A382" s="6" t="s">
        <v>448</v>
      </c>
      <c r="B382" s="6">
        <v>2.52</v>
      </c>
      <c r="C382" s="6">
        <v>63</v>
      </c>
      <c r="D382" s="6">
        <v>7.48</v>
      </c>
      <c r="E382" s="6">
        <v>67</v>
      </c>
    </row>
    <row r="383" spans="1:5" x14ac:dyDescent="0.25">
      <c r="A383" s="6" t="s">
        <v>305</v>
      </c>
      <c r="B383" s="6">
        <v>7.42</v>
      </c>
      <c r="C383" s="6">
        <v>107</v>
      </c>
      <c r="D383" s="6">
        <v>37.56</v>
      </c>
      <c r="E383" s="6">
        <v>408</v>
      </c>
    </row>
    <row r="384" spans="1:5" x14ac:dyDescent="0.25">
      <c r="A384" s="6" t="s">
        <v>583</v>
      </c>
      <c r="B384" s="6">
        <v>8.1300000000000008</v>
      </c>
      <c r="C384" s="6">
        <v>127</v>
      </c>
      <c r="D384" s="6">
        <v>26.95</v>
      </c>
      <c r="E384" s="6">
        <v>392</v>
      </c>
    </row>
    <row r="385" spans="1:5" x14ac:dyDescent="0.25">
      <c r="A385" s="6" t="s">
        <v>505</v>
      </c>
      <c r="B385" s="6">
        <v>4.38</v>
      </c>
      <c r="C385" s="6">
        <v>81</v>
      </c>
      <c r="D385" s="6">
        <v>16.059999999999999</v>
      </c>
      <c r="E385" s="6">
        <v>202</v>
      </c>
    </row>
    <row r="386" spans="1:5" x14ac:dyDescent="0.25">
      <c r="A386" s="6" t="s">
        <v>95</v>
      </c>
      <c r="B386" s="6">
        <v>6.96</v>
      </c>
      <c r="C386" s="6">
        <v>104</v>
      </c>
      <c r="D386" s="6">
        <v>32.340000000000003</v>
      </c>
      <c r="E386" s="6">
        <v>398</v>
      </c>
    </row>
    <row r="387" spans="1:5" x14ac:dyDescent="0.25">
      <c r="A387" s="6" t="s">
        <v>799</v>
      </c>
      <c r="B387" s="6">
        <v>4.47</v>
      </c>
      <c r="C387" s="6">
        <v>98</v>
      </c>
      <c r="D387" s="6">
        <v>37.9</v>
      </c>
      <c r="E387" s="6">
        <v>483</v>
      </c>
    </row>
    <row r="388" spans="1:5" x14ac:dyDescent="0.25">
      <c r="A388" s="6" t="s">
        <v>563</v>
      </c>
      <c r="B388" s="6">
        <v>9.73</v>
      </c>
      <c r="C388" s="6">
        <v>134</v>
      </c>
      <c r="D388" s="6">
        <v>46.5</v>
      </c>
      <c r="E388" s="6">
        <v>465</v>
      </c>
    </row>
    <row r="389" spans="1:5" x14ac:dyDescent="0.25">
      <c r="A389" s="6" t="s">
        <v>146</v>
      </c>
      <c r="B389" s="6">
        <v>8.99</v>
      </c>
      <c r="C389" s="6">
        <v>132</v>
      </c>
      <c r="D389" s="6">
        <v>24.61</v>
      </c>
      <c r="E389" s="6">
        <v>344</v>
      </c>
    </row>
    <row r="390" spans="1:5" x14ac:dyDescent="0.25">
      <c r="A390" s="6" t="s">
        <v>402</v>
      </c>
      <c r="B390" s="6">
        <v>6.66</v>
      </c>
      <c r="C390" s="6">
        <v>98</v>
      </c>
      <c r="D390" s="6">
        <v>18.489999999999998</v>
      </c>
      <c r="E390" s="6">
        <v>302</v>
      </c>
    </row>
    <row r="391" spans="1:5" x14ac:dyDescent="0.25">
      <c r="A391" s="6" t="s">
        <v>800</v>
      </c>
      <c r="B391" s="6">
        <v>22.84</v>
      </c>
      <c r="C391" s="6">
        <v>263</v>
      </c>
      <c r="D391" s="6">
        <v>34.35</v>
      </c>
      <c r="E391" s="6">
        <v>376</v>
      </c>
    </row>
    <row r="392" spans="1:5" x14ac:dyDescent="0.25">
      <c r="A392" s="6" t="s">
        <v>921</v>
      </c>
      <c r="B392" s="6">
        <v>11.35</v>
      </c>
      <c r="C392" s="6">
        <v>169</v>
      </c>
      <c r="D392" s="6">
        <v>24.32</v>
      </c>
      <c r="E392" s="6">
        <v>332</v>
      </c>
    </row>
    <row r="393" spans="1:5" x14ac:dyDescent="0.25">
      <c r="A393" s="6" t="s">
        <v>801</v>
      </c>
      <c r="B393" s="6">
        <v>5.73</v>
      </c>
      <c r="C393" s="6">
        <v>118</v>
      </c>
      <c r="D393" s="6">
        <v>15.98</v>
      </c>
      <c r="E393" s="6">
        <v>263</v>
      </c>
    </row>
    <row r="394" spans="1:5" x14ac:dyDescent="0.25">
      <c r="A394" s="6" t="s">
        <v>105</v>
      </c>
      <c r="B394" s="6">
        <v>1.33</v>
      </c>
      <c r="C394" s="6">
        <v>38</v>
      </c>
      <c r="D394" s="6">
        <v>9.3699999999999992</v>
      </c>
      <c r="E394" s="6">
        <v>161</v>
      </c>
    </row>
    <row r="395" spans="1:5" x14ac:dyDescent="0.25">
      <c r="A395" s="6" t="s">
        <v>802</v>
      </c>
      <c r="B395" s="6">
        <v>22.28</v>
      </c>
      <c r="C395" s="6">
        <v>223</v>
      </c>
      <c r="D395" s="6">
        <v>63.75</v>
      </c>
      <c r="E395" s="6">
        <v>790</v>
      </c>
    </row>
    <row r="396" spans="1:5" x14ac:dyDescent="0.25">
      <c r="A396" s="6" t="s">
        <v>709</v>
      </c>
      <c r="B396" s="6">
        <v>17.09</v>
      </c>
      <c r="C396" s="6">
        <v>271</v>
      </c>
      <c r="D396" s="6">
        <v>32.54</v>
      </c>
      <c r="E396" s="6">
        <v>632</v>
      </c>
    </row>
    <row r="397" spans="1:5" x14ac:dyDescent="0.25">
      <c r="A397" s="6" t="s">
        <v>242</v>
      </c>
      <c r="B397" s="6">
        <v>1.07</v>
      </c>
      <c r="C397" s="6">
        <v>31</v>
      </c>
      <c r="D397" s="6">
        <v>8.59</v>
      </c>
      <c r="E397" s="6">
        <v>143</v>
      </c>
    </row>
    <row r="398" spans="1:5" x14ac:dyDescent="0.25">
      <c r="A398" s="6" t="s">
        <v>425</v>
      </c>
      <c r="B398" s="6">
        <v>2.33</v>
      </c>
      <c r="C398" s="6">
        <v>49</v>
      </c>
      <c r="D398" s="6">
        <v>11.66</v>
      </c>
      <c r="E398" s="6">
        <v>189</v>
      </c>
    </row>
    <row r="399" spans="1:5" x14ac:dyDescent="0.25">
      <c r="A399" s="6" t="s">
        <v>176</v>
      </c>
      <c r="B399" s="6">
        <v>4.5599999999999996</v>
      </c>
      <c r="C399" s="6">
        <v>96</v>
      </c>
      <c r="D399" s="6">
        <v>20.3</v>
      </c>
      <c r="E399" s="6">
        <v>294</v>
      </c>
    </row>
    <row r="400" spans="1:5" x14ac:dyDescent="0.25">
      <c r="A400" s="6" t="s">
        <v>922</v>
      </c>
      <c r="B400" s="6">
        <v>3.55</v>
      </c>
      <c r="C400" s="6">
        <v>75</v>
      </c>
      <c r="D400" s="6">
        <v>20.52</v>
      </c>
      <c r="E400" s="6">
        <v>460</v>
      </c>
    </row>
    <row r="401" spans="1:5" x14ac:dyDescent="0.25">
      <c r="A401" s="6" t="s">
        <v>803</v>
      </c>
      <c r="B401" s="6">
        <v>17.190000000000001</v>
      </c>
      <c r="C401" s="6">
        <v>253</v>
      </c>
      <c r="D401" s="6">
        <v>27.08</v>
      </c>
      <c r="E401" s="6">
        <v>380</v>
      </c>
    </row>
    <row r="402" spans="1:5" x14ac:dyDescent="0.25">
      <c r="A402" s="6" t="s">
        <v>923</v>
      </c>
      <c r="B402" s="6">
        <v>8.69</v>
      </c>
      <c r="C402" s="6">
        <v>197</v>
      </c>
      <c r="D402" s="6">
        <v>4.08</v>
      </c>
      <c r="E402" s="6">
        <v>40</v>
      </c>
    </row>
    <row r="403" spans="1:5" x14ac:dyDescent="0.25">
      <c r="A403" s="6" t="s">
        <v>924</v>
      </c>
      <c r="B403" s="6">
        <v>4.4400000000000004</v>
      </c>
      <c r="C403" s="6">
        <v>89</v>
      </c>
      <c r="D403" s="6">
        <v>6.61</v>
      </c>
      <c r="E403" s="6">
        <v>62</v>
      </c>
    </row>
    <row r="404" spans="1:5" x14ac:dyDescent="0.25">
      <c r="A404" s="6" t="s">
        <v>124</v>
      </c>
      <c r="B404" s="6">
        <v>7.04</v>
      </c>
      <c r="C404" s="6">
        <v>129</v>
      </c>
      <c r="D404" s="6">
        <v>18.73</v>
      </c>
      <c r="E404" s="6">
        <v>318</v>
      </c>
    </row>
    <row r="405" spans="1:5" x14ac:dyDescent="0.25">
      <c r="A405" s="6" t="s">
        <v>712</v>
      </c>
      <c r="B405" s="6">
        <v>2.2200000000000002</v>
      </c>
      <c r="C405" s="6">
        <v>63</v>
      </c>
      <c r="D405" s="6">
        <v>19.190000000000001</v>
      </c>
      <c r="E405" s="6">
        <v>422</v>
      </c>
    </row>
    <row r="406" spans="1:5" x14ac:dyDescent="0.25">
      <c r="A406" s="6" t="s">
        <v>366</v>
      </c>
      <c r="B406" s="6">
        <v>4.37</v>
      </c>
      <c r="C406" s="6">
        <v>97</v>
      </c>
      <c r="D406" s="6">
        <v>13.5</v>
      </c>
      <c r="E406" s="6">
        <v>254</v>
      </c>
    </row>
    <row r="407" spans="1:5" x14ac:dyDescent="0.25">
      <c r="A407" s="6" t="s">
        <v>804</v>
      </c>
      <c r="B407" s="6">
        <v>12.06</v>
      </c>
      <c r="C407" s="6">
        <v>191</v>
      </c>
      <c r="D407" s="6">
        <v>17.16</v>
      </c>
      <c r="E407" s="6">
        <v>195</v>
      </c>
    </row>
    <row r="408" spans="1:5" x14ac:dyDescent="0.25">
      <c r="A408" s="6" t="s">
        <v>925</v>
      </c>
      <c r="B408" s="6">
        <v>5.46</v>
      </c>
      <c r="C408" s="6">
        <v>92</v>
      </c>
      <c r="D408" s="6">
        <v>13.31</v>
      </c>
      <c r="E408" s="6">
        <v>158</v>
      </c>
    </row>
    <row r="409" spans="1:5" x14ac:dyDescent="0.25">
      <c r="A409" s="6" t="s">
        <v>467</v>
      </c>
      <c r="B409" s="6">
        <v>3.72</v>
      </c>
      <c r="C409" s="6">
        <v>79</v>
      </c>
      <c r="D409" s="6">
        <v>16.18</v>
      </c>
      <c r="E409" s="6">
        <v>214</v>
      </c>
    </row>
    <row r="410" spans="1:5" x14ac:dyDescent="0.25">
      <c r="A410" s="6" t="s">
        <v>300</v>
      </c>
      <c r="B410" s="6">
        <v>3.51</v>
      </c>
      <c r="C410" s="6">
        <v>74</v>
      </c>
      <c r="D410" s="6">
        <v>9.27</v>
      </c>
      <c r="E410" s="6">
        <v>100</v>
      </c>
    </row>
    <row r="411" spans="1:5" x14ac:dyDescent="0.25">
      <c r="A411" s="6" t="s">
        <v>165</v>
      </c>
      <c r="B411" s="6">
        <v>13.73</v>
      </c>
      <c r="C411" s="6">
        <v>179</v>
      </c>
      <c r="D411" s="6">
        <v>18</v>
      </c>
      <c r="E411" s="6">
        <v>145</v>
      </c>
    </row>
    <row r="412" spans="1:5" x14ac:dyDescent="0.25">
      <c r="A412" s="6" t="s">
        <v>327</v>
      </c>
      <c r="B412" s="6">
        <v>5.15</v>
      </c>
      <c r="C412" s="6">
        <v>98</v>
      </c>
      <c r="D412" s="6">
        <v>14.94</v>
      </c>
      <c r="E412" s="6">
        <v>209</v>
      </c>
    </row>
    <row r="413" spans="1:5" x14ac:dyDescent="0.25">
      <c r="A413" s="6" t="s">
        <v>464</v>
      </c>
      <c r="B413" s="6">
        <v>4.5199999999999996</v>
      </c>
      <c r="C413" s="6">
        <v>98</v>
      </c>
      <c r="D413" s="6">
        <v>18.88</v>
      </c>
      <c r="E413" s="6">
        <v>271</v>
      </c>
    </row>
    <row r="414" spans="1:5" x14ac:dyDescent="0.25">
      <c r="A414" s="6" t="s">
        <v>805</v>
      </c>
      <c r="B414" s="6">
        <v>3.05</v>
      </c>
      <c r="C414" s="6">
        <v>75</v>
      </c>
      <c r="D414" s="6">
        <v>17.96</v>
      </c>
      <c r="E414" s="6">
        <v>207</v>
      </c>
    </row>
    <row r="415" spans="1:5" x14ac:dyDescent="0.25">
      <c r="A415" s="6" t="s">
        <v>806</v>
      </c>
      <c r="B415" s="6">
        <v>28.07</v>
      </c>
      <c r="C415" s="6">
        <v>217</v>
      </c>
      <c r="D415" s="6">
        <v>36.090000000000003</v>
      </c>
      <c r="E415" s="6">
        <v>409</v>
      </c>
    </row>
    <row r="416" spans="1:5" x14ac:dyDescent="0.25">
      <c r="A416" s="6" t="s">
        <v>310</v>
      </c>
      <c r="B416" s="6">
        <v>5.33</v>
      </c>
      <c r="C416" s="6">
        <v>94</v>
      </c>
      <c r="D416" s="6">
        <v>12.29</v>
      </c>
      <c r="E416" s="6">
        <v>136</v>
      </c>
    </row>
    <row r="417" spans="1:5" x14ac:dyDescent="0.25">
      <c r="A417" s="6" t="s">
        <v>807</v>
      </c>
      <c r="B417" s="6">
        <v>2.84</v>
      </c>
      <c r="C417" s="6">
        <v>73</v>
      </c>
      <c r="D417" s="6">
        <v>18.03</v>
      </c>
      <c r="E417" s="6">
        <v>222</v>
      </c>
    </row>
    <row r="418" spans="1:5" x14ac:dyDescent="0.25">
      <c r="A418" s="6" t="s">
        <v>498</v>
      </c>
      <c r="B418" s="6">
        <v>3.84</v>
      </c>
      <c r="C418" s="6">
        <v>65</v>
      </c>
      <c r="D418" s="6">
        <v>17.48</v>
      </c>
      <c r="E418" s="6">
        <v>289</v>
      </c>
    </row>
    <row r="419" spans="1:5" x14ac:dyDescent="0.25">
      <c r="A419" s="6" t="s">
        <v>808</v>
      </c>
      <c r="B419" s="6">
        <v>5.51</v>
      </c>
      <c r="C419" s="6">
        <v>109</v>
      </c>
      <c r="D419" s="6">
        <v>13.53</v>
      </c>
      <c r="E419" s="6">
        <v>183</v>
      </c>
    </row>
    <row r="420" spans="1:5" x14ac:dyDescent="0.25">
      <c r="A420" s="6" t="s">
        <v>673</v>
      </c>
      <c r="B420" s="6">
        <v>23.65</v>
      </c>
      <c r="C420" s="6">
        <v>260</v>
      </c>
      <c r="D420" s="6">
        <v>38.33</v>
      </c>
      <c r="E420" s="6">
        <v>411</v>
      </c>
    </row>
    <row r="421" spans="1:5" x14ac:dyDescent="0.25">
      <c r="A421" s="6" t="s">
        <v>644</v>
      </c>
      <c r="B421" s="6">
        <v>4.1399999999999997</v>
      </c>
      <c r="C421" s="6">
        <v>74</v>
      </c>
      <c r="D421" s="6">
        <v>20.03</v>
      </c>
      <c r="E421" s="6">
        <v>298</v>
      </c>
    </row>
    <row r="422" spans="1:5" x14ac:dyDescent="0.25">
      <c r="A422" s="6" t="s">
        <v>597</v>
      </c>
      <c r="B422" s="6">
        <v>3.6</v>
      </c>
      <c r="C422" s="6">
        <v>90</v>
      </c>
      <c r="D422" s="6">
        <v>9.99</v>
      </c>
      <c r="E422" s="6">
        <v>157</v>
      </c>
    </row>
    <row r="423" spans="1:5" x14ac:dyDescent="0.25">
      <c r="A423" s="6" t="s">
        <v>685</v>
      </c>
      <c r="B423" s="6">
        <v>4.13</v>
      </c>
      <c r="C423" s="6">
        <v>86</v>
      </c>
      <c r="D423" s="6">
        <v>32.909999999999997</v>
      </c>
      <c r="E423" s="6">
        <v>395</v>
      </c>
    </row>
    <row r="424" spans="1:5" x14ac:dyDescent="0.25">
      <c r="A424" s="6" t="s">
        <v>729</v>
      </c>
      <c r="B424" s="6">
        <v>9.82</v>
      </c>
      <c r="C424" s="6">
        <v>160</v>
      </c>
      <c r="D424" s="6">
        <v>16.23</v>
      </c>
      <c r="E424" s="6">
        <v>274</v>
      </c>
    </row>
    <row r="425" spans="1:5" x14ac:dyDescent="0.25">
      <c r="A425" s="6" t="s">
        <v>23</v>
      </c>
      <c r="B425" s="6">
        <v>2.75</v>
      </c>
      <c r="C425" s="6">
        <v>62</v>
      </c>
      <c r="D425" s="6">
        <v>14.59</v>
      </c>
      <c r="E425" s="6">
        <v>230</v>
      </c>
    </row>
    <row r="426" spans="1:5" x14ac:dyDescent="0.25">
      <c r="A426" s="6" t="s">
        <v>809</v>
      </c>
      <c r="B426" s="6">
        <v>5.63</v>
      </c>
      <c r="C426" s="6">
        <v>129</v>
      </c>
      <c r="D426" s="6">
        <v>16.3</v>
      </c>
      <c r="E426" s="6">
        <v>291</v>
      </c>
    </row>
    <row r="427" spans="1:5" x14ac:dyDescent="0.25">
      <c r="A427" s="6" t="s">
        <v>490</v>
      </c>
      <c r="B427" s="6">
        <v>3.51</v>
      </c>
      <c r="C427" s="6">
        <v>82</v>
      </c>
      <c r="D427" s="6">
        <v>13.2</v>
      </c>
      <c r="E427" s="6">
        <v>211</v>
      </c>
    </row>
    <row r="428" spans="1:5" x14ac:dyDescent="0.25">
      <c r="A428" s="6" t="s">
        <v>650</v>
      </c>
      <c r="B428" s="6">
        <v>5.95</v>
      </c>
      <c r="C428" s="6">
        <v>112</v>
      </c>
      <c r="D428" s="6">
        <v>8.8800000000000008</v>
      </c>
      <c r="E428" s="6">
        <v>94</v>
      </c>
    </row>
    <row r="429" spans="1:5" x14ac:dyDescent="0.25">
      <c r="A429" s="6" t="s">
        <v>926</v>
      </c>
      <c r="B429" s="6">
        <v>33.15</v>
      </c>
      <c r="C429" s="6">
        <v>324</v>
      </c>
      <c r="D429" s="6">
        <v>22.04</v>
      </c>
      <c r="E429" s="6">
        <v>243</v>
      </c>
    </row>
    <row r="430" spans="1:5" x14ac:dyDescent="0.25">
      <c r="A430" s="6" t="s">
        <v>509</v>
      </c>
      <c r="B430" s="6">
        <v>7.06</v>
      </c>
      <c r="C430" s="6">
        <v>99</v>
      </c>
      <c r="D430" s="6">
        <v>26.65</v>
      </c>
      <c r="E430" s="6">
        <v>362</v>
      </c>
    </row>
    <row r="431" spans="1:5" x14ac:dyDescent="0.25">
      <c r="A431" s="6" t="s">
        <v>161</v>
      </c>
      <c r="B431" s="6">
        <v>1.78</v>
      </c>
      <c r="C431" s="6">
        <v>48</v>
      </c>
      <c r="D431" s="6">
        <v>14.55</v>
      </c>
      <c r="E431" s="6">
        <v>267</v>
      </c>
    </row>
    <row r="432" spans="1:5" x14ac:dyDescent="0.25">
      <c r="A432" s="6" t="s">
        <v>810</v>
      </c>
      <c r="B432" s="6">
        <v>28.33</v>
      </c>
      <c r="C432" s="6">
        <v>222</v>
      </c>
      <c r="D432" s="6">
        <v>39.54</v>
      </c>
      <c r="E432" s="6">
        <v>454</v>
      </c>
    </row>
    <row r="433" spans="1:5" x14ac:dyDescent="0.25">
      <c r="A433" s="6" t="s">
        <v>552</v>
      </c>
      <c r="B433" s="6">
        <v>12.68</v>
      </c>
      <c r="C433" s="6">
        <v>121</v>
      </c>
      <c r="D433" s="6">
        <v>25.05</v>
      </c>
      <c r="E433" s="6">
        <v>292</v>
      </c>
    </row>
    <row r="434" spans="1:5" x14ac:dyDescent="0.25">
      <c r="A434" s="6" t="s">
        <v>811</v>
      </c>
      <c r="B434" s="6">
        <v>5.6</v>
      </c>
      <c r="C434" s="6">
        <v>126</v>
      </c>
      <c r="D434" s="6">
        <v>14.17</v>
      </c>
      <c r="E434" s="6">
        <v>329</v>
      </c>
    </row>
    <row r="435" spans="1:5" x14ac:dyDescent="0.25">
      <c r="A435" s="6" t="s">
        <v>528</v>
      </c>
      <c r="B435" s="6">
        <v>3.27</v>
      </c>
      <c r="C435" s="6">
        <v>72</v>
      </c>
      <c r="D435" s="6">
        <v>23.39</v>
      </c>
      <c r="E435" s="6">
        <v>276</v>
      </c>
    </row>
    <row r="436" spans="1:5" x14ac:dyDescent="0.25">
      <c r="A436" s="6" t="s">
        <v>394</v>
      </c>
      <c r="B436" s="6">
        <v>9.3800000000000008</v>
      </c>
      <c r="C436" s="6">
        <v>140</v>
      </c>
      <c r="D436" s="6">
        <v>16.649999999999999</v>
      </c>
      <c r="E436" s="6">
        <v>183</v>
      </c>
    </row>
    <row r="437" spans="1:5" x14ac:dyDescent="0.25">
      <c r="A437" s="6" t="s">
        <v>812</v>
      </c>
      <c r="B437" s="6">
        <v>7.73</v>
      </c>
      <c r="C437" s="6">
        <v>112</v>
      </c>
      <c r="D437" s="6">
        <v>47.13</v>
      </c>
      <c r="E437" s="6">
        <v>547</v>
      </c>
    </row>
    <row r="438" spans="1:5" x14ac:dyDescent="0.25">
      <c r="A438" s="6" t="s">
        <v>442</v>
      </c>
      <c r="B438" s="6">
        <v>4.37</v>
      </c>
      <c r="C438" s="6">
        <v>92</v>
      </c>
      <c r="D438" s="6">
        <v>10.88</v>
      </c>
      <c r="E438" s="6">
        <v>114</v>
      </c>
    </row>
    <row r="439" spans="1:5" x14ac:dyDescent="0.25">
      <c r="A439" s="6" t="s">
        <v>24</v>
      </c>
      <c r="B439" s="6">
        <v>2.69</v>
      </c>
      <c r="C439" s="6">
        <v>64</v>
      </c>
      <c r="D439" s="6">
        <v>20.32</v>
      </c>
      <c r="E439" s="6">
        <v>293</v>
      </c>
    </row>
    <row r="440" spans="1:5" x14ac:dyDescent="0.25">
      <c r="A440" s="6" t="s">
        <v>439</v>
      </c>
      <c r="B440" s="6">
        <v>2.02</v>
      </c>
      <c r="C440" s="6">
        <v>56</v>
      </c>
      <c r="D440" s="6">
        <v>12.17</v>
      </c>
      <c r="E440" s="6">
        <v>189</v>
      </c>
    </row>
    <row r="441" spans="1:5" x14ac:dyDescent="0.25">
      <c r="A441" s="6" t="s">
        <v>541</v>
      </c>
      <c r="B441" s="6">
        <v>4.2300000000000004</v>
      </c>
      <c r="C441" s="6">
        <v>78</v>
      </c>
      <c r="D441" s="6">
        <v>22.88</v>
      </c>
      <c r="E441" s="6">
        <v>316</v>
      </c>
    </row>
    <row r="442" spans="1:5" x14ac:dyDescent="0.25">
      <c r="A442" s="6" t="s">
        <v>607</v>
      </c>
      <c r="B442" s="6">
        <v>8.34</v>
      </c>
      <c r="C442" s="6">
        <v>130</v>
      </c>
      <c r="D442" s="6">
        <v>17.489999999999998</v>
      </c>
      <c r="E442" s="6">
        <v>211</v>
      </c>
    </row>
    <row r="443" spans="1:5" x14ac:dyDescent="0.25">
      <c r="A443" s="6" t="s">
        <v>204</v>
      </c>
      <c r="B443" s="6">
        <v>11.19</v>
      </c>
      <c r="C443" s="6">
        <v>155</v>
      </c>
      <c r="D443" s="6">
        <v>27.52</v>
      </c>
      <c r="E443" s="6">
        <v>300</v>
      </c>
    </row>
    <row r="444" spans="1:5" x14ac:dyDescent="0.25">
      <c r="A444" s="6" t="s">
        <v>236</v>
      </c>
      <c r="B444" s="6">
        <v>8.99</v>
      </c>
      <c r="C444" s="6">
        <v>134</v>
      </c>
      <c r="D444" s="6">
        <v>18.649999999999999</v>
      </c>
      <c r="E444" s="6">
        <v>235</v>
      </c>
    </row>
    <row r="445" spans="1:5" x14ac:dyDescent="0.25">
      <c r="A445" s="6" t="s">
        <v>927</v>
      </c>
      <c r="B445" s="6">
        <v>8.4499999999999993</v>
      </c>
      <c r="C445" s="6">
        <v>154</v>
      </c>
      <c r="D445" s="6">
        <v>32.99</v>
      </c>
      <c r="E445" s="6">
        <v>534</v>
      </c>
    </row>
    <row r="446" spans="1:5" x14ac:dyDescent="0.25">
      <c r="A446" s="6" t="s">
        <v>133</v>
      </c>
      <c r="B446" s="6">
        <v>7.64</v>
      </c>
      <c r="C446" s="6">
        <v>126</v>
      </c>
      <c r="D446" s="6">
        <v>25.49</v>
      </c>
      <c r="E446" s="6">
        <v>425</v>
      </c>
    </row>
    <row r="447" spans="1:5" x14ac:dyDescent="0.25">
      <c r="A447" s="6" t="s">
        <v>928</v>
      </c>
      <c r="B447" s="6">
        <v>19.18</v>
      </c>
      <c r="C447" s="6">
        <v>219</v>
      </c>
      <c r="D447" s="6">
        <v>35.14</v>
      </c>
      <c r="E447" s="6">
        <v>528</v>
      </c>
    </row>
    <row r="448" spans="1:5" x14ac:dyDescent="0.25">
      <c r="A448" s="6" t="s">
        <v>813</v>
      </c>
      <c r="B448" s="6">
        <v>2.77</v>
      </c>
      <c r="C448" s="6">
        <v>65</v>
      </c>
      <c r="D448" s="6">
        <v>28.18</v>
      </c>
      <c r="E448" s="6">
        <v>440</v>
      </c>
    </row>
    <row r="449" spans="1:5" x14ac:dyDescent="0.25">
      <c r="A449" s="6" t="s">
        <v>66</v>
      </c>
      <c r="B449" s="6">
        <v>3.18</v>
      </c>
      <c r="C449" s="6">
        <v>72</v>
      </c>
      <c r="D449" s="6">
        <v>14.2</v>
      </c>
      <c r="E449" s="6">
        <v>192</v>
      </c>
    </row>
    <row r="450" spans="1:5" x14ac:dyDescent="0.25">
      <c r="A450" s="6" t="s">
        <v>814</v>
      </c>
      <c r="B450" s="6">
        <v>19.14</v>
      </c>
      <c r="C450" s="6">
        <v>227</v>
      </c>
      <c r="D450" s="6">
        <v>35.11</v>
      </c>
      <c r="E450" s="6">
        <v>319</v>
      </c>
    </row>
    <row r="451" spans="1:5" x14ac:dyDescent="0.25">
      <c r="A451" s="6" t="s">
        <v>3</v>
      </c>
      <c r="B451" s="6">
        <v>2.67</v>
      </c>
      <c r="C451" s="6">
        <v>59</v>
      </c>
      <c r="D451" s="6">
        <v>17.96</v>
      </c>
      <c r="E451" s="6">
        <v>246</v>
      </c>
    </row>
    <row r="452" spans="1:5" x14ac:dyDescent="0.25">
      <c r="A452" s="6" t="s">
        <v>564</v>
      </c>
      <c r="B452" s="6">
        <v>2.34</v>
      </c>
      <c r="C452" s="6">
        <v>62</v>
      </c>
      <c r="D452" s="6">
        <v>15.6</v>
      </c>
      <c r="E452" s="6">
        <v>281</v>
      </c>
    </row>
    <row r="453" spans="1:5" x14ac:dyDescent="0.25">
      <c r="A453" s="6" t="s">
        <v>430</v>
      </c>
      <c r="B453" s="6">
        <v>3.14</v>
      </c>
      <c r="C453" s="6">
        <v>70</v>
      </c>
      <c r="D453" s="6">
        <v>26.51</v>
      </c>
      <c r="E453" s="6">
        <v>311</v>
      </c>
    </row>
    <row r="454" spans="1:5" x14ac:dyDescent="0.25">
      <c r="A454" s="6" t="s">
        <v>159</v>
      </c>
      <c r="B454" s="6">
        <v>5.76</v>
      </c>
      <c r="C454" s="6">
        <v>93</v>
      </c>
      <c r="D454" s="6">
        <v>23.89</v>
      </c>
      <c r="E454" s="6">
        <v>302</v>
      </c>
    </row>
    <row r="455" spans="1:5" x14ac:dyDescent="0.25">
      <c r="A455" s="6" t="s">
        <v>405</v>
      </c>
      <c r="B455" s="6">
        <v>7.68</v>
      </c>
      <c r="C455" s="6">
        <v>121</v>
      </c>
      <c r="D455" s="6">
        <v>21.43</v>
      </c>
      <c r="E455" s="6">
        <v>244</v>
      </c>
    </row>
    <row r="456" spans="1:5" x14ac:dyDescent="0.25">
      <c r="A456" s="6" t="s">
        <v>929</v>
      </c>
      <c r="B456" s="6">
        <v>5.68</v>
      </c>
      <c r="C456" s="6">
        <v>82</v>
      </c>
      <c r="D456" s="6">
        <v>25.75</v>
      </c>
      <c r="E456" s="6">
        <v>318</v>
      </c>
    </row>
    <row r="457" spans="1:5" x14ac:dyDescent="0.25">
      <c r="A457" s="6" t="s">
        <v>277</v>
      </c>
      <c r="B457" s="6">
        <v>5.88</v>
      </c>
      <c r="C457" s="6">
        <v>110</v>
      </c>
      <c r="D457" s="6">
        <v>15.22</v>
      </c>
      <c r="E457" s="6">
        <v>197</v>
      </c>
    </row>
    <row r="458" spans="1:5" x14ac:dyDescent="0.25">
      <c r="A458" s="6" t="s">
        <v>278</v>
      </c>
      <c r="B458" s="6">
        <v>4.3</v>
      </c>
      <c r="C458" s="6">
        <v>82</v>
      </c>
      <c r="D458" s="6">
        <v>18.059999999999999</v>
      </c>
      <c r="E458" s="6">
        <v>249</v>
      </c>
    </row>
    <row r="459" spans="1:5" x14ac:dyDescent="0.25">
      <c r="A459" s="6" t="s">
        <v>930</v>
      </c>
      <c r="B459" s="6">
        <v>12.42</v>
      </c>
      <c r="C459" s="6">
        <v>159</v>
      </c>
      <c r="D459" s="6">
        <v>20.97</v>
      </c>
      <c r="E459" s="6">
        <v>275</v>
      </c>
    </row>
    <row r="460" spans="1:5" x14ac:dyDescent="0.25">
      <c r="A460" s="6" t="s">
        <v>421</v>
      </c>
      <c r="B460" s="6">
        <v>8.64</v>
      </c>
      <c r="C460" s="6">
        <v>106</v>
      </c>
      <c r="D460" s="6">
        <v>23.34</v>
      </c>
      <c r="E460" s="6">
        <v>217</v>
      </c>
    </row>
    <row r="461" spans="1:5" x14ac:dyDescent="0.25">
      <c r="A461" s="6" t="s">
        <v>331</v>
      </c>
      <c r="B461" s="6">
        <v>2.82</v>
      </c>
      <c r="C461" s="6">
        <v>62</v>
      </c>
      <c r="D461" s="6">
        <v>12.87</v>
      </c>
      <c r="E461" s="6">
        <v>192</v>
      </c>
    </row>
    <row r="462" spans="1:5" x14ac:dyDescent="0.25">
      <c r="A462" s="6" t="s">
        <v>619</v>
      </c>
      <c r="B462" s="6">
        <v>5.63</v>
      </c>
      <c r="C462" s="6">
        <v>105</v>
      </c>
      <c r="D462" s="6">
        <v>15.62</v>
      </c>
      <c r="E462" s="6">
        <v>209</v>
      </c>
    </row>
    <row r="463" spans="1:5" x14ac:dyDescent="0.25">
      <c r="A463" s="6" t="s">
        <v>142</v>
      </c>
      <c r="B463" s="6">
        <v>10.33</v>
      </c>
      <c r="C463" s="6">
        <v>147</v>
      </c>
      <c r="D463" s="6">
        <v>23.39</v>
      </c>
      <c r="E463" s="6">
        <v>299</v>
      </c>
    </row>
    <row r="464" spans="1:5" x14ac:dyDescent="0.25">
      <c r="A464" s="6" t="s">
        <v>93</v>
      </c>
      <c r="B464" s="6">
        <v>3.22</v>
      </c>
      <c r="C464" s="6">
        <v>84</v>
      </c>
      <c r="D464" s="6">
        <v>15.29</v>
      </c>
      <c r="E464" s="6">
        <v>218</v>
      </c>
    </row>
    <row r="465" spans="1:5" x14ac:dyDescent="0.25">
      <c r="A465" s="6" t="s">
        <v>219</v>
      </c>
      <c r="B465" s="6">
        <v>5.79</v>
      </c>
      <c r="C465" s="6">
        <v>113</v>
      </c>
      <c r="D465" s="6">
        <v>16.78</v>
      </c>
      <c r="E465" s="6">
        <v>281</v>
      </c>
    </row>
    <row r="466" spans="1:5" x14ac:dyDescent="0.25">
      <c r="A466" s="6" t="s">
        <v>156</v>
      </c>
      <c r="B466" s="6">
        <v>6.61</v>
      </c>
      <c r="C466" s="6">
        <v>105</v>
      </c>
      <c r="D466" s="6">
        <v>14.67</v>
      </c>
      <c r="E466" s="6">
        <v>147</v>
      </c>
    </row>
    <row r="467" spans="1:5" x14ac:dyDescent="0.25">
      <c r="A467" s="6" t="s">
        <v>435</v>
      </c>
      <c r="B467" s="6">
        <v>4.6100000000000003</v>
      </c>
      <c r="C467" s="6">
        <v>87</v>
      </c>
      <c r="D467" s="6">
        <v>7.84</v>
      </c>
      <c r="E467" s="6">
        <v>68</v>
      </c>
    </row>
    <row r="468" spans="1:5" x14ac:dyDescent="0.25">
      <c r="A468" s="6" t="s">
        <v>551</v>
      </c>
      <c r="B468" s="6">
        <v>4.3</v>
      </c>
      <c r="C468" s="6">
        <v>84</v>
      </c>
      <c r="D468" s="6">
        <v>19.71</v>
      </c>
      <c r="E468" s="6">
        <v>278</v>
      </c>
    </row>
    <row r="469" spans="1:5" x14ac:dyDescent="0.25">
      <c r="A469" s="6" t="s">
        <v>170</v>
      </c>
      <c r="B469" s="6">
        <v>1.28</v>
      </c>
      <c r="C469" s="6">
        <v>25</v>
      </c>
      <c r="D469" s="6">
        <v>6.96</v>
      </c>
      <c r="E469" s="6">
        <v>61</v>
      </c>
    </row>
    <row r="470" spans="1:5" x14ac:dyDescent="0.25">
      <c r="A470" s="6" t="s">
        <v>691</v>
      </c>
      <c r="B470" s="6">
        <v>12.06</v>
      </c>
      <c r="C470" s="6">
        <v>122</v>
      </c>
      <c r="D470" s="6">
        <v>55.69</v>
      </c>
      <c r="E470" s="6">
        <v>583</v>
      </c>
    </row>
    <row r="471" spans="1:5" x14ac:dyDescent="0.25">
      <c r="A471" s="6" t="s">
        <v>675</v>
      </c>
      <c r="B471" s="6">
        <v>5.46</v>
      </c>
      <c r="C471" s="6">
        <v>108</v>
      </c>
      <c r="D471" s="6">
        <v>21.83</v>
      </c>
      <c r="E471" s="6">
        <v>292</v>
      </c>
    </row>
    <row r="472" spans="1:5" x14ac:dyDescent="0.25">
      <c r="A472" s="6" t="s">
        <v>437</v>
      </c>
      <c r="B472" s="6">
        <v>4.0999999999999996</v>
      </c>
      <c r="C472" s="6">
        <v>83</v>
      </c>
      <c r="D472" s="6">
        <v>19.309999999999999</v>
      </c>
      <c r="E472" s="6">
        <v>273</v>
      </c>
    </row>
    <row r="473" spans="1:5" x14ac:dyDescent="0.25">
      <c r="A473" s="6" t="s">
        <v>625</v>
      </c>
      <c r="B473" s="6">
        <v>4.33</v>
      </c>
      <c r="C473" s="6">
        <v>85</v>
      </c>
      <c r="D473" s="6">
        <v>27.61</v>
      </c>
      <c r="E473" s="6">
        <v>349</v>
      </c>
    </row>
    <row r="474" spans="1:5" x14ac:dyDescent="0.25">
      <c r="A474" s="6" t="s">
        <v>134</v>
      </c>
      <c r="B474" s="6">
        <v>11.56</v>
      </c>
      <c r="C474" s="6">
        <v>149</v>
      </c>
      <c r="D474" s="6">
        <v>18.579999999999998</v>
      </c>
      <c r="E474" s="6">
        <v>218</v>
      </c>
    </row>
    <row r="475" spans="1:5" x14ac:dyDescent="0.25">
      <c r="A475" s="6" t="s">
        <v>282</v>
      </c>
      <c r="B475" s="6">
        <v>13.82</v>
      </c>
      <c r="C475" s="6">
        <v>244</v>
      </c>
      <c r="D475" s="6">
        <v>18.29</v>
      </c>
      <c r="E475" s="6">
        <v>227</v>
      </c>
    </row>
    <row r="476" spans="1:5" x14ac:dyDescent="0.25">
      <c r="A476" s="6" t="s">
        <v>931</v>
      </c>
      <c r="B476" s="6">
        <v>5.38</v>
      </c>
      <c r="C476" s="6">
        <v>104</v>
      </c>
      <c r="D476" s="6">
        <v>19.329999999999998</v>
      </c>
      <c r="E476" s="6">
        <v>207</v>
      </c>
    </row>
    <row r="477" spans="1:5" x14ac:dyDescent="0.25">
      <c r="A477" s="6" t="s">
        <v>932</v>
      </c>
      <c r="B477" s="6">
        <v>5.56</v>
      </c>
      <c r="C477" s="6">
        <v>100</v>
      </c>
      <c r="D477" s="6">
        <v>25.27</v>
      </c>
      <c r="E477" s="6">
        <v>278</v>
      </c>
    </row>
    <row r="478" spans="1:5" x14ac:dyDescent="0.25">
      <c r="A478" s="6" t="s">
        <v>815</v>
      </c>
      <c r="B478" s="6">
        <v>7.19</v>
      </c>
      <c r="C478" s="6">
        <v>122</v>
      </c>
      <c r="D478" s="6">
        <v>14.96</v>
      </c>
      <c r="E478" s="6">
        <v>185</v>
      </c>
    </row>
    <row r="479" spans="1:5" x14ac:dyDescent="0.25">
      <c r="A479" s="6" t="s">
        <v>642</v>
      </c>
      <c r="B479" s="6">
        <v>2.11</v>
      </c>
      <c r="C479" s="6">
        <v>56</v>
      </c>
      <c r="D479" s="6">
        <v>22.99</v>
      </c>
      <c r="E479" s="6">
        <v>383</v>
      </c>
    </row>
    <row r="480" spans="1:5" x14ac:dyDescent="0.25">
      <c r="A480" s="6" t="s">
        <v>469</v>
      </c>
      <c r="B480" s="6">
        <v>8.92</v>
      </c>
      <c r="C480" s="6">
        <v>117</v>
      </c>
      <c r="D480" s="6">
        <v>18.5</v>
      </c>
      <c r="E480" s="6">
        <v>207</v>
      </c>
    </row>
    <row r="481" spans="1:5" x14ac:dyDescent="0.25">
      <c r="A481" s="6" t="s">
        <v>816</v>
      </c>
      <c r="B481" s="6">
        <v>6.62</v>
      </c>
      <c r="C481" s="6">
        <v>118</v>
      </c>
      <c r="D481" s="6">
        <v>22.65</v>
      </c>
      <c r="E481" s="6">
        <v>300</v>
      </c>
    </row>
    <row r="482" spans="1:5" x14ac:dyDescent="0.25">
      <c r="A482" s="6" t="s">
        <v>399</v>
      </c>
      <c r="B482" s="6">
        <v>4.58</v>
      </c>
      <c r="C482" s="6">
        <v>103</v>
      </c>
      <c r="D482" s="6">
        <v>16.82</v>
      </c>
      <c r="E482" s="6">
        <v>252</v>
      </c>
    </row>
    <row r="483" spans="1:5" x14ac:dyDescent="0.25">
      <c r="A483" s="6" t="s">
        <v>64</v>
      </c>
      <c r="B483" s="6">
        <v>14.72</v>
      </c>
      <c r="C483" s="6">
        <v>192</v>
      </c>
      <c r="D483" s="6">
        <v>46.99</v>
      </c>
      <c r="E483" s="6">
        <v>549</v>
      </c>
    </row>
    <row r="484" spans="1:5" x14ac:dyDescent="0.25">
      <c r="A484" s="6" t="s">
        <v>116</v>
      </c>
      <c r="B484" s="6">
        <v>4.9000000000000004</v>
      </c>
      <c r="C484" s="6">
        <v>88</v>
      </c>
      <c r="D484" s="6">
        <v>37.76</v>
      </c>
      <c r="E484" s="6">
        <v>570</v>
      </c>
    </row>
    <row r="485" spans="1:5" x14ac:dyDescent="0.25">
      <c r="A485" s="6" t="s">
        <v>427</v>
      </c>
      <c r="B485" s="6">
        <v>5.88</v>
      </c>
      <c r="C485" s="6">
        <v>85</v>
      </c>
      <c r="D485" s="6">
        <v>24.78</v>
      </c>
      <c r="E485" s="6">
        <v>327</v>
      </c>
    </row>
    <row r="486" spans="1:5" x14ac:dyDescent="0.25">
      <c r="A486" s="6" t="s">
        <v>933</v>
      </c>
      <c r="B486" s="6">
        <v>2.5299999999999998</v>
      </c>
      <c r="C486" s="6">
        <v>68</v>
      </c>
      <c r="D486" s="6">
        <v>7.68</v>
      </c>
      <c r="E486" s="6">
        <v>90</v>
      </c>
    </row>
    <row r="487" spans="1:5" x14ac:dyDescent="0.25">
      <c r="A487" s="6" t="s">
        <v>280</v>
      </c>
      <c r="B487" s="6">
        <v>3.88</v>
      </c>
      <c r="C487" s="6">
        <v>92</v>
      </c>
      <c r="D487" s="6">
        <v>14.43</v>
      </c>
      <c r="E487" s="6">
        <v>212</v>
      </c>
    </row>
    <row r="488" spans="1:5" x14ac:dyDescent="0.25">
      <c r="A488" s="6" t="s">
        <v>140</v>
      </c>
      <c r="B488" s="6">
        <v>2.0299999999999998</v>
      </c>
      <c r="C488" s="6">
        <v>58</v>
      </c>
      <c r="D488" s="6">
        <v>6.85</v>
      </c>
      <c r="E488" s="6">
        <v>73</v>
      </c>
    </row>
    <row r="489" spans="1:5" x14ac:dyDescent="0.25">
      <c r="A489" s="6" t="s">
        <v>561</v>
      </c>
      <c r="B489" s="6">
        <v>15.28</v>
      </c>
      <c r="C489" s="6">
        <v>142</v>
      </c>
      <c r="D489" s="6">
        <v>32.1</v>
      </c>
      <c r="E489" s="6">
        <v>410</v>
      </c>
    </row>
    <row r="490" spans="1:5" x14ac:dyDescent="0.25">
      <c r="A490" s="6" t="s">
        <v>648</v>
      </c>
      <c r="B490" s="6">
        <v>7.53</v>
      </c>
      <c r="C490" s="6">
        <v>127</v>
      </c>
      <c r="D490" s="6">
        <v>31.2</v>
      </c>
      <c r="E490" s="6">
        <v>459</v>
      </c>
    </row>
    <row r="491" spans="1:5" x14ac:dyDescent="0.25">
      <c r="A491" s="6" t="s">
        <v>521</v>
      </c>
      <c r="B491" s="6">
        <v>7.55</v>
      </c>
      <c r="C491" s="6">
        <v>110</v>
      </c>
      <c r="D491" s="6">
        <v>19.399999999999999</v>
      </c>
      <c r="E491" s="6">
        <v>290</v>
      </c>
    </row>
    <row r="492" spans="1:5" x14ac:dyDescent="0.25">
      <c r="A492" s="6" t="s">
        <v>817</v>
      </c>
      <c r="B492" s="6">
        <v>3.89</v>
      </c>
      <c r="C492" s="6">
        <v>85</v>
      </c>
      <c r="D492" s="6">
        <v>13.2</v>
      </c>
      <c r="E492" s="6">
        <v>247</v>
      </c>
    </row>
    <row r="493" spans="1:5" x14ac:dyDescent="0.25">
      <c r="A493" s="6" t="s">
        <v>818</v>
      </c>
      <c r="B493" s="6">
        <v>8.83</v>
      </c>
      <c r="C493" s="6">
        <v>178</v>
      </c>
      <c r="D493" s="6">
        <v>46.48</v>
      </c>
      <c r="E493" s="6">
        <v>676</v>
      </c>
    </row>
    <row r="494" spans="1:5" x14ac:dyDescent="0.25">
      <c r="A494" s="6" t="s">
        <v>114</v>
      </c>
      <c r="B494" s="6">
        <v>12.1</v>
      </c>
      <c r="C494" s="6">
        <v>159</v>
      </c>
      <c r="D494" s="6">
        <v>43.93</v>
      </c>
      <c r="E494" s="6">
        <v>585</v>
      </c>
    </row>
    <row r="495" spans="1:5" x14ac:dyDescent="0.25">
      <c r="A495" s="6" t="s">
        <v>213</v>
      </c>
      <c r="B495" s="6">
        <v>7.49</v>
      </c>
      <c r="C495" s="6">
        <v>115</v>
      </c>
      <c r="D495" s="6">
        <v>20.58</v>
      </c>
      <c r="E495" s="6">
        <v>341</v>
      </c>
    </row>
    <row r="496" spans="1:5" x14ac:dyDescent="0.25">
      <c r="A496" s="6" t="s">
        <v>652</v>
      </c>
      <c r="B496" s="6">
        <v>9.9499999999999993</v>
      </c>
      <c r="C496" s="6">
        <v>151</v>
      </c>
      <c r="D496" s="6">
        <v>29.75</v>
      </c>
      <c r="E496" s="6">
        <v>457</v>
      </c>
    </row>
    <row r="497" spans="1:5" x14ac:dyDescent="0.25">
      <c r="A497" s="6" t="s">
        <v>136</v>
      </c>
      <c r="B497" s="6">
        <v>3.98</v>
      </c>
      <c r="C497" s="6">
        <v>88</v>
      </c>
      <c r="D497" s="6">
        <v>19.89</v>
      </c>
      <c r="E497" s="6">
        <v>236</v>
      </c>
    </row>
    <row r="498" spans="1:5" x14ac:dyDescent="0.25">
      <c r="A498" s="6" t="s">
        <v>665</v>
      </c>
      <c r="B498" s="6">
        <v>3.06</v>
      </c>
      <c r="C498" s="6">
        <v>68</v>
      </c>
      <c r="D498" s="6">
        <v>10.09</v>
      </c>
      <c r="E498" s="6">
        <v>120</v>
      </c>
    </row>
    <row r="499" spans="1:5" x14ac:dyDescent="0.25">
      <c r="A499" s="6" t="s">
        <v>328</v>
      </c>
      <c r="B499" s="6">
        <v>10.4</v>
      </c>
      <c r="C499" s="6">
        <v>204</v>
      </c>
      <c r="D499" s="6">
        <v>15</v>
      </c>
      <c r="E499" s="6">
        <v>222</v>
      </c>
    </row>
    <row r="500" spans="1:5" x14ac:dyDescent="0.25">
      <c r="A500" s="6" t="s">
        <v>293</v>
      </c>
      <c r="B500" s="6">
        <v>7.04</v>
      </c>
      <c r="C500" s="6">
        <v>109</v>
      </c>
      <c r="D500" s="6">
        <v>13.82</v>
      </c>
      <c r="E500" s="6">
        <v>138</v>
      </c>
    </row>
    <row r="501" spans="1:5" x14ac:dyDescent="0.25">
      <c r="A501" s="6" t="s">
        <v>193</v>
      </c>
      <c r="B501" s="6">
        <v>5.92</v>
      </c>
      <c r="C501" s="6">
        <v>112</v>
      </c>
      <c r="D501" s="6">
        <v>29.21</v>
      </c>
      <c r="E501" s="6">
        <v>456</v>
      </c>
    </row>
    <row r="502" spans="1:5" x14ac:dyDescent="0.25">
      <c r="A502" s="6" t="s">
        <v>510</v>
      </c>
      <c r="B502" s="6">
        <v>3.25</v>
      </c>
      <c r="C502" s="6">
        <v>75</v>
      </c>
      <c r="D502" s="6">
        <v>25.48</v>
      </c>
      <c r="E502" s="6">
        <v>371</v>
      </c>
    </row>
    <row r="503" spans="1:5" x14ac:dyDescent="0.25">
      <c r="A503" s="6" t="s">
        <v>192</v>
      </c>
      <c r="B503" s="6">
        <v>5.49</v>
      </c>
      <c r="C503" s="6">
        <v>104</v>
      </c>
      <c r="D503" s="6">
        <v>24.85</v>
      </c>
      <c r="E503" s="6">
        <v>315</v>
      </c>
    </row>
    <row r="504" spans="1:5" x14ac:dyDescent="0.25">
      <c r="A504" s="6" t="s">
        <v>819</v>
      </c>
      <c r="B504" s="6">
        <v>21.62</v>
      </c>
      <c r="C504" s="6">
        <v>243</v>
      </c>
      <c r="D504" s="6">
        <v>32.840000000000003</v>
      </c>
      <c r="E504" s="6">
        <v>303</v>
      </c>
    </row>
    <row r="505" spans="1:5" x14ac:dyDescent="0.25">
      <c r="A505" s="6" t="s">
        <v>162</v>
      </c>
      <c r="B505" s="6">
        <v>13.2</v>
      </c>
      <c r="C505" s="6">
        <v>182</v>
      </c>
      <c r="D505" s="6">
        <v>27.6</v>
      </c>
      <c r="E505" s="6">
        <v>361</v>
      </c>
    </row>
    <row r="506" spans="1:5" x14ac:dyDescent="0.25">
      <c r="A506" s="6" t="s">
        <v>135</v>
      </c>
      <c r="B506" s="6">
        <v>4.6100000000000003</v>
      </c>
      <c r="C506" s="6">
        <v>109</v>
      </c>
      <c r="D506" s="6">
        <v>21.2</v>
      </c>
      <c r="E506" s="6">
        <v>418</v>
      </c>
    </row>
    <row r="507" spans="1:5" x14ac:dyDescent="0.25">
      <c r="A507" s="6" t="s">
        <v>499</v>
      </c>
      <c r="B507" s="6">
        <v>23.63</v>
      </c>
      <c r="C507" s="6">
        <v>296</v>
      </c>
      <c r="D507" s="6">
        <v>19.62</v>
      </c>
      <c r="E507" s="6">
        <v>261</v>
      </c>
    </row>
    <row r="508" spans="1:5" x14ac:dyDescent="0.25">
      <c r="A508" s="6" t="s">
        <v>178</v>
      </c>
      <c r="B508" s="6">
        <v>3.84</v>
      </c>
      <c r="C508" s="6">
        <v>86</v>
      </c>
      <c r="D508" s="6">
        <v>9.36</v>
      </c>
      <c r="E508" s="6">
        <v>154</v>
      </c>
    </row>
    <row r="509" spans="1:5" x14ac:dyDescent="0.25">
      <c r="A509" s="6" t="s">
        <v>934</v>
      </c>
      <c r="B509" s="6">
        <v>17.73</v>
      </c>
      <c r="C509" s="6">
        <v>181</v>
      </c>
      <c r="D509" s="6">
        <v>29.81</v>
      </c>
      <c r="E509" s="6">
        <v>310</v>
      </c>
    </row>
    <row r="510" spans="1:5" x14ac:dyDescent="0.25">
      <c r="A510" s="6" t="s">
        <v>151</v>
      </c>
      <c r="B510" s="6">
        <v>2.2599999999999998</v>
      </c>
      <c r="C510" s="6">
        <v>62</v>
      </c>
      <c r="D510" s="6">
        <v>16.440000000000001</v>
      </c>
      <c r="E510" s="6">
        <v>299</v>
      </c>
    </row>
    <row r="511" spans="1:5" x14ac:dyDescent="0.25">
      <c r="A511" s="6" t="s">
        <v>285</v>
      </c>
      <c r="B511" s="6">
        <v>6.61</v>
      </c>
      <c r="C511" s="6">
        <v>130</v>
      </c>
      <c r="D511" s="6">
        <v>27.77</v>
      </c>
      <c r="E511" s="6">
        <v>368</v>
      </c>
    </row>
    <row r="512" spans="1:5" x14ac:dyDescent="0.25">
      <c r="A512" s="6" t="s">
        <v>415</v>
      </c>
      <c r="B512" s="6">
        <v>14.99</v>
      </c>
      <c r="C512" s="6">
        <v>218</v>
      </c>
      <c r="D512" s="6">
        <v>21.98</v>
      </c>
      <c r="E512" s="6">
        <v>260</v>
      </c>
    </row>
    <row r="513" spans="1:5" x14ac:dyDescent="0.25">
      <c r="A513" s="6" t="s">
        <v>14</v>
      </c>
      <c r="B513" s="6">
        <v>3.77</v>
      </c>
      <c r="C513" s="6">
        <v>88</v>
      </c>
      <c r="D513" s="6">
        <v>14.16</v>
      </c>
      <c r="E513" s="6">
        <v>204</v>
      </c>
    </row>
    <row r="514" spans="1:5" x14ac:dyDescent="0.25">
      <c r="A514" s="6" t="s">
        <v>516</v>
      </c>
      <c r="B514" s="6">
        <v>1.58</v>
      </c>
      <c r="C514" s="6">
        <v>48</v>
      </c>
      <c r="D514" s="6">
        <v>16.5</v>
      </c>
      <c r="E514" s="6">
        <v>256</v>
      </c>
    </row>
    <row r="515" spans="1:5" x14ac:dyDescent="0.25">
      <c r="A515" s="6" t="s">
        <v>661</v>
      </c>
      <c r="B515" s="6">
        <v>2.69</v>
      </c>
      <c r="C515" s="6">
        <v>54</v>
      </c>
      <c r="D515" s="6">
        <v>23.71</v>
      </c>
      <c r="E515" s="6">
        <v>357</v>
      </c>
    </row>
    <row r="516" spans="1:5" x14ac:dyDescent="0.25">
      <c r="A516" s="6" t="s">
        <v>820</v>
      </c>
      <c r="B516" s="6">
        <v>3.75</v>
      </c>
      <c r="C516" s="6">
        <v>90</v>
      </c>
      <c r="D516" s="6">
        <v>25.94</v>
      </c>
      <c r="E516" s="6">
        <v>346</v>
      </c>
    </row>
    <row r="517" spans="1:5" x14ac:dyDescent="0.25">
      <c r="A517" s="6" t="s">
        <v>189</v>
      </c>
      <c r="B517" s="6">
        <v>9.17</v>
      </c>
      <c r="C517" s="6">
        <v>128</v>
      </c>
      <c r="D517" s="6">
        <v>26.4</v>
      </c>
      <c r="E517" s="6">
        <v>289</v>
      </c>
    </row>
    <row r="518" spans="1:5" x14ac:dyDescent="0.25">
      <c r="A518" s="6" t="s">
        <v>75</v>
      </c>
      <c r="B518" s="6">
        <v>9.94</v>
      </c>
      <c r="C518" s="6">
        <v>140</v>
      </c>
      <c r="D518" s="6">
        <v>24.84</v>
      </c>
      <c r="E518" s="6">
        <v>291</v>
      </c>
    </row>
    <row r="519" spans="1:5" x14ac:dyDescent="0.25">
      <c r="A519" s="6" t="s">
        <v>821</v>
      </c>
      <c r="B519" s="6">
        <v>4.6100000000000003</v>
      </c>
      <c r="C519" s="6">
        <v>82</v>
      </c>
      <c r="D519" s="6">
        <v>26.42</v>
      </c>
      <c r="E519" s="6">
        <v>247</v>
      </c>
    </row>
    <row r="520" spans="1:5" x14ac:dyDescent="0.25">
      <c r="A520" s="6" t="s">
        <v>822</v>
      </c>
      <c r="B520" s="6">
        <v>8.11</v>
      </c>
      <c r="C520" s="6">
        <v>142</v>
      </c>
      <c r="D520" s="6">
        <v>21.88</v>
      </c>
      <c r="E520" s="6">
        <v>240</v>
      </c>
    </row>
    <row r="521" spans="1:5" x14ac:dyDescent="0.25">
      <c r="A521" s="6" t="s">
        <v>58</v>
      </c>
      <c r="B521" s="6">
        <v>3.22</v>
      </c>
      <c r="C521" s="6">
        <v>64</v>
      </c>
      <c r="D521" s="6">
        <v>15.41</v>
      </c>
      <c r="E521" s="6">
        <v>205</v>
      </c>
    </row>
    <row r="522" spans="1:5" x14ac:dyDescent="0.25">
      <c r="A522" s="6" t="s">
        <v>322</v>
      </c>
      <c r="B522" s="6">
        <v>3.34</v>
      </c>
      <c r="C522" s="6">
        <v>71</v>
      </c>
      <c r="D522" s="6">
        <v>21.16</v>
      </c>
      <c r="E522" s="6">
        <v>268</v>
      </c>
    </row>
    <row r="523" spans="1:5" x14ac:dyDescent="0.25">
      <c r="A523" s="6" t="s">
        <v>215</v>
      </c>
      <c r="B523" s="6">
        <v>5.4</v>
      </c>
      <c r="C523" s="6">
        <v>91</v>
      </c>
      <c r="D523" s="6">
        <v>22.38</v>
      </c>
      <c r="E523" s="6">
        <v>264</v>
      </c>
    </row>
    <row r="524" spans="1:5" x14ac:dyDescent="0.25">
      <c r="A524" s="6" t="s">
        <v>682</v>
      </c>
      <c r="B524" s="6">
        <v>4.3600000000000003</v>
      </c>
      <c r="C524" s="6">
        <v>102</v>
      </c>
      <c r="D524" s="6">
        <v>12.17</v>
      </c>
      <c r="E524" s="6">
        <v>137</v>
      </c>
    </row>
    <row r="525" spans="1:5" x14ac:dyDescent="0.25">
      <c r="A525" s="6" t="s">
        <v>747</v>
      </c>
      <c r="B525" s="6">
        <v>1.89</v>
      </c>
      <c r="C525" s="6">
        <v>47</v>
      </c>
      <c r="D525" s="6">
        <v>10.55</v>
      </c>
      <c r="E525" s="6">
        <v>132</v>
      </c>
    </row>
    <row r="526" spans="1:5" x14ac:dyDescent="0.25">
      <c r="A526" s="6" t="s">
        <v>73</v>
      </c>
      <c r="B526" s="6">
        <v>6.87</v>
      </c>
      <c r="C526" s="6">
        <v>105</v>
      </c>
      <c r="D526" s="6">
        <v>19.579999999999998</v>
      </c>
      <c r="E526" s="6">
        <v>242</v>
      </c>
    </row>
    <row r="527" spans="1:5" x14ac:dyDescent="0.25">
      <c r="A527" s="6" t="s">
        <v>191</v>
      </c>
      <c r="B527" s="6">
        <v>6.61</v>
      </c>
      <c r="C527" s="6">
        <v>135</v>
      </c>
      <c r="D527" s="6">
        <v>23.62</v>
      </c>
      <c r="E527" s="6">
        <v>345</v>
      </c>
    </row>
    <row r="528" spans="1:5" x14ac:dyDescent="0.25">
      <c r="A528" s="6" t="s">
        <v>562</v>
      </c>
      <c r="B528" s="6">
        <v>8.74</v>
      </c>
      <c r="C528" s="6">
        <v>139</v>
      </c>
      <c r="D528" s="6">
        <v>29.98</v>
      </c>
      <c r="E528" s="6">
        <v>387</v>
      </c>
    </row>
    <row r="529" spans="1:5" x14ac:dyDescent="0.25">
      <c r="A529" s="6" t="s">
        <v>526</v>
      </c>
      <c r="B529" s="6">
        <v>4.0199999999999996</v>
      </c>
      <c r="C529" s="6">
        <v>88</v>
      </c>
      <c r="D529" s="6">
        <v>19.37</v>
      </c>
      <c r="E529" s="6">
        <v>336</v>
      </c>
    </row>
    <row r="530" spans="1:5" x14ac:dyDescent="0.25">
      <c r="A530" s="6" t="s">
        <v>503</v>
      </c>
      <c r="B530" s="6">
        <v>14.16</v>
      </c>
      <c r="C530" s="6">
        <v>175</v>
      </c>
      <c r="D530" s="6">
        <v>26.7</v>
      </c>
      <c r="E530" s="6">
        <v>288</v>
      </c>
    </row>
    <row r="531" spans="1:5" x14ac:dyDescent="0.25">
      <c r="A531" s="6" t="s">
        <v>699</v>
      </c>
      <c r="B531" s="6">
        <v>3.01</v>
      </c>
      <c r="C531" s="6">
        <v>73</v>
      </c>
      <c r="D531" s="6">
        <v>14.1</v>
      </c>
      <c r="E531" s="6">
        <v>200</v>
      </c>
    </row>
    <row r="532" spans="1:5" x14ac:dyDescent="0.25">
      <c r="A532" s="6" t="s">
        <v>288</v>
      </c>
      <c r="B532" s="6">
        <v>6.17</v>
      </c>
      <c r="C532" s="6">
        <v>103</v>
      </c>
      <c r="D532" s="6">
        <v>16.3</v>
      </c>
      <c r="E532" s="6">
        <v>204</v>
      </c>
    </row>
    <row r="533" spans="1:5" x14ac:dyDescent="0.25">
      <c r="A533" s="6" t="s">
        <v>454</v>
      </c>
      <c r="B533" s="6">
        <v>8.6199999999999992</v>
      </c>
      <c r="C533" s="6">
        <v>140</v>
      </c>
      <c r="D533" s="6">
        <v>39.26</v>
      </c>
      <c r="E533" s="6">
        <v>565</v>
      </c>
    </row>
    <row r="534" spans="1:5" x14ac:dyDescent="0.25">
      <c r="A534" s="6" t="s">
        <v>935</v>
      </c>
      <c r="B534" s="6">
        <v>6.4</v>
      </c>
      <c r="C534" s="6">
        <v>115</v>
      </c>
      <c r="D534" s="6">
        <v>29.17</v>
      </c>
      <c r="E534" s="6">
        <v>398</v>
      </c>
    </row>
    <row r="535" spans="1:5" x14ac:dyDescent="0.25">
      <c r="A535" s="6" t="s">
        <v>743</v>
      </c>
      <c r="B535" s="6">
        <v>5.83</v>
      </c>
      <c r="C535" s="6">
        <v>104</v>
      </c>
      <c r="D535" s="6">
        <v>22</v>
      </c>
      <c r="E535" s="6">
        <v>302</v>
      </c>
    </row>
    <row r="536" spans="1:5" x14ac:dyDescent="0.25">
      <c r="A536" s="6" t="s">
        <v>506</v>
      </c>
      <c r="B536" s="6">
        <v>24.71</v>
      </c>
      <c r="C536" s="6">
        <v>254</v>
      </c>
      <c r="D536" s="6">
        <v>37.65</v>
      </c>
      <c r="E536" s="6">
        <v>399</v>
      </c>
    </row>
    <row r="537" spans="1:5" x14ac:dyDescent="0.25">
      <c r="A537" s="6" t="s">
        <v>580</v>
      </c>
      <c r="B537" s="6">
        <v>6.3</v>
      </c>
      <c r="C537" s="6">
        <v>115</v>
      </c>
      <c r="D537" s="6">
        <v>21.54</v>
      </c>
      <c r="E537" s="6">
        <v>281</v>
      </c>
    </row>
    <row r="538" spans="1:5" x14ac:dyDescent="0.25">
      <c r="A538" s="6" t="s">
        <v>823</v>
      </c>
      <c r="B538" s="6">
        <v>14.92</v>
      </c>
      <c r="C538" s="6">
        <v>203</v>
      </c>
      <c r="D538" s="6">
        <v>27.03</v>
      </c>
      <c r="E538" s="6">
        <v>319</v>
      </c>
    </row>
    <row r="539" spans="1:5" x14ac:dyDescent="0.25">
      <c r="A539" s="6" t="s">
        <v>357</v>
      </c>
      <c r="B539" s="6">
        <v>10.62</v>
      </c>
      <c r="C539" s="6">
        <v>154</v>
      </c>
      <c r="D539" s="6">
        <v>26.81</v>
      </c>
      <c r="E539" s="6">
        <v>359</v>
      </c>
    </row>
    <row r="540" spans="1:5" x14ac:dyDescent="0.25">
      <c r="A540" s="6" t="s">
        <v>69</v>
      </c>
      <c r="B540" s="6">
        <v>3.85</v>
      </c>
      <c r="C540" s="6">
        <v>68</v>
      </c>
      <c r="D540" s="6">
        <v>16</v>
      </c>
      <c r="E540" s="6">
        <v>202</v>
      </c>
    </row>
    <row r="541" spans="1:5" x14ac:dyDescent="0.25">
      <c r="A541" s="6" t="s">
        <v>269</v>
      </c>
      <c r="B541" s="6">
        <v>22.99</v>
      </c>
      <c r="C541" s="6">
        <v>281</v>
      </c>
      <c r="D541" s="6">
        <v>24.25</v>
      </c>
      <c r="E541" s="6">
        <v>425</v>
      </c>
    </row>
    <row r="542" spans="1:5" x14ac:dyDescent="0.25">
      <c r="A542" s="6" t="s">
        <v>824</v>
      </c>
      <c r="B542" s="6">
        <v>5.61</v>
      </c>
      <c r="C542" s="6">
        <v>123</v>
      </c>
      <c r="D542" s="6">
        <v>36.950000000000003</v>
      </c>
      <c r="E542" s="6">
        <v>489</v>
      </c>
    </row>
    <row r="543" spans="1:5" x14ac:dyDescent="0.25">
      <c r="A543" s="6" t="s">
        <v>739</v>
      </c>
      <c r="B543" s="6">
        <v>2.16</v>
      </c>
      <c r="C543" s="6">
        <v>41</v>
      </c>
      <c r="D543" s="6">
        <v>14.34</v>
      </c>
      <c r="E543" s="6">
        <v>187</v>
      </c>
    </row>
    <row r="544" spans="1:5" x14ac:dyDescent="0.25">
      <c r="A544" s="6" t="s">
        <v>431</v>
      </c>
      <c r="B544" s="6">
        <v>2.5</v>
      </c>
      <c r="C544" s="6">
        <v>53</v>
      </c>
      <c r="D544" s="6">
        <v>11.02</v>
      </c>
      <c r="E544" s="6">
        <v>131</v>
      </c>
    </row>
    <row r="545" spans="1:5" x14ac:dyDescent="0.25">
      <c r="A545" s="6" t="s">
        <v>524</v>
      </c>
      <c r="B545" s="6">
        <v>7.27</v>
      </c>
      <c r="C545" s="6">
        <v>121</v>
      </c>
      <c r="D545" s="6">
        <v>29.46</v>
      </c>
      <c r="E545" s="6">
        <v>313</v>
      </c>
    </row>
    <row r="546" spans="1:5" x14ac:dyDescent="0.25">
      <c r="A546" s="6" t="s">
        <v>36</v>
      </c>
      <c r="B546" s="6">
        <v>1.82</v>
      </c>
      <c r="C546" s="6">
        <v>53</v>
      </c>
      <c r="D546" s="6">
        <v>9.9700000000000006</v>
      </c>
      <c r="E546" s="6">
        <v>129</v>
      </c>
    </row>
    <row r="547" spans="1:5" x14ac:dyDescent="0.25">
      <c r="A547" s="6" t="s">
        <v>586</v>
      </c>
      <c r="B547" s="6">
        <v>3.75</v>
      </c>
      <c r="C547" s="6">
        <v>78</v>
      </c>
      <c r="D547" s="6">
        <v>29.37</v>
      </c>
      <c r="E547" s="6">
        <v>435</v>
      </c>
    </row>
    <row r="548" spans="1:5" x14ac:dyDescent="0.25">
      <c r="A548" s="6" t="s">
        <v>397</v>
      </c>
      <c r="B548" s="6">
        <v>6.69</v>
      </c>
      <c r="C548" s="6">
        <v>118</v>
      </c>
      <c r="D548" s="6">
        <v>20.18</v>
      </c>
      <c r="E548" s="6">
        <v>306</v>
      </c>
    </row>
    <row r="549" spans="1:5" x14ac:dyDescent="0.25">
      <c r="A549" s="6" t="s">
        <v>443</v>
      </c>
      <c r="B549" s="6">
        <v>3.83</v>
      </c>
      <c r="C549" s="6">
        <v>84</v>
      </c>
      <c r="D549" s="6">
        <v>13.14</v>
      </c>
      <c r="E549" s="6">
        <v>167</v>
      </c>
    </row>
    <row r="550" spans="1:5" x14ac:dyDescent="0.25">
      <c r="A550" s="6" t="s">
        <v>261</v>
      </c>
      <c r="B550" s="6">
        <v>6.21</v>
      </c>
      <c r="C550" s="6">
        <v>122</v>
      </c>
      <c r="D550" s="6">
        <v>7.65</v>
      </c>
      <c r="E550" s="6">
        <v>66</v>
      </c>
    </row>
    <row r="551" spans="1:5" x14ac:dyDescent="0.25">
      <c r="A551" s="6" t="s">
        <v>718</v>
      </c>
      <c r="B551" s="6">
        <v>2.96</v>
      </c>
      <c r="C551" s="6">
        <v>66</v>
      </c>
      <c r="D551" s="6">
        <v>13.62</v>
      </c>
      <c r="E551" s="6">
        <v>177</v>
      </c>
    </row>
    <row r="552" spans="1:5" x14ac:dyDescent="0.25">
      <c r="A552" s="6" t="s">
        <v>825</v>
      </c>
      <c r="B552" s="6">
        <v>26.21</v>
      </c>
      <c r="C552" s="6">
        <v>178</v>
      </c>
      <c r="D552" s="6">
        <v>53.66</v>
      </c>
      <c r="E552" s="6">
        <v>489</v>
      </c>
    </row>
    <row r="553" spans="1:5" x14ac:dyDescent="0.25">
      <c r="A553" s="6" t="s">
        <v>50</v>
      </c>
      <c r="B553" s="6">
        <v>7.2</v>
      </c>
      <c r="C553" s="6">
        <v>109</v>
      </c>
      <c r="D553" s="6">
        <v>26.92</v>
      </c>
      <c r="E553" s="6">
        <v>322</v>
      </c>
    </row>
    <row r="554" spans="1:5" x14ac:dyDescent="0.25">
      <c r="A554" s="6" t="s">
        <v>826</v>
      </c>
      <c r="B554" s="6">
        <v>9.07</v>
      </c>
      <c r="C554" s="6">
        <v>120</v>
      </c>
      <c r="D554" s="6">
        <v>39.68</v>
      </c>
      <c r="E554" s="6">
        <v>486</v>
      </c>
    </row>
    <row r="555" spans="1:5" x14ac:dyDescent="0.25">
      <c r="A555" s="6" t="s">
        <v>120</v>
      </c>
      <c r="B555" s="6">
        <v>2.65</v>
      </c>
      <c r="C555" s="6">
        <v>57</v>
      </c>
      <c r="D555" s="6">
        <v>13.33</v>
      </c>
      <c r="E555" s="6">
        <v>154</v>
      </c>
    </row>
    <row r="556" spans="1:5" x14ac:dyDescent="0.25">
      <c r="A556" s="6" t="s">
        <v>79</v>
      </c>
      <c r="B556" s="6">
        <v>10.53</v>
      </c>
      <c r="C556" s="6">
        <v>129</v>
      </c>
      <c r="D556" s="6">
        <v>42.53</v>
      </c>
      <c r="E556" s="6">
        <v>441</v>
      </c>
    </row>
    <row r="557" spans="1:5" x14ac:dyDescent="0.25">
      <c r="A557" s="6" t="s">
        <v>662</v>
      </c>
      <c r="B557" s="6">
        <v>4.79</v>
      </c>
      <c r="C557" s="6">
        <v>99</v>
      </c>
      <c r="D557" s="6">
        <v>16.18</v>
      </c>
      <c r="E557" s="6">
        <v>223</v>
      </c>
    </row>
    <row r="558" spans="1:5" x14ac:dyDescent="0.25">
      <c r="A558" s="6" t="s">
        <v>936</v>
      </c>
      <c r="B558" s="6">
        <v>4.62</v>
      </c>
      <c r="C558" s="6">
        <v>94</v>
      </c>
      <c r="D558" s="6">
        <v>16.12</v>
      </c>
      <c r="E558" s="6">
        <v>231</v>
      </c>
    </row>
    <row r="559" spans="1:5" x14ac:dyDescent="0.25">
      <c r="A559" s="6" t="s">
        <v>333</v>
      </c>
      <c r="B559" s="6">
        <v>1.62</v>
      </c>
      <c r="C559" s="6">
        <v>35</v>
      </c>
      <c r="D559" s="6">
        <v>4.87</v>
      </c>
      <c r="E559" s="6">
        <v>40</v>
      </c>
    </row>
    <row r="560" spans="1:5" x14ac:dyDescent="0.25">
      <c r="A560" s="6" t="s">
        <v>67</v>
      </c>
      <c r="B560" s="6">
        <v>4.96</v>
      </c>
      <c r="C560" s="6">
        <v>89</v>
      </c>
      <c r="D560" s="6">
        <v>13.2</v>
      </c>
      <c r="E560" s="6">
        <v>178</v>
      </c>
    </row>
    <row r="561" spans="1:5" x14ac:dyDescent="0.25">
      <c r="A561" s="6" t="s">
        <v>225</v>
      </c>
      <c r="B561" s="6">
        <v>5.4</v>
      </c>
      <c r="C561" s="6">
        <v>97</v>
      </c>
      <c r="D561" s="6">
        <v>28.06</v>
      </c>
      <c r="E561" s="6">
        <v>394</v>
      </c>
    </row>
    <row r="562" spans="1:5" x14ac:dyDescent="0.25">
      <c r="A562" s="6" t="s">
        <v>591</v>
      </c>
      <c r="B562" s="6">
        <v>9.27</v>
      </c>
      <c r="C562" s="6">
        <v>126</v>
      </c>
      <c r="D562" s="6">
        <v>10.35</v>
      </c>
      <c r="E562" s="6">
        <v>141</v>
      </c>
    </row>
    <row r="563" spans="1:5" x14ac:dyDescent="0.25">
      <c r="A563" s="6" t="s">
        <v>827</v>
      </c>
      <c r="B563" s="6">
        <v>4.13</v>
      </c>
      <c r="C563" s="6">
        <v>101</v>
      </c>
      <c r="D563" s="6">
        <v>16.46</v>
      </c>
      <c r="E563" s="6">
        <v>220</v>
      </c>
    </row>
    <row r="564" spans="1:5" x14ac:dyDescent="0.25">
      <c r="A564" s="6" t="s">
        <v>440</v>
      </c>
      <c r="B564" s="6">
        <v>2.52</v>
      </c>
      <c r="C564" s="6">
        <v>66</v>
      </c>
      <c r="D564" s="6">
        <v>16.64</v>
      </c>
      <c r="E564" s="6">
        <v>237</v>
      </c>
    </row>
    <row r="565" spans="1:5" x14ac:dyDescent="0.25">
      <c r="A565" s="6" t="s">
        <v>126</v>
      </c>
      <c r="B565" s="6">
        <v>4.49</v>
      </c>
      <c r="C565" s="6">
        <v>93</v>
      </c>
      <c r="D565" s="6">
        <v>20.079999999999998</v>
      </c>
      <c r="E565" s="6">
        <v>268</v>
      </c>
    </row>
    <row r="566" spans="1:5" x14ac:dyDescent="0.25">
      <c r="A566" s="6" t="s">
        <v>702</v>
      </c>
      <c r="B566" s="6">
        <v>3.93</v>
      </c>
      <c r="C566" s="6">
        <v>74</v>
      </c>
      <c r="D566" s="6">
        <v>21.75</v>
      </c>
      <c r="E566" s="6">
        <v>336</v>
      </c>
    </row>
    <row r="567" spans="1:5" x14ac:dyDescent="0.25">
      <c r="A567" s="6" t="s">
        <v>107</v>
      </c>
      <c r="B567" s="6">
        <v>15.75</v>
      </c>
      <c r="C567" s="6">
        <v>177</v>
      </c>
      <c r="D567" s="6">
        <v>29.63</v>
      </c>
      <c r="E567" s="6">
        <v>291</v>
      </c>
    </row>
    <row r="568" spans="1:5" x14ac:dyDescent="0.25">
      <c r="A568" s="6" t="s">
        <v>42</v>
      </c>
      <c r="B568" s="6">
        <v>10.41</v>
      </c>
      <c r="C568" s="6">
        <v>154</v>
      </c>
      <c r="D568" s="6">
        <v>23.11</v>
      </c>
      <c r="E568" s="6">
        <v>397</v>
      </c>
    </row>
    <row r="569" spans="1:5" x14ac:dyDescent="0.25">
      <c r="A569" s="6" t="s">
        <v>724</v>
      </c>
      <c r="B569" s="6">
        <v>4.57</v>
      </c>
      <c r="C569" s="6">
        <v>101</v>
      </c>
      <c r="D569" s="6">
        <v>20.47</v>
      </c>
      <c r="E569" s="6">
        <v>255</v>
      </c>
    </row>
    <row r="570" spans="1:5" x14ac:dyDescent="0.25">
      <c r="A570" s="6" t="s">
        <v>828</v>
      </c>
      <c r="B570" s="6">
        <v>14.11</v>
      </c>
      <c r="C570" s="6">
        <v>254</v>
      </c>
      <c r="D570" s="6">
        <v>26.12</v>
      </c>
      <c r="E570" s="6">
        <v>351</v>
      </c>
    </row>
    <row r="571" spans="1:5" x14ac:dyDescent="0.25">
      <c r="A571" s="6" t="s">
        <v>937</v>
      </c>
      <c r="B571" s="6">
        <v>17.71</v>
      </c>
      <c r="C571" s="6">
        <v>239</v>
      </c>
      <c r="D571" s="6">
        <v>24.75</v>
      </c>
      <c r="E571" s="6">
        <v>350</v>
      </c>
    </row>
    <row r="572" spans="1:5" x14ac:dyDescent="0.25">
      <c r="A572" s="6" t="s">
        <v>741</v>
      </c>
      <c r="B572" s="6">
        <v>4.29</v>
      </c>
      <c r="C572" s="6">
        <v>83</v>
      </c>
      <c r="D572" s="6">
        <v>28.76</v>
      </c>
      <c r="E572" s="6">
        <v>407</v>
      </c>
    </row>
    <row r="573" spans="1:5" x14ac:dyDescent="0.25">
      <c r="A573" s="6" t="s">
        <v>738</v>
      </c>
      <c r="B573" s="6">
        <v>2.87</v>
      </c>
      <c r="C573" s="6">
        <v>67</v>
      </c>
      <c r="D573" s="6">
        <v>11.49</v>
      </c>
      <c r="E573" s="6">
        <v>136</v>
      </c>
    </row>
    <row r="574" spans="1:5" x14ac:dyDescent="0.25">
      <c r="A574" s="6" t="s">
        <v>543</v>
      </c>
      <c r="B574" s="6">
        <v>13.8</v>
      </c>
      <c r="C574" s="6">
        <v>174</v>
      </c>
      <c r="D574" s="6">
        <v>33.81</v>
      </c>
      <c r="E574" s="6">
        <v>353</v>
      </c>
    </row>
    <row r="575" spans="1:5" x14ac:dyDescent="0.25">
      <c r="A575" s="6" t="s">
        <v>737</v>
      </c>
      <c r="B575" s="6">
        <v>8.1300000000000008</v>
      </c>
      <c r="C575" s="6">
        <v>131</v>
      </c>
      <c r="D575" s="6">
        <v>20.04</v>
      </c>
      <c r="E575" s="6">
        <v>249</v>
      </c>
    </row>
    <row r="576" spans="1:5" x14ac:dyDescent="0.25">
      <c r="A576" s="6" t="s">
        <v>714</v>
      </c>
      <c r="B576" s="6">
        <v>16.66</v>
      </c>
      <c r="C576" s="6">
        <v>182</v>
      </c>
      <c r="D576" s="6">
        <v>37.89</v>
      </c>
      <c r="E576" s="6">
        <v>387</v>
      </c>
    </row>
    <row r="577" spans="1:5" x14ac:dyDescent="0.25">
      <c r="A577" s="6" t="s">
        <v>383</v>
      </c>
      <c r="B577" s="6">
        <v>6.68</v>
      </c>
      <c r="C577" s="6">
        <v>105</v>
      </c>
      <c r="D577" s="6">
        <v>18.09</v>
      </c>
      <c r="E577" s="6">
        <v>206</v>
      </c>
    </row>
    <row r="578" spans="1:5" x14ac:dyDescent="0.25">
      <c r="A578" s="6" t="s">
        <v>97</v>
      </c>
      <c r="B578" s="6">
        <v>4.68</v>
      </c>
      <c r="C578" s="6">
        <v>96</v>
      </c>
      <c r="D578" s="6">
        <v>32.25</v>
      </c>
      <c r="E578" s="6">
        <v>447</v>
      </c>
    </row>
    <row r="579" spans="1:5" x14ac:dyDescent="0.25">
      <c r="A579" s="6" t="s">
        <v>829</v>
      </c>
      <c r="B579" s="6">
        <v>6.24</v>
      </c>
      <c r="C579" s="6">
        <v>125</v>
      </c>
      <c r="D579" s="6">
        <v>15.26</v>
      </c>
      <c r="E579" s="6">
        <v>208</v>
      </c>
    </row>
    <row r="580" spans="1:5" x14ac:dyDescent="0.25">
      <c r="A580" s="6" t="s">
        <v>196</v>
      </c>
      <c r="B580" s="6">
        <v>2.29</v>
      </c>
      <c r="C580" s="6">
        <v>59</v>
      </c>
      <c r="D580" s="6">
        <v>10.52</v>
      </c>
      <c r="E580" s="6">
        <v>156</v>
      </c>
    </row>
    <row r="581" spans="1:5" x14ac:dyDescent="0.25">
      <c r="A581" s="6" t="s">
        <v>830</v>
      </c>
      <c r="B581" s="6">
        <v>21.14</v>
      </c>
      <c r="C581" s="6">
        <v>231</v>
      </c>
      <c r="D581" s="6">
        <v>31.73</v>
      </c>
      <c r="E581" s="6">
        <v>379</v>
      </c>
    </row>
    <row r="582" spans="1:5" x14ac:dyDescent="0.25">
      <c r="A582" s="6" t="s">
        <v>831</v>
      </c>
      <c r="B582" s="6">
        <v>13.38</v>
      </c>
      <c r="C582" s="6">
        <v>178</v>
      </c>
      <c r="D582" s="6">
        <v>24.89</v>
      </c>
      <c r="E582" s="6">
        <v>297</v>
      </c>
    </row>
    <row r="583" spans="1:5" x14ac:dyDescent="0.25">
      <c r="A583" s="6" t="s">
        <v>129</v>
      </c>
      <c r="B583" s="6">
        <v>4.72</v>
      </c>
      <c r="C583" s="6">
        <v>111</v>
      </c>
      <c r="D583" s="6">
        <v>26.82</v>
      </c>
      <c r="E583" s="6">
        <v>387</v>
      </c>
    </row>
    <row r="584" spans="1:5" x14ac:dyDescent="0.25">
      <c r="A584" s="6" t="s">
        <v>228</v>
      </c>
      <c r="B584" s="6">
        <v>3.21</v>
      </c>
      <c r="C584" s="6">
        <v>75</v>
      </c>
      <c r="D584" s="6">
        <v>14.29</v>
      </c>
      <c r="E584" s="6">
        <v>193</v>
      </c>
    </row>
    <row r="585" spans="1:5" x14ac:dyDescent="0.25">
      <c r="A585" s="6" t="s">
        <v>617</v>
      </c>
      <c r="B585" s="6">
        <v>2.2000000000000002</v>
      </c>
      <c r="C585" s="6">
        <v>58</v>
      </c>
      <c r="D585" s="6">
        <v>18.93</v>
      </c>
      <c r="E585" s="6">
        <v>294</v>
      </c>
    </row>
    <row r="586" spans="1:5" x14ac:dyDescent="0.25">
      <c r="A586" s="6" t="s">
        <v>59</v>
      </c>
      <c r="B586" s="6">
        <v>3.42</v>
      </c>
      <c r="C586" s="6">
        <v>79</v>
      </c>
      <c r="D586" s="6">
        <v>15.39</v>
      </c>
      <c r="E586" s="6">
        <v>280</v>
      </c>
    </row>
    <row r="587" spans="1:5" x14ac:dyDescent="0.25">
      <c r="A587" s="6" t="s">
        <v>832</v>
      </c>
      <c r="B587" s="6">
        <v>39.18</v>
      </c>
      <c r="C587" s="6">
        <v>274</v>
      </c>
      <c r="D587" s="6">
        <v>65.8</v>
      </c>
      <c r="E587" s="6">
        <v>709</v>
      </c>
    </row>
    <row r="588" spans="1:5" x14ac:dyDescent="0.25">
      <c r="A588" s="6" t="s">
        <v>833</v>
      </c>
      <c r="B588" s="6">
        <v>23.33</v>
      </c>
      <c r="C588" s="6">
        <v>346</v>
      </c>
      <c r="D588" s="6">
        <v>24.56</v>
      </c>
      <c r="E588" s="6">
        <v>349</v>
      </c>
    </row>
    <row r="589" spans="1:5" x14ac:dyDescent="0.25">
      <c r="A589" s="6" t="s">
        <v>39</v>
      </c>
      <c r="B589" s="6">
        <v>10.15</v>
      </c>
      <c r="C589" s="6">
        <v>184</v>
      </c>
      <c r="D589" s="6">
        <v>12.53</v>
      </c>
      <c r="E589" s="6">
        <v>159</v>
      </c>
    </row>
    <row r="590" spans="1:5" x14ac:dyDescent="0.25">
      <c r="A590" s="6" t="s">
        <v>713</v>
      </c>
      <c r="B590" s="6">
        <v>32.42</v>
      </c>
      <c r="C590" s="6">
        <v>245</v>
      </c>
      <c r="D590" s="6">
        <v>41.4</v>
      </c>
      <c r="E590" s="6">
        <v>357</v>
      </c>
    </row>
    <row r="591" spans="1:5" x14ac:dyDescent="0.25">
      <c r="A591" s="6" t="s">
        <v>188</v>
      </c>
      <c r="B591" s="6">
        <v>3.61</v>
      </c>
      <c r="C591" s="6">
        <v>80</v>
      </c>
      <c r="D591" s="6">
        <v>18.579999999999998</v>
      </c>
      <c r="E591" s="6">
        <v>237</v>
      </c>
    </row>
    <row r="592" spans="1:5" x14ac:dyDescent="0.25">
      <c r="A592" s="6" t="s">
        <v>938</v>
      </c>
      <c r="B592" s="6">
        <v>21.77</v>
      </c>
      <c r="C592" s="6">
        <v>257</v>
      </c>
      <c r="D592" s="6">
        <v>31.97</v>
      </c>
      <c r="E592" s="6">
        <v>417</v>
      </c>
    </row>
    <row r="593" spans="1:5" x14ac:dyDescent="0.25">
      <c r="A593" s="6" t="s">
        <v>689</v>
      </c>
      <c r="B593" s="6">
        <v>5.21</v>
      </c>
      <c r="C593" s="6">
        <v>86</v>
      </c>
      <c r="D593" s="6">
        <v>16.04</v>
      </c>
      <c r="E593" s="6">
        <v>164</v>
      </c>
    </row>
    <row r="594" spans="1:5" x14ac:dyDescent="0.25">
      <c r="A594" s="6" t="s">
        <v>834</v>
      </c>
      <c r="B594" s="6">
        <v>3.63</v>
      </c>
      <c r="C594" s="6">
        <v>90</v>
      </c>
      <c r="D594" s="6">
        <v>21.86</v>
      </c>
      <c r="E594" s="6">
        <v>369</v>
      </c>
    </row>
    <row r="595" spans="1:5" x14ac:dyDescent="0.25">
      <c r="A595" s="6" t="s">
        <v>559</v>
      </c>
      <c r="B595" s="6">
        <v>2.98</v>
      </c>
      <c r="C595" s="6">
        <v>71</v>
      </c>
      <c r="D595" s="6">
        <v>25.4</v>
      </c>
      <c r="E595" s="6">
        <v>335</v>
      </c>
    </row>
    <row r="596" spans="1:5" x14ac:dyDescent="0.25">
      <c r="A596" s="6" t="s">
        <v>370</v>
      </c>
      <c r="B596" s="6">
        <v>6.08</v>
      </c>
      <c r="C596" s="6">
        <v>123</v>
      </c>
      <c r="D596" s="6">
        <v>13.99</v>
      </c>
      <c r="E596" s="6">
        <v>178</v>
      </c>
    </row>
    <row r="597" spans="1:5" x14ac:dyDescent="0.25">
      <c r="A597" s="6" t="s">
        <v>835</v>
      </c>
      <c r="B597" s="6">
        <v>17.940000000000001</v>
      </c>
      <c r="C597" s="6">
        <v>202</v>
      </c>
      <c r="D597" s="6">
        <v>22.91</v>
      </c>
      <c r="E597" s="6">
        <v>273</v>
      </c>
    </row>
    <row r="598" spans="1:5" x14ac:dyDescent="0.25">
      <c r="A598" s="6" t="s">
        <v>548</v>
      </c>
      <c r="B598" s="6">
        <v>2.57</v>
      </c>
      <c r="C598" s="6">
        <v>56</v>
      </c>
      <c r="D598" s="6">
        <v>13.11</v>
      </c>
      <c r="E598" s="6">
        <v>172</v>
      </c>
    </row>
    <row r="599" spans="1:5" x14ac:dyDescent="0.25">
      <c r="A599" s="6" t="s">
        <v>131</v>
      </c>
      <c r="B599" s="6">
        <v>15.28</v>
      </c>
      <c r="C599" s="6">
        <v>197</v>
      </c>
      <c r="D599" s="6">
        <v>28.81</v>
      </c>
      <c r="E599" s="6">
        <v>316</v>
      </c>
    </row>
    <row r="600" spans="1:5" x14ac:dyDescent="0.25">
      <c r="A600" s="6" t="s">
        <v>584</v>
      </c>
      <c r="B600" s="6">
        <v>8.19</v>
      </c>
      <c r="C600" s="6">
        <v>142</v>
      </c>
      <c r="D600" s="6">
        <v>26.04</v>
      </c>
      <c r="E600" s="6">
        <v>393</v>
      </c>
    </row>
    <row r="601" spans="1:5" x14ac:dyDescent="0.25">
      <c r="A601" s="6" t="s">
        <v>312</v>
      </c>
      <c r="B601" s="6">
        <v>7.46</v>
      </c>
      <c r="C601" s="6">
        <v>153</v>
      </c>
      <c r="D601" s="6">
        <v>17.71</v>
      </c>
      <c r="E601" s="6">
        <v>326</v>
      </c>
    </row>
    <row r="602" spans="1:5" x14ac:dyDescent="0.25">
      <c r="A602" s="6" t="s">
        <v>221</v>
      </c>
      <c r="B602" s="6">
        <v>2.19</v>
      </c>
      <c r="C602" s="6">
        <v>57</v>
      </c>
      <c r="D602" s="6">
        <v>11.88</v>
      </c>
      <c r="E602" s="6">
        <v>170</v>
      </c>
    </row>
    <row r="603" spans="1:5" x14ac:dyDescent="0.25">
      <c r="A603" s="6" t="s">
        <v>733</v>
      </c>
      <c r="B603" s="6">
        <v>16.39</v>
      </c>
      <c r="C603" s="6">
        <v>139</v>
      </c>
      <c r="D603" s="6">
        <v>28.65</v>
      </c>
      <c r="E603" s="6">
        <v>335</v>
      </c>
    </row>
    <row r="604" spans="1:5" x14ac:dyDescent="0.25">
      <c r="A604" s="6" t="s">
        <v>582</v>
      </c>
      <c r="B604" s="6">
        <v>15.03</v>
      </c>
      <c r="C604" s="6">
        <v>205</v>
      </c>
      <c r="D604" s="6">
        <v>34.99</v>
      </c>
      <c r="E604" s="6">
        <v>491</v>
      </c>
    </row>
    <row r="605" spans="1:5" x14ac:dyDescent="0.25">
      <c r="A605" s="6" t="s">
        <v>939</v>
      </c>
      <c r="B605" s="6">
        <v>6.18</v>
      </c>
      <c r="C605" s="6">
        <v>127</v>
      </c>
      <c r="D605" s="6">
        <v>16.25</v>
      </c>
      <c r="E605" s="6">
        <v>321</v>
      </c>
    </row>
    <row r="606" spans="1:5" x14ac:dyDescent="0.25">
      <c r="A606" s="6" t="s">
        <v>15</v>
      </c>
      <c r="B606" s="6">
        <v>13.74</v>
      </c>
      <c r="C606" s="6">
        <v>224</v>
      </c>
      <c r="D606" s="6">
        <v>25.77</v>
      </c>
      <c r="E606" s="6">
        <v>376</v>
      </c>
    </row>
    <row r="607" spans="1:5" x14ac:dyDescent="0.25">
      <c r="A607" s="6" t="s">
        <v>836</v>
      </c>
      <c r="B607" s="6">
        <v>3.82</v>
      </c>
      <c r="C607" s="6">
        <v>74</v>
      </c>
      <c r="D607" s="6">
        <v>18.37</v>
      </c>
      <c r="E607" s="6">
        <v>288</v>
      </c>
    </row>
    <row r="608" spans="1:5" x14ac:dyDescent="0.25">
      <c r="A608" s="6" t="s">
        <v>400</v>
      </c>
      <c r="B608" s="6">
        <v>13.42</v>
      </c>
      <c r="C608" s="6">
        <v>149</v>
      </c>
      <c r="D608" s="6">
        <v>27.03</v>
      </c>
      <c r="E608" s="6">
        <v>318</v>
      </c>
    </row>
    <row r="609" spans="1:5" x14ac:dyDescent="0.25">
      <c r="A609" s="6" t="s">
        <v>352</v>
      </c>
      <c r="B609" s="6">
        <v>5.13</v>
      </c>
      <c r="C609" s="6">
        <v>96</v>
      </c>
      <c r="D609" s="6">
        <v>11.81</v>
      </c>
      <c r="E609" s="6">
        <v>136</v>
      </c>
    </row>
    <row r="610" spans="1:5" x14ac:dyDescent="0.25">
      <c r="A610" s="6" t="s">
        <v>315</v>
      </c>
      <c r="B610" s="6">
        <v>4.41</v>
      </c>
      <c r="C610" s="6">
        <v>86</v>
      </c>
      <c r="D610" s="6">
        <v>23.22</v>
      </c>
      <c r="E610" s="6">
        <v>289</v>
      </c>
    </row>
    <row r="611" spans="1:5" x14ac:dyDescent="0.25">
      <c r="A611" s="6" t="s">
        <v>600</v>
      </c>
      <c r="B611" s="6">
        <v>5.16</v>
      </c>
      <c r="C611" s="6">
        <v>111</v>
      </c>
      <c r="D611" s="6">
        <v>15.85</v>
      </c>
      <c r="E611" s="6">
        <v>204</v>
      </c>
    </row>
    <row r="612" spans="1:5" x14ac:dyDescent="0.25">
      <c r="A612" s="6" t="s">
        <v>262</v>
      </c>
      <c r="B612" s="6">
        <v>15.29</v>
      </c>
      <c r="C612" s="6">
        <v>176</v>
      </c>
      <c r="D612" s="6">
        <v>37.14</v>
      </c>
      <c r="E612" s="6">
        <v>466</v>
      </c>
    </row>
    <row r="613" spans="1:5" x14ac:dyDescent="0.25">
      <c r="A613" s="6" t="s">
        <v>837</v>
      </c>
      <c r="B613" s="6">
        <v>14.02</v>
      </c>
      <c r="C613" s="6">
        <v>275</v>
      </c>
      <c r="D613" s="6">
        <v>22.43</v>
      </c>
      <c r="E613" s="6">
        <v>314</v>
      </c>
    </row>
    <row r="614" spans="1:5" x14ac:dyDescent="0.25">
      <c r="A614" s="6" t="s">
        <v>128</v>
      </c>
      <c r="B614" s="6">
        <v>12.58</v>
      </c>
      <c r="C614" s="6">
        <v>146</v>
      </c>
      <c r="D614" s="6">
        <v>32.11</v>
      </c>
      <c r="E614" s="6">
        <v>333</v>
      </c>
    </row>
    <row r="615" spans="1:5" x14ac:dyDescent="0.25">
      <c r="A615" s="6" t="s">
        <v>329</v>
      </c>
      <c r="B615" s="6">
        <v>4.7699999999999996</v>
      </c>
      <c r="C615" s="6">
        <v>103</v>
      </c>
      <c r="D615" s="6">
        <v>16.73</v>
      </c>
      <c r="E615" s="6">
        <v>230</v>
      </c>
    </row>
    <row r="616" spans="1:5" x14ac:dyDescent="0.25">
      <c r="A616" s="6" t="s">
        <v>163</v>
      </c>
      <c r="B616" s="6">
        <v>2.77</v>
      </c>
      <c r="C616" s="6">
        <v>70</v>
      </c>
      <c r="D616" s="6">
        <v>26.39</v>
      </c>
      <c r="E616" s="6">
        <v>387</v>
      </c>
    </row>
    <row r="617" spans="1:5" x14ac:dyDescent="0.25">
      <c r="A617" s="6" t="s">
        <v>476</v>
      </c>
      <c r="B617" s="6">
        <v>2.5</v>
      </c>
      <c r="C617" s="6">
        <v>59</v>
      </c>
      <c r="D617" s="6">
        <v>10.56</v>
      </c>
      <c r="E617" s="6">
        <v>130</v>
      </c>
    </row>
    <row r="618" spans="1:5" x14ac:dyDescent="0.25">
      <c r="A618" s="6" t="s">
        <v>587</v>
      </c>
      <c r="B618" s="6">
        <v>8.4700000000000006</v>
      </c>
      <c r="C618" s="6">
        <v>134</v>
      </c>
      <c r="D618" s="6">
        <v>17.5</v>
      </c>
      <c r="E618" s="6">
        <v>193</v>
      </c>
    </row>
    <row r="619" spans="1:5" x14ac:dyDescent="0.25">
      <c r="A619" s="6" t="s">
        <v>83</v>
      </c>
      <c r="B619" s="6">
        <v>3.67</v>
      </c>
      <c r="C619" s="6">
        <v>80</v>
      </c>
      <c r="D619" s="6">
        <v>13.5</v>
      </c>
      <c r="E619" s="6">
        <v>146</v>
      </c>
    </row>
    <row r="620" spans="1:5" x14ac:dyDescent="0.25">
      <c r="A620" s="6" t="s">
        <v>81</v>
      </c>
      <c r="B620" s="6">
        <v>1.33</v>
      </c>
      <c r="C620" s="6">
        <v>36</v>
      </c>
      <c r="D620" s="6">
        <v>4.03</v>
      </c>
      <c r="E620" s="6">
        <v>35</v>
      </c>
    </row>
    <row r="621" spans="1:5" x14ac:dyDescent="0.25">
      <c r="A621" s="6" t="s">
        <v>540</v>
      </c>
      <c r="B621" s="6">
        <v>1.42</v>
      </c>
      <c r="C621" s="6">
        <v>30</v>
      </c>
      <c r="D621" s="6">
        <v>7.57</v>
      </c>
      <c r="E621" s="6">
        <v>105</v>
      </c>
    </row>
    <row r="622" spans="1:5" x14ac:dyDescent="0.25">
      <c r="A622" s="6" t="s">
        <v>354</v>
      </c>
      <c r="B622" s="6">
        <v>4.83</v>
      </c>
      <c r="C622" s="6">
        <v>86</v>
      </c>
      <c r="D622" s="6">
        <v>24.8</v>
      </c>
      <c r="E622" s="6">
        <v>366</v>
      </c>
    </row>
    <row r="623" spans="1:5" x14ac:dyDescent="0.25">
      <c r="A623" s="6" t="s">
        <v>478</v>
      </c>
      <c r="B623" s="6">
        <v>1.85</v>
      </c>
      <c r="C623" s="6">
        <v>45</v>
      </c>
      <c r="D623" s="6">
        <v>10.46</v>
      </c>
      <c r="E623" s="6">
        <v>129</v>
      </c>
    </row>
    <row r="624" spans="1:5" x14ac:dyDescent="0.25">
      <c r="A624" s="6" t="s">
        <v>2</v>
      </c>
      <c r="B624" s="6">
        <v>3.23</v>
      </c>
      <c r="C624" s="6">
        <v>57</v>
      </c>
      <c r="D624" s="6">
        <v>23.97</v>
      </c>
      <c r="E624" s="6">
        <v>405</v>
      </c>
    </row>
    <row r="625" spans="1:5" x14ac:dyDescent="0.25">
      <c r="A625" s="6" t="s">
        <v>940</v>
      </c>
      <c r="B625" s="6">
        <v>7.58</v>
      </c>
      <c r="C625" s="6">
        <v>138</v>
      </c>
      <c r="D625" s="6">
        <v>12.77</v>
      </c>
      <c r="E625" s="6">
        <v>107</v>
      </c>
    </row>
    <row r="626" spans="1:5" x14ac:dyDescent="0.25">
      <c r="A626" s="6" t="s">
        <v>172</v>
      </c>
      <c r="B626" s="6">
        <v>13.11</v>
      </c>
      <c r="C626" s="6">
        <v>163</v>
      </c>
      <c r="D626" s="6">
        <v>24.45</v>
      </c>
      <c r="E626" s="6">
        <v>226</v>
      </c>
    </row>
    <row r="627" spans="1:5" x14ac:dyDescent="0.25">
      <c r="A627" s="6" t="s">
        <v>361</v>
      </c>
      <c r="B627" s="6">
        <v>4.62</v>
      </c>
      <c r="C627" s="6">
        <v>87</v>
      </c>
      <c r="D627" s="6">
        <v>15.63</v>
      </c>
      <c r="E627" s="6">
        <v>229</v>
      </c>
    </row>
    <row r="628" spans="1:5" x14ac:dyDescent="0.25">
      <c r="A628" s="6" t="s">
        <v>250</v>
      </c>
      <c r="B628" s="6">
        <v>5.16</v>
      </c>
      <c r="C628" s="6">
        <v>92</v>
      </c>
      <c r="D628" s="6">
        <v>19.809999999999999</v>
      </c>
      <c r="E628" s="6">
        <v>276</v>
      </c>
    </row>
    <row r="629" spans="1:5" x14ac:dyDescent="0.25">
      <c r="A629" s="6" t="s">
        <v>263</v>
      </c>
      <c r="B629" s="6">
        <v>5.77</v>
      </c>
      <c r="C629" s="6">
        <v>84</v>
      </c>
      <c r="D629" s="6">
        <v>25.72</v>
      </c>
      <c r="E629" s="6">
        <v>355</v>
      </c>
    </row>
    <row r="630" spans="1:5" x14ac:dyDescent="0.25">
      <c r="A630" s="6" t="s">
        <v>355</v>
      </c>
      <c r="B630" s="6">
        <v>6.24</v>
      </c>
      <c r="C630" s="6">
        <v>107</v>
      </c>
      <c r="D630" s="6">
        <v>34.44</v>
      </c>
      <c r="E630" s="6">
        <v>347</v>
      </c>
    </row>
    <row r="631" spans="1:5" x14ac:dyDescent="0.25">
      <c r="A631" s="6" t="s">
        <v>838</v>
      </c>
      <c r="B631" s="6">
        <v>2.34</v>
      </c>
      <c r="C631" s="6">
        <v>57</v>
      </c>
      <c r="D631" s="6">
        <v>18.2</v>
      </c>
      <c r="E631" s="6">
        <v>241</v>
      </c>
    </row>
    <row r="632" spans="1:5" x14ac:dyDescent="0.25">
      <c r="A632" s="6" t="s">
        <v>634</v>
      </c>
      <c r="B632" s="6">
        <v>5.69</v>
      </c>
      <c r="C632" s="6">
        <v>108</v>
      </c>
      <c r="D632" s="6">
        <v>25.92</v>
      </c>
      <c r="E632" s="6">
        <v>322</v>
      </c>
    </row>
    <row r="633" spans="1:5" x14ac:dyDescent="0.25">
      <c r="A633" s="6" t="s">
        <v>532</v>
      </c>
      <c r="B633" s="6">
        <v>2.87</v>
      </c>
      <c r="C633" s="6">
        <v>59</v>
      </c>
      <c r="D633" s="6">
        <v>17.010000000000002</v>
      </c>
      <c r="E633" s="6">
        <v>211</v>
      </c>
    </row>
    <row r="634" spans="1:5" x14ac:dyDescent="0.25">
      <c r="A634" s="6" t="s">
        <v>194</v>
      </c>
      <c r="B634" s="6">
        <v>10.79</v>
      </c>
      <c r="C634" s="6">
        <v>147</v>
      </c>
      <c r="D634" s="6">
        <v>21.96</v>
      </c>
      <c r="E634" s="6">
        <v>243</v>
      </c>
    </row>
    <row r="635" spans="1:5" x14ac:dyDescent="0.25">
      <c r="A635" s="6" t="s">
        <v>525</v>
      </c>
      <c r="B635" s="6">
        <v>3.85</v>
      </c>
      <c r="C635" s="6">
        <v>84</v>
      </c>
      <c r="D635" s="6">
        <v>16.760000000000002</v>
      </c>
      <c r="E635" s="6">
        <v>285</v>
      </c>
    </row>
    <row r="636" spans="1:5" x14ac:dyDescent="0.25">
      <c r="A636" s="6" t="s">
        <v>839</v>
      </c>
      <c r="B636" s="6">
        <v>6.13</v>
      </c>
      <c r="C636" s="6">
        <v>115</v>
      </c>
      <c r="D636" s="6">
        <v>17.73</v>
      </c>
      <c r="E636" s="6">
        <v>275</v>
      </c>
    </row>
    <row r="637" spans="1:5" x14ac:dyDescent="0.25">
      <c r="A637" s="6" t="s">
        <v>190</v>
      </c>
      <c r="B637" s="6">
        <v>4.18</v>
      </c>
      <c r="C637" s="6">
        <v>89</v>
      </c>
      <c r="D637" s="6">
        <v>10.78</v>
      </c>
      <c r="E637" s="6">
        <v>120</v>
      </c>
    </row>
    <row r="638" spans="1:5" x14ac:dyDescent="0.25">
      <c r="A638" s="6" t="s">
        <v>941</v>
      </c>
      <c r="B638" s="6">
        <v>8.1</v>
      </c>
      <c r="C638" s="6">
        <v>141</v>
      </c>
      <c r="D638" s="6">
        <v>19.93</v>
      </c>
      <c r="E638" s="6">
        <v>264</v>
      </c>
    </row>
    <row r="639" spans="1:5" x14ac:dyDescent="0.25">
      <c r="A639" s="6" t="s">
        <v>840</v>
      </c>
      <c r="B639" s="6">
        <v>5.79</v>
      </c>
      <c r="C639" s="6">
        <v>100</v>
      </c>
      <c r="D639" s="6">
        <v>25.65</v>
      </c>
      <c r="E639" s="6">
        <v>342</v>
      </c>
    </row>
    <row r="640" spans="1:5" x14ac:dyDescent="0.25">
      <c r="A640" s="6" t="s">
        <v>556</v>
      </c>
      <c r="B640" s="6">
        <v>18.32</v>
      </c>
      <c r="C640" s="6">
        <v>260</v>
      </c>
      <c r="D640" s="6">
        <v>25.24</v>
      </c>
      <c r="E640" s="6">
        <v>303</v>
      </c>
    </row>
    <row r="641" spans="1:5" x14ac:dyDescent="0.25">
      <c r="A641" s="6" t="s">
        <v>197</v>
      </c>
      <c r="B641" s="6">
        <v>2.86</v>
      </c>
      <c r="C641" s="6">
        <v>65</v>
      </c>
      <c r="D641" s="6">
        <v>13.6</v>
      </c>
      <c r="E641" s="6">
        <v>158</v>
      </c>
    </row>
    <row r="642" spans="1:5" x14ac:dyDescent="0.25">
      <c r="A642" s="6" t="s">
        <v>593</v>
      </c>
      <c r="B642" s="6">
        <v>4.9000000000000004</v>
      </c>
      <c r="C642" s="6">
        <v>96</v>
      </c>
      <c r="D642" s="6">
        <v>32.04</v>
      </c>
      <c r="E642" s="6">
        <v>449</v>
      </c>
    </row>
    <row r="643" spans="1:5" x14ac:dyDescent="0.25">
      <c r="A643" s="6" t="s">
        <v>667</v>
      </c>
      <c r="B643" s="6">
        <v>2.34</v>
      </c>
      <c r="C643" s="6">
        <v>64</v>
      </c>
      <c r="D643" s="6">
        <v>7.87</v>
      </c>
      <c r="E643" s="6">
        <v>83</v>
      </c>
    </row>
    <row r="644" spans="1:5" x14ac:dyDescent="0.25">
      <c r="A644" s="6" t="s">
        <v>253</v>
      </c>
      <c r="B644" s="6">
        <v>6.34</v>
      </c>
      <c r="C644" s="6">
        <v>110</v>
      </c>
      <c r="D644" s="6">
        <v>23.44</v>
      </c>
      <c r="E644" s="6">
        <v>362</v>
      </c>
    </row>
    <row r="645" spans="1:5" x14ac:dyDescent="0.25">
      <c r="A645" s="6" t="s">
        <v>235</v>
      </c>
      <c r="B645" s="6">
        <v>2.5</v>
      </c>
      <c r="C645" s="6">
        <v>63</v>
      </c>
      <c r="D645" s="6">
        <v>13.05</v>
      </c>
      <c r="E645" s="6">
        <v>236</v>
      </c>
    </row>
    <row r="646" spans="1:5" x14ac:dyDescent="0.25">
      <c r="A646" s="6" t="s">
        <v>641</v>
      </c>
      <c r="B646" s="6">
        <v>15.59</v>
      </c>
      <c r="C646" s="6">
        <v>174</v>
      </c>
      <c r="D646" s="6">
        <v>37.869999999999997</v>
      </c>
      <c r="E646" s="6">
        <v>388</v>
      </c>
    </row>
    <row r="647" spans="1:5" x14ac:dyDescent="0.25">
      <c r="A647" s="6" t="s">
        <v>522</v>
      </c>
      <c r="B647" s="6">
        <v>5.37</v>
      </c>
      <c r="C647" s="6">
        <v>99</v>
      </c>
      <c r="D647" s="6">
        <v>17.62</v>
      </c>
      <c r="E647" s="6">
        <v>247</v>
      </c>
    </row>
    <row r="648" spans="1:5" x14ac:dyDescent="0.25">
      <c r="A648" s="6" t="s">
        <v>942</v>
      </c>
      <c r="B648" s="6">
        <v>7.38</v>
      </c>
      <c r="C648" s="6">
        <v>137</v>
      </c>
      <c r="D648" s="6">
        <v>17.73</v>
      </c>
      <c r="E648" s="6">
        <v>296</v>
      </c>
    </row>
    <row r="649" spans="1:5" x14ac:dyDescent="0.25">
      <c r="A649" s="6" t="s">
        <v>25</v>
      </c>
      <c r="B649" s="6">
        <v>29.75</v>
      </c>
      <c r="C649" s="6">
        <v>425</v>
      </c>
      <c r="D649" s="6">
        <v>30.93</v>
      </c>
      <c r="E649" s="6">
        <v>411</v>
      </c>
    </row>
    <row r="650" spans="1:5" x14ac:dyDescent="0.25">
      <c r="A650" s="6" t="s">
        <v>271</v>
      </c>
      <c r="B650" s="6">
        <v>10.83</v>
      </c>
      <c r="C650" s="6">
        <v>135</v>
      </c>
      <c r="D650" s="6">
        <v>20.07</v>
      </c>
      <c r="E650" s="6">
        <v>267</v>
      </c>
    </row>
    <row r="651" spans="1:5" x14ac:dyDescent="0.25">
      <c r="A651" s="6" t="s">
        <v>446</v>
      </c>
      <c r="B651" s="6">
        <v>7.3</v>
      </c>
      <c r="C651" s="6">
        <v>88</v>
      </c>
      <c r="D651" s="6">
        <v>28.5</v>
      </c>
      <c r="E651" s="6">
        <v>278</v>
      </c>
    </row>
    <row r="652" spans="1:5" x14ac:dyDescent="0.25">
      <c r="A652" s="6" t="s">
        <v>169</v>
      </c>
      <c r="B652" s="6">
        <v>11.63</v>
      </c>
      <c r="C652" s="6">
        <v>130</v>
      </c>
      <c r="D652" s="6">
        <v>32.68</v>
      </c>
      <c r="E652" s="6">
        <v>300</v>
      </c>
    </row>
    <row r="653" spans="1:5" x14ac:dyDescent="0.25">
      <c r="A653" s="6" t="s">
        <v>841</v>
      </c>
      <c r="B653" s="6">
        <v>4.12</v>
      </c>
      <c r="C653" s="6">
        <v>88</v>
      </c>
      <c r="D653" s="6">
        <v>19.18</v>
      </c>
      <c r="E653" s="6">
        <v>239</v>
      </c>
    </row>
    <row r="654" spans="1:5" x14ac:dyDescent="0.25">
      <c r="A654" s="6" t="s">
        <v>943</v>
      </c>
      <c r="B654" s="6">
        <v>2.23</v>
      </c>
      <c r="C654" s="6">
        <v>56</v>
      </c>
      <c r="D654" s="6">
        <v>13.78</v>
      </c>
      <c r="E654" s="6">
        <v>241</v>
      </c>
    </row>
    <row r="655" spans="1:5" x14ac:dyDescent="0.25">
      <c r="A655" s="6" t="s">
        <v>720</v>
      </c>
      <c r="B655" s="6">
        <v>1.95</v>
      </c>
      <c r="C655" s="6">
        <v>50</v>
      </c>
      <c r="D655" s="6">
        <v>14.33</v>
      </c>
      <c r="E655" s="6">
        <v>163</v>
      </c>
    </row>
    <row r="656" spans="1:5" x14ac:dyDescent="0.25">
      <c r="A656" s="6" t="s">
        <v>27</v>
      </c>
      <c r="B656" s="6">
        <v>4.03</v>
      </c>
      <c r="C656" s="6">
        <v>89</v>
      </c>
      <c r="D656" s="6">
        <v>14.96</v>
      </c>
      <c r="E656" s="6">
        <v>255</v>
      </c>
    </row>
    <row r="657" spans="1:5" x14ac:dyDescent="0.25">
      <c r="A657" s="6" t="s">
        <v>479</v>
      </c>
      <c r="B657" s="6">
        <v>2.92</v>
      </c>
      <c r="C657" s="6">
        <v>58</v>
      </c>
      <c r="D657" s="6">
        <v>10.9</v>
      </c>
      <c r="E657" s="6">
        <v>109</v>
      </c>
    </row>
    <row r="658" spans="1:5" x14ac:dyDescent="0.25">
      <c r="A658" s="6" t="s">
        <v>842</v>
      </c>
      <c r="B658" s="6">
        <v>6.36</v>
      </c>
      <c r="C658" s="6">
        <v>110</v>
      </c>
      <c r="D658" s="6">
        <v>21.73</v>
      </c>
      <c r="E658" s="6">
        <v>266</v>
      </c>
    </row>
    <row r="659" spans="1:5" x14ac:dyDescent="0.25">
      <c r="A659" s="6" t="s">
        <v>359</v>
      </c>
      <c r="B659" s="6">
        <v>9.7100000000000009</v>
      </c>
      <c r="C659" s="6">
        <v>133</v>
      </c>
      <c r="D659" s="6">
        <v>29.01</v>
      </c>
      <c r="E659" s="6">
        <v>312</v>
      </c>
    </row>
    <row r="660" spans="1:5" x14ac:dyDescent="0.25">
      <c r="A660" s="6" t="s">
        <v>843</v>
      </c>
      <c r="B660" s="6">
        <v>55.92</v>
      </c>
      <c r="C660" s="6">
        <v>345</v>
      </c>
      <c r="D660" s="6">
        <v>73.47</v>
      </c>
      <c r="E660" s="6">
        <v>746</v>
      </c>
    </row>
    <row r="661" spans="1:5" x14ac:dyDescent="0.25">
      <c r="A661" s="6" t="s">
        <v>844</v>
      </c>
      <c r="B661" s="6">
        <v>5.53</v>
      </c>
      <c r="C661" s="6">
        <v>97</v>
      </c>
      <c r="D661" s="6">
        <v>19.78</v>
      </c>
      <c r="E661" s="6">
        <v>239</v>
      </c>
    </row>
    <row r="662" spans="1:5" x14ac:dyDescent="0.25">
      <c r="A662" s="6" t="s">
        <v>35</v>
      </c>
      <c r="B662" s="6">
        <v>3.34</v>
      </c>
      <c r="C662" s="6">
        <v>76</v>
      </c>
      <c r="D662" s="6">
        <v>17.48</v>
      </c>
      <c r="E662" s="6">
        <v>194</v>
      </c>
    </row>
    <row r="663" spans="1:5" x14ac:dyDescent="0.25">
      <c r="A663" s="6" t="s">
        <v>113</v>
      </c>
      <c r="B663" s="6">
        <v>3.35</v>
      </c>
      <c r="C663" s="6">
        <v>72</v>
      </c>
      <c r="D663" s="6">
        <v>5.63</v>
      </c>
      <c r="E663" s="6">
        <v>46</v>
      </c>
    </row>
    <row r="664" spans="1:5" x14ac:dyDescent="0.25">
      <c r="A664" s="6" t="s">
        <v>289</v>
      </c>
      <c r="B664" s="6">
        <v>6.67</v>
      </c>
      <c r="C664" s="6">
        <v>122</v>
      </c>
      <c r="D664" s="6">
        <v>17.72</v>
      </c>
      <c r="E664" s="6">
        <v>293</v>
      </c>
    </row>
    <row r="665" spans="1:5" x14ac:dyDescent="0.25">
      <c r="A665" s="6" t="s">
        <v>227</v>
      </c>
      <c r="B665" s="6">
        <v>2.56</v>
      </c>
      <c r="C665" s="6">
        <v>60</v>
      </c>
      <c r="D665" s="6">
        <v>12.32</v>
      </c>
      <c r="E665" s="6">
        <v>168</v>
      </c>
    </row>
    <row r="666" spans="1:5" x14ac:dyDescent="0.25">
      <c r="A666" s="6" t="s">
        <v>80</v>
      </c>
      <c r="B666" s="6">
        <v>6.79</v>
      </c>
      <c r="C666" s="6">
        <v>114</v>
      </c>
      <c r="D666" s="6">
        <v>22.51</v>
      </c>
      <c r="E666" s="6">
        <v>260</v>
      </c>
    </row>
    <row r="667" spans="1:5" x14ac:dyDescent="0.25">
      <c r="A667" s="6" t="s">
        <v>41</v>
      </c>
      <c r="B667" s="6">
        <v>12.09</v>
      </c>
      <c r="C667" s="6">
        <v>156</v>
      </c>
      <c r="D667" s="6">
        <v>22.9</v>
      </c>
      <c r="E667" s="6">
        <v>194</v>
      </c>
    </row>
    <row r="668" spans="1:5" x14ac:dyDescent="0.25">
      <c r="A668" s="6" t="s">
        <v>195</v>
      </c>
      <c r="B668" s="6">
        <v>7.19</v>
      </c>
      <c r="C668" s="6">
        <v>132</v>
      </c>
      <c r="D668" s="6">
        <v>19.97</v>
      </c>
      <c r="E668" s="6">
        <v>337</v>
      </c>
    </row>
    <row r="669" spans="1:5" x14ac:dyDescent="0.25">
      <c r="A669" s="6" t="s">
        <v>944</v>
      </c>
      <c r="B669" s="6">
        <v>7.37</v>
      </c>
      <c r="C669" s="6">
        <v>160</v>
      </c>
      <c r="D669" s="6">
        <v>9.36</v>
      </c>
      <c r="E669" s="6">
        <v>172</v>
      </c>
    </row>
    <row r="670" spans="1:5" x14ac:dyDescent="0.25">
      <c r="A670" s="6" t="s">
        <v>621</v>
      </c>
      <c r="B670" s="6">
        <v>40.93</v>
      </c>
      <c r="C670" s="6">
        <v>294</v>
      </c>
      <c r="D670" s="6">
        <v>71.709999999999994</v>
      </c>
      <c r="E670" s="6">
        <v>817</v>
      </c>
    </row>
    <row r="671" spans="1:5" x14ac:dyDescent="0.25">
      <c r="A671" s="6" t="s">
        <v>554</v>
      </c>
      <c r="B671" s="6">
        <v>8.7899999999999991</v>
      </c>
      <c r="C671" s="6">
        <v>142</v>
      </c>
      <c r="D671" s="6">
        <v>19.95</v>
      </c>
      <c r="E671" s="6">
        <v>269</v>
      </c>
    </row>
    <row r="672" spans="1:5" x14ac:dyDescent="0.25">
      <c r="A672" s="6" t="s">
        <v>845</v>
      </c>
      <c r="B672" s="6">
        <v>10.3</v>
      </c>
      <c r="C672" s="6">
        <v>177</v>
      </c>
      <c r="D672" s="6">
        <v>31.59</v>
      </c>
      <c r="E672" s="6">
        <v>594</v>
      </c>
    </row>
    <row r="673" spans="1:5" x14ac:dyDescent="0.25">
      <c r="A673" s="6" t="s">
        <v>846</v>
      </c>
      <c r="B673" s="6">
        <v>14.63</v>
      </c>
      <c r="C673" s="6">
        <v>283</v>
      </c>
      <c r="D673" s="6">
        <v>20.37</v>
      </c>
      <c r="E673" s="6">
        <v>340</v>
      </c>
    </row>
    <row r="674" spans="1:5" x14ac:dyDescent="0.25">
      <c r="A674" s="6" t="s">
        <v>103</v>
      </c>
      <c r="B674" s="6">
        <v>6.25</v>
      </c>
      <c r="C674" s="6">
        <v>124</v>
      </c>
      <c r="D674" s="6">
        <v>22.61</v>
      </c>
      <c r="E674" s="6">
        <v>325</v>
      </c>
    </row>
    <row r="675" spans="1:5" x14ac:dyDescent="0.25">
      <c r="A675" s="6" t="s">
        <v>577</v>
      </c>
      <c r="B675" s="6">
        <v>4.55</v>
      </c>
      <c r="C675" s="6">
        <v>95</v>
      </c>
      <c r="D675" s="6">
        <v>20.29</v>
      </c>
      <c r="E675" s="6">
        <v>350</v>
      </c>
    </row>
    <row r="676" spans="1:5" x14ac:dyDescent="0.25">
      <c r="A676" s="6" t="s">
        <v>945</v>
      </c>
      <c r="B676" s="6">
        <v>5.32</v>
      </c>
      <c r="C676" s="6">
        <v>89</v>
      </c>
      <c r="D676" s="6">
        <v>23.48</v>
      </c>
      <c r="E676" s="6">
        <v>327</v>
      </c>
    </row>
    <row r="677" spans="1:5" x14ac:dyDescent="0.25">
      <c r="A677" s="6" t="s">
        <v>74</v>
      </c>
      <c r="B677" s="6">
        <v>4.29</v>
      </c>
      <c r="C677" s="6">
        <v>77</v>
      </c>
      <c r="D677" s="6">
        <v>18.16</v>
      </c>
      <c r="E677" s="6">
        <v>239</v>
      </c>
    </row>
    <row r="678" spans="1:5" x14ac:dyDescent="0.25">
      <c r="A678" s="6" t="s">
        <v>254</v>
      </c>
      <c r="B678" s="6">
        <v>7.29</v>
      </c>
      <c r="C678" s="6">
        <v>120</v>
      </c>
      <c r="D678" s="6">
        <v>21.78</v>
      </c>
      <c r="E678" s="6">
        <v>294</v>
      </c>
    </row>
    <row r="679" spans="1:5" x14ac:dyDescent="0.25">
      <c r="A679" s="6" t="s">
        <v>177</v>
      </c>
      <c r="B679" s="6">
        <v>2.06</v>
      </c>
      <c r="C679" s="6">
        <v>56</v>
      </c>
      <c r="D679" s="6">
        <v>16.39</v>
      </c>
      <c r="E679" s="6">
        <v>248</v>
      </c>
    </row>
    <row r="680" spans="1:5" x14ac:dyDescent="0.25">
      <c r="A680" s="6" t="s">
        <v>272</v>
      </c>
      <c r="B680" s="6">
        <v>1.35</v>
      </c>
      <c r="C680" s="6">
        <v>37</v>
      </c>
      <c r="D680" s="6">
        <v>5.68</v>
      </c>
      <c r="E680" s="6">
        <v>69</v>
      </c>
    </row>
    <row r="681" spans="1:5" x14ac:dyDescent="0.25">
      <c r="A681" s="6" t="s">
        <v>946</v>
      </c>
      <c r="B681" s="6">
        <v>6.84</v>
      </c>
      <c r="C681" s="6">
        <v>121</v>
      </c>
      <c r="D681" s="6">
        <v>19.649999999999999</v>
      </c>
      <c r="E681" s="6">
        <v>297</v>
      </c>
    </row>
    <row r="682" spans="1:5" x14ac:dyDescent="0.25">
      <c r="A682" s="6" t="s">
        <v>947</v>
      </c>
      <c r="B682" s="6">
        <v>11</v>
      </c>
      <c r="C682" s="6">
        <v>149</v>
      </c>
      <c r="D682" s="6">
        <v>18.98</v>
      </c>
      <c r="E682" s="6">
        <v>210</v>
      </c>
    </row>
    <row r="683" spans="1:5" x14ac:dyDescent="0.25">
      <c r="A683" s="6" t="s">
        <v>736</v>
      </c>
      <c r="B683" s="6">
        <v>1.78</v>
      </c>
      <c r="C683" s="6">
        <v>44</v>
      </c>
      <c r="D683" s="6">
        <v>11.6</v>
      </c>
      <c r="E683" s="6">
        <v>186</v>
      </c>
    </row>
    <row r="684" spans="1:5" x14ac:dyDescent="0.25">
      <c r="A684" s="6" t="s">
        <v>414</v>
      </c>
      <c r="B684" s="6">
        <v>4.49</v>
      </c>
      <c r="C684" s="6">
        <v>101</v>
      </c>
      <c r="D684" s="6">
        <v>23.69</v>
      </c>
      <c r="E684" s="6">
        <v>298</v>
      </c>
    </row>
    <row r="685" spans="1:5" x14ac:dyDescent="0.25">
      <c r="A685" s="6" t="s">
        <v>847</v>
      </c>
      <c r="B685" s="6">
        <v>4.95</v>
      </c>
      <c r="C685" s="6">
        <v>103</v>
      </c>
      <c r="D685" s="6">
        <v>16.57</v>
      </c>
      <c r="E685" s="6">
        <v>255</v>
      </c>
    </row>
    <row r="686" spans="1:5" x14ac:dyDescent="0.25">
      <c r="A686" s="6" t="s">
        <v>363</v>
      </c>
      <c r="B686" s="6">
        <v>4.7300000000000004</v>
      </c>
      <c r="C686" s="6">
        <v>81</v>
      </c>
      <c r="D686" s="6">
        <v>30.49</v>
      </c>
      <c r="E686" s="6">
        <v>343</v>
      </c>
    </row>
    <row r="687" spans="1:5" x14ac:dyDescent="0.25">
      <c r="A687" s="6" t="s">
        <v>458</v>
      </c>
      <c r="B687" s="6">
        <v>5.56</v>
      </c>
      <c r="C687" s="6">
        <v>96</v>
      </c>
      <c r="D687" s="6">
        <v>27.14</v>
      </c>
      <c r="E687" s="6">
        <v>379</v>
      </c>
    </row>
    <row r="688" spans="1:5" x14ac:dyDescent="0.25">
      <c r="A688" s="6" t="s">
        <v>371</v>
      </c>
      <c r="B688" s="6">
        <v>4.45</v>
      </c>
      <c r="C688" s="6">
        <v>82</v>
      </c>
      <c r="D688" s="6">
        <v>13.76</v>
      </c>
      <c r="E688" s="6">
        <v>192</v>
      </c>
    </row>
    <row r="689" spans="1:5" x14ac:dyDescent="0.25">
      <c r="A689" s="6" t="s">
        <v>231</v>
      </c>
      <c r="B689" s="6">
        <v>8.08</v>
      </c>
      <c r="C689" s="6">
        <v>133</v>
      </c>
      <c r="D689" s="6">
        <v>15.27</v>
      </c>
      <c r="E689" s="6">
        <v>207</v>
      </c>
    </row>
    <row r="690" spans="1:5" x14ac:dyDescent="0.25">
      <c r="A690" s="6" t="s">
        <v>422</v>
      </c>
      <c r="B690" s="6">
        <v>17.3</v>
      </c>
      <c r="C690" s="6">
        <v>147</v>
      </c>
      <c r="D690" s="6">
        <v>28.81</v>
      </c>
      <c r="E690" s="6">
        <v>336</v>
      </c>
    </row>
    <row r="691" spans="1:5" x14ac:dyDescent="0.25">
      <c r="A691" s="6" t="s">
        <v>274</v>
      </c>
      <c r="B691" s="6">
        <v>8.44</v>
      </c>
      <c r="C691" s="6">
        <v>143</v>
      </c>
      <c r="D691" s="6">
        <v>17.649999999999999</v>
      </c>
      <c r="E691" s="6">
        <v>249</v>
      </c>
    </row>
    <row r="692" spans="1:5" x14ac:dyDescent="0.25">
      <c r="A692" s="6" t="s">
        <v>229</v>
      </c>
      <c r="B692" s="6">
        <v>10.37</v>
      </c>
      <c r="C692" s="6">
        <v>151</v>
      </c>
      <c r="D692" s="6">
        <v>17.75</v>
      </c>
      <c r="E692" s="6">
        <v>234</v>
      </c>
    </row>
    <row r="693" spans="1:5" x14ac:dyDescent="0.25">
      <c r="A693" s="6" t="s">
        <v>306</v>
      </c>
      <c r="B693" s="6">
        <v>3.01</v>
      </c>
      <c r="C693" s="6">
        <v>76</v>
      </c>
      <c r="D693" s="6">
        <v>14.71</v>
      </c>
      <c r="E693" s="6">
        <v>223</v>
      </c>
    </row>
    <row r="694" spans="1:5" x14ac:dyDescent="0.25">
      <c r="A694" s="6" t="s">
        <v>710</v>
      </c>
      <c r="B694" s="6">
        <v>3.82</v>
      </c>
      <c r="C694" s="6">
        <v>84</v>
      </c>
      <c r="D694" s="6">
        <v>11.83</v>
      </c>
      <c r="E694" s="6">
        <v>177</v>
      </c>
    </row>
    <row r="695" spans="1:5" x14ac:dyDescent="0.25">
      <c r="A695" s="6" t="s">
        <v>684</v>
      </c>
      <c r="B695" s="6">
        <v>11.75</v>
      </c>
      <c r="C695" s="6">
        <v>182</v>
      </c>
      <c r="D695" s="6">
        <v>17.510000000000002</v>
      </c>
      <c r="E695" s="6">
        <v>251</v>
      </c>
    </row>
    <row r="696" spans="1:5" x14ac:dyDescent="0.25">
      <c r="A696" s="6" t="s">
        <v>420</v>
      </c>
      <c r="B696" s="6">
        <v>3.6</v>
      </c>
      <c r="C696" s="6">
        <v>78</v>
      </c>
      <c r="D696" s="6">
        <v>6.29</v>
      </c>
      <c r="E696" s="6">
        <v>70</v>
      </c>
    </row>
    <row r="697" spans="1:5" x14ac:dyDescent="0.25">
      <c r="A697" s="6" t="s">
        <v>948</v>
      </c>
      <c r="B697" s="6">
        <v>7.03</v>
      </c>
      <c r="C697" s="6">
        <v>122</v>
      </c>
      <c r="D697" s="6">
        <v>21.81</v>
      </c>
      <c r="E697" s="6">
        <v>248</v>
      </c>
    </row>
    <row r="698" spans="1:5" x14ac:dyDescent="0.25">
      <c r="A698" s="6" t="s">
        <v>949</v>
      </c>
      <c r="B698" s="6">
        <v>10.91</v>
      </c>
      <c r="C698" s="6">
        <v>135</v>
      </c>
      <c r="D698" s="6">
        <v>26.63</v>
      </c>
      <c r="E698" s="6">
        <v>211</v>
      </c>
    </row>
    <row r="699" spans="1:5" x14ac:dyDescent="0.25">
      <c r="A699" s="6" t="s">
        <v>849</v>
      </c>
      <c r="B699" s="6">
        <v>13.57</v>
      </c>
      <c r="C699" s="6">
        <v>225</v>
      </c>
      <c r="D699" s="6">
        <v>20.51</v>
      </c>
      <c r="E699" s="6">
        <v>272</v>
      </c>
    </row>
    <row r="700" spans="1:5" x14ac:dyDescent="0.25">
      <c r="A700" s="6" t="s">
        <v>555</v>
      </c>
      <c r="B700" s="6">
        <v>3.77</v>
      </c>
      <c r="C700" s="6">
        <v>89</v>
      </c>
      <c r="D700" s="6">
        <v>18.18</v>
      </c>
      <c r="E700" s="6">
        <v>286</v>
      </c>
    </row>
    <row r="701" spans="1:5" x14ac:dyDescent="0.25">
      <c r="A701" s="6" t="s">
        <v>367</v>
      </c>
      <c r="B701" s="6">
        <v>3.63</v>
      </c>
      <c r="C701" s="6">
        <v>84</v>
      </c>
      <c r="D701" s="6">
        <v>24.35</v>
      </c>
      <c r="E701" s="6">
        <v>319</v>
      </c>
    </row>
    <row r="702" spans="1:5" x14ac:dyDescent="0.25">
      <c r="A702" s="6" t="s">
        <v>489</v>
      </c>
      <c r="B702" s="6">
        <v>4.7699999999999996</v>
      </c>
      <c r="C702" s="6">
        <v>83</v>
      </c>
      <c r="D702" s="6">
        <v>55.51</v>
      </c>
      <c r="E702" s="6">
        <v>740</v>
      </c>
    </row>
    <row r="703" spans="1:5" x14ac:dyDescent="0.25">
      <c r="A703" s="6" t="s">
        <v>550</v>
      </c>
      <c r="B703" s="6">
        <v>6.3</v>
      </c>
      <c r="C703" s="6">
        <v>97</v>
      </c>
      <c r="D703" s="6">
        <v>39.35</v>
      </c>
      <c r="E703" s="6">
        <v>666</v>
      </c>
    </row>
    <row r="704" spans="1:5" x14ac:dyDescent="0.25">
      <c r="A704" s="6" t="s">
        <v>678</v>
      </c>
      <c r="B704" s="6">
        <v>8.51</v>
      </c>
      <c r="C704" s="6">
        <v>141</v>
      </c>
      <c r="D704" s="6">
        <v>33.979999999999997</v>
      </c>
      <c r="E704" s="6">
        <v>538</v>
      </c>
    </row>
    <row r="705" spans="1:5" x14ac:dyDescent="0.25">
      <c r="A705" s="6" t="s">
        <v>850</v>
      </c>
      <c r="B705" s="6">
        <v>4.7300000000000004</v>
      </c>
      <c r="C705" s="6">
        <v>99</v>
      </c>
      <c r="D705" s="6">
        <v>14.46</v>
      </c>
      <c r="E705" s="6">
        <v>207</v>
      </c>
    </row>
    <row r="706" spans="1:5" x14ac:dyDescent="0.25">
      <c r="A706" s="6" t="s">
        <v>579</v>
      </c>
      <c r="B706" s="6">
        <v>4.55</v>
      </c>
      <c r="C706" s="6">
        <v>76</v>
      </c>
      <c r="D706" s="6">
        <v>16.010000000000002</v>
      </c>
      <c r="E706" s="6">
        <v>186</v>
      </c>
    </row>
    <row r="707" spans="1:5" x14ac:dyDescent="0.25">
      <c r="A707" s="6" t="s">
        <v>87</v>
      </c>
      <c r="B707" s="6">
        <v>7.57</v>
      </c>
      <c r="C707" s="6">
        <v>125</v>
      </c>
      <c r="D707" s="6">
        <v>9.19</v>
      </c>
      <c r="E707" s="6">
        <v>70</v>
      </c>
    </row>
    <row r="708" spans="1:5" x14ac:dyDescent="0.25">
      <c r="A708" s="6" t="s">
        <v>112</v>
      </c>
      <c r="B708" s="6">
        <v>3.79</v>
      </c>
      <c r="C708" s="6">
        <v>82</v>
      </c>
      <c r="D708" s="6">
        <v>23.01</v>
      </c>
      <c r="E708" s="6">
        <v>230</v>
      </c>
    </row>
    <row r="709" spans="1:5" x14ac:dyDescent="0.25">
      <c r="A709" s="6" t="s">
        <v>950</v>
      </c>
      <c r="B709" s="6">
        <v>14.07</v>
      </c>
      <c r="C709" s="6">
        <v>181</v>
      </c>
      <c r="D709" s="6">
        <v>25.87</v>
      </c>
      <c r="E709" s="6">
        <v>304</v>
      </c>
    </row>
    <row r="710" spans="1:5" x14ac:dyDescent="0.25">
      <c r="A710" s="6" t="s">
        <v>529</v>
      </c>
      <c r="B710" s="6">
        <v>4.32</v>
      </c>
      <c r="C710" s="6">
        <v>85</v>
      </c>
      <c r="D710" s="6">
        <v>31.9</v>
      </c>
      <c r="E710" s="6">
        <v>405</v>
      </c>
    </row>
    <row r="711" spans="1:5" x14ac:dyDescent="0.25">
      <c r="A711" s="6" t="s">
        <v>538</v>
      </c>
      <c r="B711" s="6">
        <v>9.32</v>
      </c>
      <c r="C711" s="6">
        <v>149</v>
      </c>
      <c r="D711" s="6">
        <v>15.38</v>
      </c>
      <c r="E711" s="6">
        <v>174</v>
      </c>
    </row>
    <row r="712" spans="1:5" x14ac:dyDescent="0.25">
      <c r="A712" s="6" t="s">
        <v>659</v>
      </c>
      <c r="B712" s="6">
        <v>6.5</v>
      </c>
      <c r="C712" s="6">
        <v>109</v>
      </c>
      <c r="D712" s="6">
        <v>13.39</v>
      </c>
      <c r="E712" s="6">
        <v>145</v>
      </c>
    </row>
    <row r="713" spans="1:5" x14ac:dyDescent="0.25">
      <c r="A713" s="6" t="s">
        <v>852</v>
      </c>
      <c r="B713" s="6">
        <v>8.02</v>
      </c>
      <c r="C713" s="6">
        <v>122</v>
      </c>
      <c r="D713" s="6">
        <v>25.41</v>
      </c>
      <c r="E713" s="6">
        <v>392</v>
      </c>
    </row>
    <row r="714" spans="1:5" x14ac:dyDescent="0.25">
      <c r="A714" s="6" t="s">
        <v>951</v>
      </c>
      <c r="B714" s="6">
        <v>6.22</v>
      </c>
      <c r="C714" s="6">
        <v>118</v>
      </c>
      <c r="D714" s="6">
        <v>20.66</v>
      </c>
      <c r="E714" s="6">
        <v>261</v>
      </c>
    </row>
    <row r="715" spans="1:5" x14ac:dyDescent="0.25">
      <c r="A715" s="6" t="s">
        <v>622</v>
      </c>
      <c r="B715" s="6">
        <v>9.17</v>
      </c>
      <c r="C715" s="6">
        <v>147</v>
      </c>
      <c r="D715" s="6">
        <v>30.27</v>
      </c>
      <c r="E715" s="6">
        <v>371</v>
      </c>
    </row>
    <row r="716" spans="1:5" x14ac:dyDescent="0.25">
      <c r="A716" s="6" t="s">
        <v>185</v>
      </c>
      <c r="B716" s="6">
        <v>2.76</v>
      </c>
      <c r="C716" s="6">
        <v>66</v>
      </c>
      <c r="D716" s="6">
        <v>12.71</v>
      </c>
      <c r="E716" s="6">
        <v>200</v>
      </c>
    </row>
    <row r="717" spans="1:5" x14ac:dyDescent="0.25">
      <c r="A717" s="6" t="s">
        <v>640</v>
      </c>
      <c r="B717" s="6">
        <v>2.4900000000000002</v>
      </c>
      <c r="C717" s="6">
        <v>60</v>
      </c>
      <c r="D717" s="6">
        <v>25.8</v>
      </c>
      <c r="E717" s="6">
        <v>391</v>
      </c>
    </row>
    <row r="718" spans="1:5" x14ac:dyDescent="0.25">
      <c r="A718" s="6" t="s">
        <v>853</v>
      </c>
      <c r="B718" s="6">
        <v>10.78</v>
      </c>
      <c r="C718" s="6">
        <v>203</v>
      </c>
      <c r="D718" s="6">
        <v>22.87</v>
      </c>
      <c r="E718" s="6">
        <v>309</v>
      </c>
    </row>
    <row r="719" spans="1:5" x14ac:dyDescent="0.25">
      <c r="A719" s="6" t="s">
        <v>653</v>
      </c>
      <c r="B719" s="6">
        <v>5.1100000000000003</v>
      </c>
      <c r="C719" s="6">
        <v>84</v>
      </c>
      <c r="D719" s="6">
        <v>27.27</v>
      </c>
      <c r="E719" s="6">
        <v>373</v>
      </c>
    </row>
    <row r="720" spans="1:5" x14ac:dyDescent="0.25">
      <c r="A720" s="6" t="s">
        <v>854</v>
      </c>
      <c r="B720" s="6">
        <v>11.06</v>
      </c>
      <c r="C720" s="6">
        <v>194</v>
      </c>
      <c r="D720" s="6">
        <v>14.82</v>
      </c>
      <c r="E720" s="6">
        <v>243</v>
      </c>
    </row>
    <row r="721" spans="1:5" x14ac:dyDescent="0.25">
      <c r="A721" s="6" t="s">
        <v>606</v>
      </c>
      <c r="B721" s="6">
        <v>9.0299999999999994</v>
      </c>
      <c r="C721" s="6">
        <v>157</v>
      </c>
      <c r="D721" s="6">
        <v>21.43</v>
      </c>
      <c r="E721" s="6">
        <v>304</v>
      </c>
    </row>
    <row r="722" spans="1:5" x14ac:dyDescent="0.25">
      <c r="A722" s="6" t="s">
        <v>411</v>
      </c>
      <c r="B722" s="6">
        <v>5.25</v>
      </c>
      <c r="C722" s="6">
        <v>79</v>
      </c>
      <c r="D722" s="6">
        <v>12.85</v>
      </c>
      <c r="E722" s="6">
        <v>132</v>
      </c>
    </row>
    <row r="723" spans="1:5" x14ac:dyDescent="0.25">
      <c r="A723" s="6" t="s">
        <v>141</v>
      </c>
      <c r="B723" s="6">
        <v>1.61</v>
      </c>
      <c r="C723" s="6">
        <v>44</v>
      </c>
      <c r="D723" s="6">
        <v>8.9</v>
      </c>
      <c r="E723" s="6">
        <v>107</v>
      </c>
    </row>
    <row r="724" spans="1:5" x14ac:dyDescent="0.25">
      <c r="A724" s="6" t="s">
        <v>314</v>
      </c>
      <c r="B724" s="6">
        <v>6.08</v>
      </c>
      <c r="C724" s="6">
        <v>114</v>
      </c>
      <c r="D724" s="6">
        <v>12.59</v>
      </c>
      <c r="E724" s="6">
        <v>132</v>
      </c>
    </row>
    <row r="725" spans="1:5" x14ac:dyDescent="0.25">
      <c r="A725" s="6" t="s">
        <v>209</v>
      </c>
      <c r="B725" s="6">
        <v>17.03</v>
      </c>
      <c r="C725" s="6">
        <v>194</v>
      </c>
      <c r="D725" s="6">
        <v>28.7</v>
      </c>
      <c r="E725" s="6">
        <v>234</v>
      </c>
    </row>
    <row r="726" spans="1:5" x14ac:dyDescent="0.25">
      <c r="A726" s="6" t="s">
        <v>157</v>
      </c>
      <c r="B726" s="6">
        <v>2.2599999999999998</v>
      </c>
      <c r="C726" s="6">
        <v>58</v>
      </c>
      <c r="D726" s="6">
        <v>15.77</v>
      </c>
      <c r="E726" s="6">
        <v>231</v>
      </c>
    </row>
    <row r="727" spans="1:5" x14ac:dyDescent="0.25">
      <c r="A727" s="6" t="s">
        <v>85</v>
      </c>
      <c r="B727" s="6">
        <v>2.56</v>
      </c>
      <c r="C727" s="6">
        <v>61</v>
      </c>
      <c r="D727" s="6">
        <v>19.37</v>
      </c>
      <c r="E727" s="6">
        <v>369</v>
      </c>
    </row>
    <row r="728" spans="1:5" x14ac:dyDescent="0.25">
      <c r="A728" s="6" t="s">
        <v>952</v>
      </c>
      <c r="B728" s="6">
        <v>9.58</v>
      </c>
      <c r="C728" s="6">
        <v>142</v>
      </c>
      <c r="D728" s="6">
        <v>19.16</v>
      </c>
      <c r="E728" s="6">
        <v>222</v>
      </c>
    </row>
    <row r="729" spans="1:5" x14ac:dyDescent="0.25">
      <c r="A729" s="6" t="s">
        <v>88</v>
      </c>
      <c r="B729" s="6">
        <v>21.91</v>
      </c>
      <c r="C729" s="6">
        <v>252</v>
      </c>
      <c r="D729" s="6">
        <v>42.57</v>
      </c>
      <c r="E729" s="6">
        <v>459</v>
      </c>
    </row>
    <row r="730" spans="1:5" x14ac:dyDescent="0.25">
      <c r="A730" s="6" t="s">
        <v>302</v>
      </c>
      <c r="B730" s="6">
        <v>2.6</v>
      </c>
      <c r="C730" s="6">
        <v>60</v>
      </c>
      <c r="D730" s="6">
        <v>9.5</v>
      </c>
      <c r="E730" s="6">
        <v>113</v>
      </c>
    </row>
    <row r="731" spans="1:5" x14ac:dyDescent="0.25">
      <c r="A731" s="6" t="s">
        <v>130</v>
      </c>
      <c r="B731" s="6">
        <v>1.65</v>
      </c>
      <c r="C731" s="6">
        <v>40</v>
      </c>
      <c r="D731" s="6">
        <v>8.4</v>
      </c>
      <c r="E731" s="6">
        <v>100</v>
      </c>
    </row>
    <row r="732" spans="1:5" x14ac:dyDescent="0.25">
      <c r="A732" s="6" t="s">
        <v>511</v>
      </c>
      <c r="B732" s="6">
        <v>6.44</v>
      </c>
      <c r="C732" s="6">
        <v>111</v>
      </c>
      <c r="D732" s="6">
        <v>17.18</v>
      </c>
      <c r="E732" s="6">
        <v>209</v>
      </c>
    </row>
    <row r="733" spans="1:5" x14ac:dyDescent="0.25">
      <c r="A733" s="6" t="s">
        <v>224</v>
      </c>
      <c r="B733" s="6">
        <v>7.13</v>
      </c>
      <c r="C733" s="6">
        <v>91</v>
      </c>
      <c r="D733" s="6">
        <v>17.63</v>
      </c>
      <c r="E733" s="6">
        <v>185</v>
      </c>
    </row>
    <row r="734" spans="1:5" x14ac:dyDescent="0.25">
      <c r="A734" s="6" t="s">
        <v>346</v>
      </c>
      <c r="B734" s="6">
        <v>3.79</v>
      </c>
      <c r="C734" s="6">
        <v>83</v>
      </c>
      <c r="D734" s="6">
        <v>19.149999999999999</v>
      </c>
      <c r="E734" s="6">
        <v>276</v>
      </c>
    </row>
    <row r="735" spans="1:5" x14ac:dyDescent="0.25">
      <c r="A735" s="6" t="s">
        <v>547</v>
      </c>
      <c r="B735" s="6">
        <v>8.61</v>
      </c>
      <c r="C735" s="6">
        <v>135</v>
      </c>
      <c r="D735" s="6">
        <v>34.97</v>
      </c>
      <c r="E735" s="6">
        <v>373</v>
      </c>
    </row>
    <row r="736" spans="1:5" x14ac:dyDescent="0.25">
      <c r="A736" s="6" t="s">
        <v>56</v>
      </c>
      <c r="B736" s="6">
        <v>8.6199999999999992</v>
      </c>
      <c r="C736" s="6">
        <v>141</v>
      </c>
      <c r="D736" s="6">
        <v>20.41</v>
      </c>
      <c r="E736" s="6">
        <v>266</v>
      </c>
    </row>
    <row r="737" spans="1:5" x14ac:dyDescent="0.25">
      <c r="A737" s="6" t="s">
        <v>953</v>
      </c>
      <c r="B737" s="6">
        <v>5.43</v>
      </c>
      <c r="C737" s="6">
        <v>81</v>
      </c>
      <c r="D737" s="6">
        <v>18.21</v>
      </c>
      <c r="E737" s="6">
        <v>221</v>
      </c>
    </row>
    <row r="738" spans="1:5" x14ac:dyDescent="0.25">
      <c r="A738" s="6" t="s">
        <v>148</v>
      </c>
      <c r="B738" s="6">
        <v>10.66</v>
      </c>
      <c r="C738" s="6">
        <v>146</v>
      </c>
      <c r="D738" s="6">
        <v>28.17</v>
      </c>
      <c r="E738" s="6">
        <v>399</v>
      </c>
    </row>
    <row r="739" spans="1:5" x14ac:dyDescent="0.25">
      <c r="A739" s="6" t="s">
        <v>954</v>
      </c>
      <c r="B739" s="6">
        <v>5.69</v>
      </c>
      <c r="C739" s="6">
        <v>110</v>
      </c>
      <c r="D739" s="6">
        <v>13.06</v>
      </c>
      <c r="E739" s="6">
        <v>195</v>
      </c>
    </row>
    <row r="740" spans="1:5" x14ac:dyDescent="0.25">
      <c r="A740" s="6" t="s">
        <v>96</v>
      </c>
      <c r="B740" s="6">
        <v>4.3</v>
      </c>
      <c r="C740" s="6">
        <v>85</v>
      </c>
      <c r="D740" s="6">
        <v>25.35</v>
      </c>
      <c r="E740" s="6">
        <v>413</v>
      </c>
    </row>
    <row r="741" spans="1:5" x14ac:dyDescent="0.25">
      <c r="A741" s="6" t="s">
        <v>470</v>
      </c>
      <c r="B741" s="6">
        <v>9.39</v>
      </c>
      <c r="C741" s="6">
        <v>166</v>
      </c>
      <c r="D741" s="6">
        <v>15.46</v>
      </c>
      <c r="E741" s="6">
        <v>144</v>
      </c>
    </row>
    <row r="742" spans="1:5" x14ac:dyDescent="0.25">
      <c r="A742" s="6" t="s">
        <v>695</v>
      </c>
      <c r="B742" s="6">
        <v>7.15</v>
      </c>
      <c r="C742" s="6">
        <v>102</v>
      </c>
      <c r="D742" s="6">
        <v>15.21</v>
      </c>
      <c r="E742" s="6">
        <v>173</v>
      </c>
    </row>
    <row r="743" spans="1:5" x14ac:dyDescent="0.25">
      <c r="A743" s="6" t="s">
        <v>855</v>
      </c>
      <c r="B743" s="6">
        <v>14.94</v>
      </c>
      <c r="C743" s="6">
        <v>229</v>
      </c>
      <c r="D743" s="6">
        <v>43.41</v>
      </c>
      <c r="E743" s="6">
        <v>692</v>
      </c>
    </row>
    <row r="744" spans="1:5" x14ac:dyDescent="0.25">
      <c r="A744" s="6" t="s">
        <v>856</v>
      </c>
      <c r="B744" s="6">
        <v>15.21</v>
      </c>
      <c r="C744" s="6">
        <v>216</v>
      </c>
      <c r="D744" s="6">
        <v>9.8800000000000008</v>
      </c>
      <c r="E744" s="6">
        <v>115</v>
      </c>
    </row>
    <row r="745" spans="1:5" x14ac:dyDescent="0.25">
      <c r="A745" s="6" t="s">
        <v>4</v>
      </c>
      <c r="B745" s="6">
        <v>8.4600000000000009</v>
      </c>
      <c r="C745" s="6">
        <v>155</v>
      </c>
      <c r="D745" s="6">
        <v>25.22</v>
      </c>
      <c r="E745" s="6">
        <v>393</v>
      </c>
    </row>
    <row r="746" spans="1:5" x14ac:dyDescent="0.25">
      <c r="A746" s="6" t="s">
        <v>857</v>
      </c>
      <c r="B746" s="6">
        <v>8.01</v>
      </c>
      <c r="C746" s="6">
        <v>138</v>
      </c>
      <c r="D746" s="6">
        <v>18.420000000000002</v>
      </c>
      <c r="E746" s="6">
        <v>294</v>
      </c>
    </row>
    <row r="747" spans="1:5" x14ac:dyDescent="0.25">
      <c r="A747" s="6" t="s">
        <v>18</v>
      </c>
      <c r="B747" s="6">
        <v>4.32</v>
      </c>
      <c r="C747" s="6">
        <v>95</v>
      </c>
      <c r="D747" s="6">
        <v>26.92</v>
      </c>
      <c r="E747" s="6">
        <v>351</v>
      </c>
    </row>
    <row r="748" spans="1:5" x14ac:dyDescent="0.25">
      <c r="A748" s="6" t="s">
        <v>623</v>
      </c>
      <c r="B748" s="6">
        <v>6.18</v>
      </c>
      <c r="C748" s="6">
        <v>111</v>
      </c>
      <c r="D748" s="6">
        <v>21.01</v>
      </c>
      <c r="E748" s="6">
        <v>291</v>
      </c>
    </row>
    <row r="749" spans="1:5" x14ac:dyDescent="0.25">
      <c r="A749" s="6" t="s">
        <v>205</v>
      </c>
      <c r="B749" s="6">
        <v>5.42</v>
      </c>
      <c r="C749" s="6">
        <v>115</v>
      </c>
      <c r="D749" s="6">
        <v>35.49</v>
      </c>
      <c r="E749" s="6">
        <v>484</v>
      </c>
    </row>
    <row r="750" spans="1:5" x14ac:dyDescent="0.25">
      <c r="A750" s="6" t="s">
        <v>99</v>
      </c>
      <c r="B750" s="6">
        <v>6.49</v>
      </c>
      <c r="C750" s="6">
        <v>101</v>
      </c>
      <c r="D750" s="6">
        <v>28.86</v>
      </c>
      <c r="E750" s="6">
        <v>388</v>
      </c>
    </row>
    <row r="751" spans="1:5" x14ac:dyDescent="0.25">
      <c r="A751" s="6" t="s">
        <v>21</v>
      </c>
      <c r="B751" s="6">
        <v>4.3499999999999996</v>
      </c>
      <c r="C751" s="6">
        <v>89</v>
      </c>
      <c r="D751" s="6">
        <v>14.96</v>
      </c>
      <c r="E751" s="6">
        <v>231</v>
      </c>
    </row>
    <row r="752" spans="1:5" x14ac:dyDescent="0.25">
      <c r="A752" s="6" t="s">
        <v>858</v>
      </c>
      <c r="B752" s="6">
        <v>13.31</v>
      </c>
      <c r="C752" s="6">
        <v>255</v>
      </c>
      <c r="D752" s="6">
        <v>30.74</v>
      </c>
      <c r="E752" s="6">
        <v>465</v>
      </c>
    </row>
    <row r="753" spans="1:5" x14ac:dyDescent="0.25">
      <c r="A753" s="6" t="s">
        <v>216</v>
      </c>
      <c r="B753" s="6">
        <v>13.99</v>
      </c>
      <c r="C753" s="6">
        <v>229</v>
      </c>
      <c r="D753" s="6">
        <v>27.66</v>
      </c>
      <c r="E753" s="6">
        <v>456</v>
      </c>
    </row>
    <row r="754" spans="1:5" x14ac:dyDescent="0.25">
      <c r="A754" s="6" t="s">
        <v>637</v>
      </c>
      <c r="B754" s="6">
        <v>2.76</v>
      </c>
      <c r="C754" s="6">
        <v>64</v>
      </c>
      <c r="D754" s="6">
        <v>24.83</v>
      </c>
      <c r="E754" s="6">
        <v>384</v>
      </c>
    </row>
    <row r="755" spans="1:5" x14ac:dyDescent="0.25">
      <c r="A755" s="6" t="s">
        <v>138</v>
      </c>
      <c r="B755" s="6">
        <v>1.97</v>
      </c>
      <c r="C755" s="6">
        <v>53</v>
      </c>
      <c r="D755" s="6">
        <v>13.22</v>
      </c>
      <c r="E755" s="6">
        <v>169</v>
      </c>
    </row>
    <row r="756" spans="1:5" x14ac:dyDescent="0.25">
      <c r="A756" s="6" t="s">
        <v>311</v>
      </c>
      <c r="B756" s="6">
        <v>3.12</v>
      </c>
      <c r="C756" s="6">
        <v>84</v>
      </c>
      <c r="D756" s="6">
        <v>16.68</v>
      </c>
      <c r="E756" s="6">
        <v>224</v>
      </c>
    </row>
    <row r="757" spans="1:5" x14ac:dyDescent="0.25">
      <c r="A757" s="6" t="s">
        <v>416</v>
      </c>
      <c r="B757" s="6">
        <v>10.92</v>
      </c>
      <c r="C757" s="6">
        <v>138</v>
      </c>
      <c r="D757" s="6">
        <v>23.94</v>
      </c>
      <c r="E757" s="6">
        <v>258</v>
      </c>
    </row>
    <row r="758" spans="1:5" x14ac:dyDescent="0.25">
      <c r="A758" s="6" t="s">
        <v>717</v>
      </c>
      <c r="B758" s="6">
        <v>9.44</v>
      </c>
      <c r="C758" s="6">
        <v>123</v>
      </c>
      <c r="D758" s="6">
        <v>25.08</v>
      </c>
      <c r="E758" s="6">
        <v>278</v>
      </c>
    </row>
    <row r="759" spans="1:5" x14ac:dyDescent="0.25">
      <c r="A759" s="6" t="s">
        <v>955</v>
      </c>
      <c r="B759" s="6">
        <v>12.09</v>
      </c>
      <c r="C759" s="6">
        <v>146</v>
      </c>
      <c r="D759" s="6">
        <v>34.51</v>
      </c>
      <c r="E759" s="6">
        <v>357</v>
      </c>
    </row>
    <row r="760" spans="1:5" x14ac:dyDescent="0.25">
      <c r="A760" s="6" t="s">
        <v>572</v>
      </c>
      <c r="B760" s="6">
        <v>1.74</v>
      </c>
      <c r="C760" s="6">
        <v>35</v>
      </c>
      <c r="D760" s="6">
        <v>17.95</v>
      </c>
      <c r="E760" s="6">
        <v>305</v>
      </c>
    </row>
    <row r="761" spans="1:5" x14ac:dyDescent="0.25">
      <c r="A761" s="6" t="s">
        <v>859</v>
      </c>
      <c r="B761" s="6">
        <v>21.65</v>
      </c>
      <c r="C761" s="6">
        <v>320</v>
      </c>
      <c r="D761" s="6">
        <v>28.83</v>
      </c>
      <c r="E761" s="6">
        <v>535</v>
      </c>
    </row>
    <row r="762" spans="1:5" x14ac:dyDescent="0.25">
      <c r="A762" s="6" t="s">
        <v>715</v>
      </c>
      <c r="B762" s="6">
        <v>4.05</v>
      </c>
      <c r="C762" s="6">
        <v>78</v>
      </c>
      <c r="D762" s="6">
        <v>25.94</v>
      </c>
      <c r="E762" s="6">
        <v>323</v>
      </c>
    </row>
    <row r="763" spans="1:5" x14ac:dyDescent="0.25">
      <c r="A763" s="6" t="s">
        <v>956</v>
      </c>
      <c r="B763" s="6">
        <v>6.18</v>
      </c>
      <c r="C763" s="6">
        <v>106</v>
      </c>
      <c r="D763" s="6">
        <v>31.42</v>
      </c>
      <c r="E763" s="6">
        <v>401</v>
      </c>
    </row>
    <row r="764" spans="1:5" x14ac:dyDescent="0.25">
      <c r="A764" s="6" t="s">
        <v>436</v>
      </c>
      <c r="B764" s="6">
        <v>10.29</v>
      </c>
      <c r="C764" s="6">
        <v>158</v>
      </c>
      <c r="D764" s="6">
        <v>27.58</v>
      </c>
      <c r="E764" s="6">
        <v>352</v>
      </c>
    </row>
    <row r="765" spans="1:5" x14ac:dyDescent="0.25">
      <c r="A765" s="6" t="s">
        <v>268</v>
      </c>
      <c r="B765" s="6">
        <v>2.0699999999999998</v>
      </c>
      <c r="C765" s="6">
        <v>42</v>
      </c>
      <c r="D765" s="6">
        <v>6.45</v>
      </c>
      <c r="E765" s="6">
        <v>45</v>
      </c>
    </row>
    <row r="766" spans="1:5" x14ac:dyDescent="0.25">
      <c r="A766" s="6" t="s">
        <v>438</v>
      </c>
      <c r="B766" s="6">
        <v>3.21</v>
      </c>
      <c r="C766" s="6">
        <v>80</v>
      </c>
      <c r="D766" s="6">
        <v>14.27</v>
      </c>
      <c r="E766" s="6">
        <v>174</v>
      </c>
    </row>
    <row r="767" spans="1:5" x14ac:dyDescent="0.25">
      <c r="A767" s="6" t="s">
        <v>735</v>
      </c>
      <c r="B767" s="6">
        <v>9</v>
      </c>
      <c r="C767" s="6">
        <v>144</v>
      </c>
      <c r="D767" s="6">
        <v>47.32</v>
      </c>
      <c r="E767" s="6">
        <v>645</v>
      </c>
    </row>
    <row r="768" spans="1:5" x14ac:dyDescent="0.25">
      <c r="A768" s="6" t="s">
        <v>626</v>
      </c>
      <c r="B768" s="6">
        <v>25.17</v>
      </c>
      <c r="C768" s="6">
        <v>272</v>
      </c>
      <c r="D768" s="6">
        <v>18.989999999999998</v>
      </c>
      <c r="E768" s="6">
        <v>152</v>
      </c>
    </row>
    <row r="769" spans="1:5" x14ac:dyDescent="0.25">
      <c r="A769" s="6" t="s">
        <v>686</v>
      </c>
      <c r="B769" s="6">
        <v>4.3</v>
      </c>
      <c r="C769" s="6">
        <v>102</v>
      </c>
      <c r="D769" s="6">
        <v>28.36</v>
      </c>
      <c r="E769" s="6">
        <v>433</v>
      </c>
    </row>
    <row r="770" spans="1:5" x14ac:dyDescent="0.25">
      <c r="A770" s="6" t="s">
        <v>957</v>
      </c>
      <c r="B770" s="6">
        <v>9.67</v>
      </c>
      <c r="C770" s="6">
        <v>186</v>
      </c>
      <c r="D770" s="6">
        <v>20</v>
      </c>
      <c r="E770" s="6">
        <v>329</v>
      </c>
    </row>
    <row r="771" spans="1:5" x14ac:dyDescent="0.25">
      <c r="A771" s="6" t="s">
        <v>471</v>
      </c>
      <c r="B771" s="6">
        <v>11.07</v>
      </c>
      <c r="C771" s="6">
        <v>152</v>
      </c>
      <c r="D771" s="6">
        <v>15.54</v>
      </c>
      <c r="E771" s="6">
        <v>156</v>
      </c>
    </row>
    <row r="772" spans="1:5" x14ac:dyDescent="0.25">
      <c r="A772" s="6" t="s">
        <v>860</v>
      </c>
      <c r="B772" s="6">
        <v>20.99</v>
      </c>
      <c r="C772" s="6">
        <v>489</v>
      </c>
      <c r="D772" s="6">
        <v>21.78</v>
      </c>
      <c r="E772" s="6">
        <v>422</v>
      </c>
    </row>
    <row r="773" spans="1:5" x14ac:dyDescent="0.25">
      <c r="A773" s="6" t="s">
        <v>688</v>
      </c>
      <c r="B773" s="6">
        <v>2.96</v>
      </c>
      <c r="C773" s="6">
        <v>70</v>
      </c>
      <c r="D773" s="6">
        <v>14.73</v>
      </c>
      <c r="E773" s="6">
        <v>213</v>
      </c>
    </row>
    <row r="774" spans="1:5" x14ac:dyDescent="0.25">
      <c r="A774" s="6" t="s">
        <v>958</v>
      </c>
      <c r="B774" s="6">
        <v>4.04</v>
      </c>
      <c r="C774" s="6">
        <v>77</v>
      </c>
      <c r="D774" s="6">
        <v>12.11</v>
      </c>
      <c r="E774" s="6">
        <v>141</v>
      </c>
    </row>
    <row r="775" spans="1:5" x14ac:dyDescent="0.25">
      <c r="A775" s="6" t="s">
        <v>861</v>
      </c>
      <c r="B775" s="6">
        <v>4.93</v>
      </c>
      <c r="C775" s="6">
        <v>115</v>
      </c>
      <c r="D775" s="6">
        <v>13.54</v>
      </c>
      <c r="E775" s="6">
        <v>214</v>
      </c>
    </row>
    <row r="776" spans="1:5" x14ac:dyDescent="0.25">
      <c r="A776" s="6" t="s">
        <v>364</v>
      </c>
      <c r="B776" s="6">
        <v>3.38</v>
      </c>
      <c r="C776" s="6">
        <v>74</v>
      </c>
      <c r="D776" s="6">
        <v>7</v>
      </c>
      <c r="E776" s="6">
        <v>92</v>
      </c>
    </row>
    <row r="777" spans="1:5" x14ac:dyDescent="0.25">
      <c r="A777" s="6" t="s">
        <v>959</v>
      </c>
      <c r="B777" s="6">
        <v>9.9600000000000009</v>
      </c>
      <c r="C777" s="6">
        <v>188</v>
      </c>
      <c r="D777" s="6">
        <v>18.41</v>
      </c>
      <c r="E777" s="6">
        <v>292</v>
      </c>
    </row>
    <row r="778" spans="1:5" x14ac:dyDescent="0.25">
      <c r="A778" s="6" t="s">
        <v>55</v>
      </c>
      <c r="B778" s="6">
        <v>12.79</v>
      </c>
      <c r="C778" s="6">
        <v>178</v>
      </c>
      <c r="D778" s="6">
        <v>27.78</v>
      </c>
      <c r="E778" s="6">
        <v>342</v>
      </c>
    </row>
    <row r="779" spans="1:5" x14ac:dyDescent="0.25">
      <c r="A779" s="6" t="s">
        <v>183</v>
      </c>
      <c r="B779" s="6">
        <v>6.22</v>
      </c>
      <c r="C779" s="6">
        <v>100</v>
      </c>
      <c r="D779" s="6">
        <v>17.989999999999998</v>
      </c>
      <c r="E779" s="6">
        <v>155</v>
      </c>
    </row>
    <row r="780" spans="1:5" x14ac:dyDescent="0.25">
      <c r="A780" s="6" t="s">
        <v>687</v>
      </c>
      <c r="B780" s="6">
        <v>4.05</v>
      </c>
      <c r="C780" s="6">
        <v>90</v>
      </c>
      <c r="D780" s="6">
        <v>16.22</v>
      </c>
      <c r="E780" s="6">
        <v>316</v>
      </c>
    </row>
    <row r="781" spans="1:5" x14ac:dyDescent="0.25">
      <c r="A781" s="6" t="s">
        <v>960</v>
      </c>
      <c r="B781" s="6">
        <v>23.66</v>
      </c>
      <c r="C781" s="6">
        <v>358</v>
      </c>
      <c r="D781" s="6">
        <v>22.78</v>
      </c>
      <c r="E781" s="6">
        <v>286</v>
      </c>
    </row>
    <row r="782" spans="1:5" x14ac:dyDescent="0.25">
      <c r="A782" s="6" t="s">
        <v>106</v>
      </c>
      <c r="B782" s="6">
        <v>8.98</v>
      </c>
      <c r="C782" s="6">
        <v>135</v>
      </c>
      <c r="D782" s="6">
        <v>13.61</v>
      </c>
      <c r="E782" s="6">
        <v>165</v>
      </c>
    </row>
    <row r="783" spans="1:5" x14ac:dyDescent="0.25">
      <c r="A783" s="6" t="s">
        <v>628</v>
      </c>
      <c r="B783" s="6">
        <v>5.64</v>
      </c>
      <c r="C783" s="6">
        <v>99</v>
      </c>
      <c r="D783" s="6">
        <v>21.66</v>
      </c>
      <c r="E783" s="6">
        <v>326</v>
      </c>
    </row>
    <row r="784" spans="1:5" x14ac:dyDescent="0.25">
      <c r="A784" s="6" t="s">
        <v>862</v>
      </c>
      <c r="B784" s="6">
        <v>10.48</v>
      </c>
      <c r="C784" s="6">
        <v>186</v>
      </c>
      <c r="D784" s="6">
        <v>43.8</v>
      </c>
      <c r="E784" s="6">
        <v>533</v>
      </c>
    </row>
    <row r="785" spans="1:5" x14ac:dyDescent="0.25">
      <c r="A785" s="6" t="s">
        <v>863</v>
      </c>
      <c r="B785" s="6">
        <v>89.71</v>
      </c>
      <c r="C785" s="6">
        <v>1194</v>
      </c>
      <c r="D785" s="6">
        <v>6.8</v>
      </c>
      <c r="E785" s="6">
        <v>48</v>
      </c>
    </row>
    <row r="786" spans="1:5" x14ac:dyDescent="0.25">
      <c r="A786" s="6" t="s">
        <v>297</v>
      </c>
      <c r="B786" s="6">
        <v>2.09</v>
      </c>
      <c r="C786" s="6">
        <v>57</v>
      </c>
      <c r="D786" s="6">
        <v>16.13</v>
      </c>
      <c r="E786" s="6">
        <v>289</v>
      </c>
    </row>
    <row r="787" spans="1:5" x14ac:dyDescent="0.25">
      <c r="A787" s="6" t="s">
        <v>864</v>
      </c>
      <c r="B787" s="6">
        <v>13.56</v>
      </c>
      <c r="C787" s="6">
        <v>184</v>
      </c>
      <c r="D787" s="6">
        <v>30.8</v>
      </c>
      <c r="E787" s="6">
        <v>419</v>
      </c>
    </row>
    <row r="788" spans="1:5" x14ac:dyDescent="0.25">
      <c r="A788" s="6" t="s">
        <v>961</v>
      </c>
      <c r="B788" s="6">
        <v>5.96</v>
      </c>
      <c r="C788" s="6">
        <v>102</v>
      </c>
      <c r="D788" s="6">
        <v>22.31</v>
      </c>
      <c r="E788" s="6">
        <v>308</v>
      </c>
    </row>
    <row r="789" spans="1:5" x14ac:dyDescent="0.25">
      <c r="A789" s="6" t="s">
        <v>500</v>
      </c>
      <c r="B789" s="6">
        <v>11.9</v>
      </c>
      <c r="C789" s="6">
        <v>150</v>
      </c>
      <c r="D789" s="6">
        <v>33.549999999999997</v>
      </c>
      <c r="E789" s="6">
        <v>381</v>
      </c>
    </row>
    <row r="790" spans="1:5" x14ac:dyDescent="0.25">
      <c r="A790" s="6" t="s">
        <v>962</v>
      </c>
      <c r="B790" s="6">
        <v>4.82</v>
      </c>
      <c r="C790" s="6">
        <v>88</v>
      </c>
      <c r="D790" s="6">
        <v>18.559999999999999</v>
      </c>
      <c r="E790" s="6">
        <v>269</v>
      </c>
    </row>
    <row r="791" spans="1:5" x14ac:dyDescent="0.25">
      <c r="A791" s="6" t="s">
        <v>518</v>
      </c>
      <c r="B791" s="6">
        <v>8.76</v>
      </c>
      <c r="C791" s="6">
        <v>122</v>
      </c>
      <c r="D791" s="6">
        <v>27.53</v>
      </c>
      <c r="E791" s="6">
        <v>453</v>
      </c>
    </row>
    <row r="792" spans="1:5" x14ac:dyDescent="0.25">
      <c r="A792" s="6" t="s">
        <v>624</v>
      </c>
      <c r="B792" s="6">
        <v>6.71</v>
      </c>
      <c r="C792" s="6">
        <v>109</v>
      </c>
      <c r="D792" s="6">
        <v>21.87</v>
      </c>
      <c r="E792" s="6">
        <v>267</v>
      </c>
    </row>
    <row r="793" spans="1:5" x14ac:dyDescent="0.25">
      <c r="A793" s="6" t="s">
        <v>344</v>
      </c>
      <c r="B793" s="6">
        <v>10.99</v>
      </c>
      <c r="C793" s="6">
        <v>154</v>
      </c>
      <c r="D793" s="6">
        <v>17.21</v>
      </c>
      <c r="E793" s="6">
        <v>233</v>
      </c>
    </row>
    <row r="794" spans="1:5" x14ac:dyDescent="0.25">
      <c r="A794" s="6" t="s">
        <v>865</v>
      </c>
      <c r="B794" s="6">
        <v>16.36</v>
      </c>
      <c r="C794" s="6">
        <v>249</v>
      </c>
      <c r="D794" s="6">
        <v>46.37</v>
      </c>
      <c r="E794" s="6">
        <v>623</v>
      </c>
    </row>
    <row r="795" spans="1:5" x14ac:dyDescent="0.25">
      <c r="A795" s="6" t="s">
        <v>273</v>
      </c>
      <c r="B795" s="6">
        <v>10.6</v>
      </c>
      <c r="C795" s="6">
        <v>145</v>
      </c>
      <c r="D795" s="6">
        <v>12.37</v>
      </c>
      <c r="E795" s="6">
        <v>125</v>
      </c>
    </row>
    <row r="796" spans="1:5" x14ac:dyDescent="0.25">
      <c r="A796" s="6" t="s">
        <v>149</v>
      </c>
      <c r="B796" s="6">
        <v>7.97</v>
      </c>
      <c r="C796" s="6">
        <v>126</v>
      </c>
      <c r="D796" s="6">
        <v>25.34</v>
      </c>
      <c r="E796" s="6">
        <v>366</v>
      </c>
    </row>
    <row r="797" spans="1:5" x14ac:dyDescent="0.25">
      <c r="A797" s="6" t="s">
        <v>866</v>
      </c>
      <c r="B797" s="6">
        <v>6.69</v>
      </c>
      <c r="C797" s="6">
        <v>125</v>
      </c>
      <c r="D797" s="6">
        <v>19.75</v>
      </c>
      <c r="E797" s="6">
        <v>288</v>
      </c>
    </row>
    <row r="798" spans="1:5" x14ac:dyDescent="0.25">
      <c r="A798" s="6" t="s">
        <v>76</v>
      </c>
      <c r="B798" s="6">
        <v>4.46</v>
      </c>
      <c r="C798" s="6">
        <v>82</v>
      </c>
      <c r="D798" s="6">
        <v>43.21</v>
      </c>
      <c r="E798" s="6">
        <v>565</v>
      </c>
    </row>
    <row r="799" spans="1:5" x14ac:dyDescent="0.25">
      <c r="A799" s="6" t="s">
        <v>360</v>
      </c>
      <c r="B799" s="6">
        <v>19.350000000000001</v>
      </c>
      <c r="C799" s="6">
        <v>210</v>
      </c>
      <c r="D799" s="6">
        <v>24.02</v>
      </c>
      <c r="E799" s="6">
        <v>284</v>
      </c>
    </row>
    <row r="800" spans="1:5" x14ac:dyDescent="0.25">
      <c r="A800" s="6" t="s">
        <v>867</v>
      </c>
      <c r="B800" s="6">
        <v>5.79</v>
      </c>
      <c r="C800" s="6">
        <v>104</v>
      </c>
      <c r="D800" s="6">
        <v>31.38</v>
      </c>
      <c r="E800" s="6">
        <v>532</v>
      </c>
    </row>
    <row r="801" spans="1:5" x14ac:dyDescent="0.25">
      <c r="A801" s="6" t="s">
        <v>33</v>
      </c>
      <c r="B801" s="6">
        <v>5.4</v>
      </c>
      <c r="C801" s="6">
        <v>113</v>
      </c>
      <c r="D801" s="6">
        <v>22.47</v>
      </c>
      <c r="E801" s="6">
        <v>389</v>
      </c>
    </row>
    <row r="802" spans="1:5" x14ac:dyDescent="0.25">
      <c r="A802" s="6" t="s">
        <v>568</v>
      </c>
      <c r="B802" s="6">
        <v>8.9499999999999993</v>
      </c>
      <c r="C802" s="6">
        <v>168</v>
      </c>
      <c r="D802" s="6">
        <v>24.95</v>
      </c>
      <c r="E802" s="6">
        <v>507</v>
      </c>
    </row>
    <row r="803" spans="1:5" x14ac:dyDescent="0.25">
      <c r="A803" s="6" t="s">
        <v>98</v>
      </c>
      <c r="B803" s="6">
        <v>3.85</v>
      </c>
      <c r="C803" s="6">
        <v>86</v>
      </c>
      <c r="D803" s="6">
        <v>9.67</v>
      </c>
      <c r="E803" s="6">
        <v>108</v>
      </c>
    </row>
    <row r="804" spans="1:5" x14ac:dyDescent="0.25">
      <c r="A804" s="6" t="s">
        <v>574</v>
      </c>
      <c r="B804" s="6">
        <v>2.75</v>
      </c>
      <c r="C804" s="6">
        <v>60</v>
      </c>
      <c r="D804" s="6">
        <v>15.16</v>
      </c>
      <c r="E804" s="6">
        <v>195</v>
      </c>
    </row>
    <row r="805" spans="1:5" x14ac:dyDescent="0.25">
      <c r="A805" s="6" t="s">
        <v>111</v>
      </c>
      <c r="B805" s="6">
        <v>6.62</v>
      </c>
      <c r="C805" s="6">
        <v>121</v>
      </c>
      <c r="D805" s="6">
        <v>35.46</v>
      </c>
      <c r="E805" s="6">
        <v>427</v>
      </c>
    </row>
    <row r="806" spans="1:5" x14ac:dyDescent="0.25">
      <c r="A806" s="6" t="s">
        <v>247</v>
      </c>
      <c r="B806" s="6">
        <v>6.97</v>
      </c>
      <c r="C806" s="6">
        <v>123</v>
      </c>
      <c r="D806" s="6">
        <v>34.5</v>
      </c>
      <c r="E806" s="6">
        <v>439</v>
      </c>
    </row>
    <row r="807" spans="1:5" x14ac:dyDescent="0.25">
      <c r="A807" s="6" t="s">
        <v>37</v>
      </c>
      <c r="B807" s="6">
        <v>3.43</v>
      </c>
      <c r="C807" s="6">
        <v>72</v>
      </c>
      <c r="D807" s="6">
        <v>13.7</v>
      </c>
      <c r="E807" s="6">
        <v>167</v>
      </c>
    </row>
    <row r="808" spans="1:5" x14ac:dyDescent="0.25">
      <c r="A808" s="6" t="s">
        <v>869</v>
      </c>
      <c r="B808" s="6">
        <v>24.95</v>
      </c>
      <c r="C808" s="6">
        <v>329</v>
      </c>
      <c r="D808" s="6">
        <v>32.21</v>
      </c>
      <c r="E808" s="6">
        <v>355</v>
      </c>
    </row>
    <row r="809" spans="1:5" x14ac:dyDescent="0.25">
      <c r="A809" s="6" t="s">
        <v>115</v>
      </c>
      <c r="B809" s="6">
        <v>2.2999999999999998</v>
      </c>
      <c r="C809" s="6">
        <v>57</v>
      </c>
      <c r="D809" s="6">
        <v>29.43</v>
      </c>
      <c r="E809" s="6">
        <v>417</v>
      </c>
    </row>
    <row r="810" spans="1:5" x14ac:dyDescent="0.25">
      <c r="A810" s="6" t="s">
        <v>549</v>
      </c>
      <c r="B810" s="6">
        <v>7.15</v>
      </c>
      <c r="C810" s="6">
        <v>108</v>
      </c>
      <c r="D810" s="6">
        <v>15.34</v>
      </c>
      <c r="E810" s="6">
        <v>170</v>
      </c>
    </row>
    <row r="811" spans="1:5" x14ac:dyDescent="0.25">
      <c r="A811" s="6" t="s">
        <v>222</v>
      </c>
      <c r="B811" s="6">
        <v>3.85</v>
      </c>
      <c r="C811" s="6">
        <v>87</v>
      </c>
      <c r="D811" s="6">
        <v>13</v>
      </c>
      <c r="E811" s="6">
        <v>174</v>
      </c>
    </row>
    <row r="812" spans="1:5" x14ac:dyDescent="0.25">
      <c r="A812" s="6" t="s">
        <v>963</v>
      </c>
      <c r="B812" s="6">
        <v>4.3600000000000003</v>
      </c>
      <c r="C812" s="6">
        <v>98</v>
      </c>
      <c r="D812" s="6">
        <v>18.850000000000001</v>
      </c>
      <c r="E812" s="6">
        <v>263</v>
      </c>
    </row>
    <row r="813" spans="1:5" x14ac:dyDescent="0.25">
      <c r="A813" s="6" t="s">
        <v>20</v>
      </c>
      <c r="B813" s="6">
        <v>5.62</v>
      </c>
      <c r="C813" s="6">
        <v>94</v>
      </c>
      <c r="D813" s="6">
        <v>21.94</v>
      </c>
      <c r="E813" s="6">
        <v>263</v>
      </c>
    </row>
    <row r="814" spans="1:5" x14ac:dyDescent="0.25">
      <c r="A814" s="6" t="s">
        <v>0</v>
      </c>
      <c r="B814" s="6">
        <v>3.43</v>
      </c>
      <c r="C814" s="6">
        <v>80</v>
      </c>
      <c r="D814" s="6">
        <v>22.05</v>
      </c>
      <c r="E814" s="6">
        <v>276</v>
      </c>
    </row>
    <row r="815" spans="1:5" x14ac:dyDescent="0.25">
      <c r="A815" s="6" t="s">
        <v>345</v>
      </c>
      <c r="B815" s="6">
        <v>7.15</v>
      </c>
      <c r="C815" s="6">
        <v>130</v>
      </c>
      <c r="D815" s="6">
        <v>21.34</v>
      </c>
      <c r="E815" s="6">
        <v>266</v>
      </c>
    </row>
    <row r="816" spans="1:5" x14ac:dyDescent="0.25">
      <c r="A816" s="6" t="s">
        <v>275</v>
      </c>
      <c r="B816" s="6">
        <v>2.69</v>
      </c>
      <c r="C816" s="6">
        <v>64</v>
      </c>
      <c r="D816" s="6">
        <v>16.510000000000002</v>
      </c>
      <c r="E816" s="6">
        <v>242</v>
      </c>
    </row>
    <row r="817" spans="1:5" x14ac:dyDescent="0.25">
      <c r="A817" s="6" t="s">
        <v>604</v>
      </c>
      <c r="B817" s="6">
        <v>4.8600000000000003</v>
      </c>
      <c r="C817" s="6">
        <v>95</v>
      </c>
      <c r="D817" s="6">
        <v>15.1</v>
      </c>
      <c r="E817" s="6">
        <v>187</v>
      </c>
    </row>
    <row r="818" spans="1:5" x14ac:dyDescent="0.25">
      <c r="A818" s="6" t="s">
        <v>870</v>
      </c>
      <c r="B818" s="6">
        <v>32.270000000000003</v>
      </c>
      <c r="C818" s="6">
        <v>448</v>
      </c>
      <c r="D818" s="6">
        <v>25.51</v>
      </c>
      <c r="E818" s="6">
        <v>382</v>
      </c>
    </row>
    <row r="819" spans="1:5" x14ac:dyDescent="0.25">
      <c r="A819" s="6" t="s">
        <v>495</v>
      </c>
      <c r="B819" s="6">
        <v>3.76</v>
      </c>
      <c r="C819" s="6">
        <v>79</v>
      </c>
      <c r="D819" s="6">
        <v>7.63</v>
      </c>
      <c r="E819" s="6">
        <v>96</v>
      </c>
    </row>
    <row r="820" spans="1:5" x14ac:dyDescent="0.25">
      <c r="A820" s="6" t="s">
        <v>49</v>
      </c>
      <c r="B820" s="6">
        <v>2.7</v>
      </c>
      <c r="C820" s="6">
        <v>60</v>
      </c>
      <c r="D820" s="6">
        <v>15.58</v>
      </c>
      <c r="E820" s="6">
        <v>192</v>
      </c>
    </row>
    <row r="821" spans="1:5" x14ac:dyDescent="0.25">
      <c r="A821" s="6" t="s">
        <v>390</v>
      </c>
      <c r="B821" s="6">
        <v>9.4700000000000006</v>
      </c>
      <c r="C821" s="6">
        <v>142</v>
      </c>
      <c r="D821" s="6">
        <v>44.61</v>
      </c>
      <c r="E821" s="6">
        <v>646</v>
      </c>
    </row>
    <row r="822" spans="1:5" x14ac:dyDescent="0.25">
      <c r="A822" s="6" t="s">
        <v>350</v>
      </c>
      <c r="B822" s="6">
        <v>4.3</v>
      </c>
      <c r="C822" s="6">
        <v>65</v>
      </c>
      <c r="D822" s="6">
        <v>40.19</v>
      </c>
      <c r="E822" s="6">
        <v>410</v>
      </c>
    </row>
    <row r="823" spans="1:5" x14ac:dyDescent="0.25">
      <c r="A823" s="6" t="s">
        <v>545</v>
      </c>
      <c r="B823" s="6">
        <v>3.34</v>
      </c>
      <c r="C823" s="6">
        <v>73</v>
      </c>
      <c r="D823" s="6">
        <v>27.62</v>
      </c>
      <c r="E823" s="6">
        <v>471</v>
      </c>
    </row>
    <row r="824" spans="1:5" x14ac:dyDescent="0.25">
      <c r="A824" s="6" t="s">
        <v>964</v>
      </c>
      <c r="B824" s="6">
        <v>14.45</v>
      </c>
      <c r="C824" s="6">
        <v>178</v>
      </c>
      <c r="D824" s="6">
        <v>15.22</v>
      </c>
      <c r="E824" s="6">
        <v>174</v>
      </c>
    </row>
    <row r="825" spans="1:5" x14ac:dyDescent="0.25">
      <c r="A825" s="6" t="s">
        <v>284</v>
      </c>
      <c r="B825" s="6">
        <v>2.2799999999999998</v>
      </c>
      <c r="C825" s="6">
        <v>58</v>
      </c>
      <c r="D825" s="6">
        <v>15.15</v>
      </c>
      <c r="E825" s="6">
        <v>238</v>
      </c>
    </row>
    <row r="826" spans="1:5" x14ac:dyDescent="0.25">
      <c r="A826" s="6" t="s">
        <v>871</v>
      </c>
      <c r="B826" s="6">
        <v>16.309999999999999</v>
      </c>
      <c r="C826" s="6">
        <v>283</v>
      </c>
      <c r="D826" s="6">
        <v>13.12</v>
      </c>
      <c r="E826" s="6">
        <v>148</v>
      </c>
    </row>
    <row r="827" spans="1:5" x14ac:dyDescent="0.25">
      <c r="A827" s="6" t="s">
        <v>368</v>
      </c>
      <c r="B827" s="6">
        <v>7.16</v>
      </c>
      <c r="C827" s="6">
        <v>119</v>
      </c>
      <c r="D827" s="6">
        <v>19.09</v>
      </c>
      <c r="E827" s="6">
        <v>225</v>
      </c>
    </row>
    <row r="828" spans="1:5" x14ac:dyDescent="0.25">
      <c r="A828" s="6" t="s">
        <v>198</v>
      </c>
      <c r="B828" s="6">
        <v>3.8</v>
      </c>
      <c r="C828" s="6">
        <v>69</v>
      </c>
      <c r="D828" s="6">
        <v>15.16</v>
      </c>
      <c r="E828" s="6">
        <v>206</v>
      </c>
    </row>
    <row r="829" spans="1:5" x14ac:dyDescent="0.25">
      <c r="A829" s="6" t="s">
        <v>461</v>
      </c>
      <c r="B829" s="6">
        <v>6.7</v>
      </c>
      <c r="C829" s="6">
        <v>122</v>
      </c>
      <c r="D829" s="6">
        <v>20.100000000000001</v>
      </c>
      <c r="E829" s="6">
        <v>226</v>
      </c>
    </row>
    <row r="830" spans="1:5" x14ac:dyDescent="0.25">
      <c r="A830" s="6" t="s">
        <v>324</v>
      </c>
      <c r="B830" s="6">
        <v>5.28</v>
      </c>
      <c r="C830" s="6">
        <v>110</v>
      </c>
      <c r="D830" s="6">
        <v>22.28</v>
      </c>
      <c r="E830" s="6">
        <v>329</v>
      </c>
    </row>
    <row r="831" spans="1:5" x14ac:dyDescent="0.25">
      <c r="A831" s="6" t="s">
        <v>373</v>
      </c>
      <c r="B831" s="6">
        <v>19.36</v>
      </c>
      <c r="C831" s="6">
        <v>256</v>
      </c>
      <c r="D831" s="6">
        <v>19.670000000000002</v>
      </c>
      <c r="E831" s="6">
        <v>188</v>
      </c>
    </row>
    <row r="832" spans="1:5" x14ac:dyDescent="0.25">
      <c r="A832" s="6" t="s">
        <v>459</v>
      </c>
      <c r="B832" s="6">
        <v>3.47</v>
      </c>
      <c r="C832" s="6">
        <v>66</v>
      </c>
      <c r="D832" s="6">
        <v>19.45</v>
      </c>
      <c r="E832" s="6">
        <v>275</v>
      </c>
    </row>
    <row r="833" spans="1:5" x14ac:dyDescent="0.25">
      <c r="A833" s="6" t="s">
        <v>243</v>
      </c>
      <c r="B833" s="6">
        <v>7.44</v>
      </c>
      <c r="C833" s="6">
        <v>138</v>
      </c>
      <c r="D833" s="6">
        <v>34.409999999999997</v>
      </c>
      <c r="E833" s="6">
        <v>408</v>
      </c>
    </row>
    <row r="834" spans="1:5" x14ac:dyDescent="0.25">
      <c r="A834" s="6" t="s">
        <v>578</v>
      </c>
      <c r="B834" s="6">
        <v>5.21</v>
      </c>
      <c r="C834" s="6">
        <v>92</v>
      </c>
      <c r="D834" s="6">
        <v>17.47</v>
      </c>
      <c r="E834" s="6">
        <v>230</v>
      </c>
    </row>
    <row r="835" spans="1:5" x14ac:dyDescent="0.25">
      <c r="A835" s="6" t="s">
        <v>153</v>
      </c>
      <c r="B835" s="6">
        <v>4.72</v>
      </c>
      <c r="C835" s="6">
        <v>88</v>
      </c>
      <c r="D835" s="6">
        <v>25.19</v>
      </c>
      <c r="E835" s="6">
        <v>318</v>
      </c>
    </row>
    <row r="836" spans="1:5" x14ac:dyDescent="0.25">
      <c r="A836" s="6" t="s">
        <v>491</v>
      </c>
      <c r="B836" s="6">
        <v>3.15</v>
      </c>
      <c r="C836" s="6">
        <v>64</v>
      </c>
      <c r="D836" s="6">
        <v>12.56</v>
      </c>
      <c r="E836" s="6">
        <v>108</v>
      </c>
    </row>
    <row r="837" spans="1:5" x14ac:dyDescent="0.25">
      <c r="A837" s="6" t="s">
        <v>132</v>
      </c>
      <c r="B837" s="6">
        <v>1.6</v>
      </c>
      <c r="C837" s="6">
        <v>41</v>
      </c>
      <c r="D837" s="6">
        <v>11.17</v>
      </c>
      <c r="E837" s="6">
        <v>120</v>
      </c>
    </row>
    <row r="838" spans="1:5" x14ac:dyDescent="0.25">
      <c r="A838" s="6" t="s">
        <v>677</v>
      </c>
      <c r="B838" s="6">
        <v>7.86</v>
      </c>
      <c r="C838" s="6">
        <v>145</v>
      </c>
      <c r="D838" s="6">
        <v>21.19</v>
      </c>
      <c r="E838" s="6">
        <v>338</v>
      </c>
    </row>
    <row r="839" spans="1:5" x14ac:dyDescent="0.25">
      <c r="A839" s="6" t="s">
        <v>166</v>
      </c>
      <c r="B839" s="6">
        <v>4.1900000000000004</v>
      </c>
      <c r="C839" s="6">
        <v>89</v>
      </c>
      <c r="D839" s="6">
        <v>19.03</v>
      </c>
      <c r="E839" s="6">
        <v>296</v>
      </c>
    </row>
    <row r="840" spans="1:5" x14ac:dyDescent="0.25">
      <c r="A840" s="6" t="s">
        <v>965</v>
      </c>
      <c r="B840" s="6">
        <v>16.52</v>
      </c>
      <c r="C840" s="6">
        <v>205</v>
      </c>
      <c r="D840" s="6">
        <v>27.09</v>
      </c>
      <c r="E840" s="6">
        <v>369</v>
      </c>
    </row>
    <row r="841" spans="1:5" x14ac:dyDescent="0.25">
      <c r="A841" s="6" t="s">
        <v>588</v>
      </c>
      <c r="B841" s="6">
        <v>5.5</v>
      </c>
      <c r="C841" s="6">
        <v>91</v>
      </c>
      <c r="D841" s="6">
        <v>18.88</v>
      </c>
      <c r="E841" s="6">
        <v>198</v>
      </c>
    </row>
    <row r="842" spans="1:5" x14ac:dyDescent="0.25">
      <c r="A842" s="6" t="s">
        <v>441</v>
      </c>
      <c r="B842" s="6">
        <v>4.7699999999999996</v>
      </c>
      <c r="C842" s="6">
        <v>92</v>
      </c>
      <c r="D842" s="6">
        <v>11.98</v>
      </c>
      <c r="E842" s="6">
        <v>131</v>
      </c>
    </row>
    <row r="843" spans="1:5" x14ac:dyDescent="0.25">
      <c r="A843" s="6" t="s">
        <v>351</v>
      </c>
      <c r="B843" s="6">
        <v>6.06</v>
      </c>
      <c r="C843" s="6">
        <v>102</v>
      </c>
      <c r="D843" s="6">
        <v>26.11</v>
      </c>
      <c r="E843" s="6">
        <v>482</v>
      </c>
    </row>
    <row r="844" spans="1:5" x14ac:dyDescent="0.25">
      <c r="A844" s="6" t="s">
        <v>681</v>
      </c>
      <c r="B844" s="6">
        <v>7.54</v>
      </c>
      <c r="C844" s="6">
        <v>105</v>
      </c>
      <c r="D844" s="6">
        <v>28.64</v>
      </c>
      <c r="E844" s="6">
        <v>398</v>
      </c>
    </row>
    <row r="845" spans="1:5" x14ac:dyDescent="0.25">
      <c r="A845" s="6" t="s">
        <v>202</v>
      </c>
      <c r="B845" s="6">
        <v>6.09</v>
      </c>
      <c r="C845" s="6">
        <v>97</v>
      </c>
      <c r="D845" s="6">
        <v>14.07</v>
      </c>
      <c r="E845" s="6">
        <v>145</v>
      </c>
    </row>
    <row r="846" spans="1:5" x14ac:dyDescent="0.25">
      <c r="A846" s="6" t="s">
        <v>966</v>
      </c>
      <c r="B846" s="6">
        <v>8.6</v>
      </c>
      <c r="C846" s="6">
        <v>124</v>
      </c>
      <c r="D846" s="6">
        <v>21.48</v>
      </c>
      <c r="E846" s="6">
        <v>267</v>
      </c>
    </row>
    <row r="847" spans="1:5" x14ac:dyDescent="0.25">
      <c r="A847" s="6" t="s">
        <v>475</v>
      </c>
      <c r="B847" s="6">
        <v>9.93</v>
      </c>
      <c r="C847" s="6">
        <v>138</v>
      </c>
      <c r="D847" s="6">
        <v>9.23</v>
      </c>
      <c r="E847" s="6">
        <v>69</v>
      </c>
    </row>
    <row r="848" spans="1:5" x14ac:dyDescent="0.25">
      <c r="A848" s="6" t="s">
        <v>92</v>
      </c>
      <c r="B848" s="6">
        <v>3.73</v>
      </c>
      <c r="C848" s="6">
        <v>85</v>
      </c>
      <c r="D848" s="6">
        <v>16.88</v>
      </c>
      <c r="E848" s="6">
        <v>230</v>
      </c>
    </row>
    <row r="849" spans="1:5" x14ac:dyDescent="0.25">
      <c r="A849" s="6" t="s">
        <v>335</v>
      </c>
      <c r="B849" s="6">
        <v>14.52</v>
      </c>
      <c r="C849" s="6">
        <v>205</v>
      </c>
      <c r="D849" s="6">
        <v>18.940000000000001</v>
      </c>
      <c r="E849" s="6">
        <v>238</v>
      </c>
    </row>
    <row r="850" spans="1:5" x14ac:dyDescent="0.25">
      <c r="A850" s="6" t="s">
        <v>967</v>
      </c>
      <c r="B850" s="6">
        <v>18.559999999999999</v>
      </c>
      <c r="C850" s="6">
        <v>305</v>
      </c>
      <c r="D850" s="6">
        <v>29.09</v>
      </c>
      <c r="E850" s="6">
        <v>640</v>
      </c>
    </row>
    <row r="851" spans="1:5" x14ac:dyDescent="0.25">
      <c r="A851" s="6" t="s">
        <v>703</v>
      </c>
      <c r="B851" s="6">
        <v>6.15</v>
      </c>
      <c r="C851" s="6">
        <v>119</v>
      </c>
      <c r="D851" s="6">
        <v>25.99</v>
      </c>
      <c r="E851" s="6">
        <v>360</v>
      </c>
    </row>
    <row r="852" spans="1:5" x14ac:dyDescent="0.25">
      <c r="A852" s="6" t="s">
        <v>492</v>
      </c>
      <c r="B852" s="6">
        <v>3.78</v>
      </c>
      <c r="C852" s="6">
        <v>72</v>
      </c>
      <c r="D852" s="6">
        <v>8.9499999999999993</v>
      </c>
      <c r="E852" s="6">
        <v>69</v>
      </c>
    </row>
    <row r="853" spans="1:5" x14ac:dyDescent="0.25">
      <c r="A853" s="6" t="s">
        <v>608</v>
      </c>
      <c r="B853" s="6">
        <v>5.56</v>
      </c>
      <c r="C853" s="6">
        <v>98</v>
      </c>
      <c r="D853" s="6">
        <v>20.79</v>
      </c>
      <c r="E853" s="6">
        <v>253</v>
      </c>
    </row>
    <row r="854" spans="1:5" x14ac:dyDescent="0.25">
      <c r="A854" s="6" t="s">
        <v>968</v>
      </c>
      <c r="B854" s="6">
        <v>18.2</v>
      </c>
      <c r="C854" s="6">
        <v>238</v>
      </c>
      <c r="D854" s="6">
        <v>14.68</v>
      </c>
      <c r="E854" s="6">
        <v>274</v>
      </c>
    </row>
    <row r="855" spans="1:5" x14ac:dyDescent="0.25">
      <c r="A855" s="6" t="s">
        <v>969</v>
      </c>
      <c r="B855" s="6">
        <v>3.9</v>
      </c>
      <c r="C855" s="6">
        <v>88</v>
      </c>
      <c r="D855" s="6">
        <v>25.53</v>
      </c>
      <c r="E855" s="6">
        <v>337</v>
      </c>
    </row>
    <row r="856" spans="1:5" x14ac:dyDescent="0.25">
      <c r="A856" s="6" t="s">
        <v>873</v>
      </c>
      <c r="B856" s="6">
        <v>4.72</v>
      </c>
      <c r="C856" s="6">
        <v>90</v>
      </c>
      <c r="D856" s="6">
        <v>33.79</v>
      </c>
      <c r="E856" s="6">
        <v>420</v>
      </c>
    </row>
    <row r="857" spans="1:5" x14ac:dyDescent="0.25">
      <c r="A857" s="6" t="s">
        <v>57</v>
      </c>
      <c r="B857" s="6">
        <v>3.78</v>
      </c>
      <c r="C857" s="6">
        <v>93</v>
      </c>
      <c r="D857" s="6">
        <v>15.13</v>
      </c>
      <c r="E857" s="6">
        <v>185</v>
      </c>
    </row>
    <row r="858" spans="1:5" x14ac:dyDescent="0.25">
      <c r="A858" s="6" t="s">
        <v>347</v>
      </c>
      <c r="B858" s="6">
        <v>5.23</v>
      </c>
      <c r="C858" s="6">
        <v>90</v>
      </c>
      <c r="D858" s="6">
        <v>21.72</v>
      </c>
      <c r="E858" s="6">
        <v>260</v>
      </c>
    </row>
    <row r="859" spans="1:5" x14ac:dyDescent="0.25">
      <c r="A859" s="6" t="s">
        <v>970</v>
      </c>
      <c r="B859" s="6">
        <v>22.62</v>
      </c>
      <c r="C859" s="6">
        <v>367</v>
      </c>
      <c r="D859" s="6">
        <v>20.309999999999999</v>
      </c>
      <c r="E859" s="6">
        <v>229</v>
      </c>
    </row>
    <row r="860" spans="1:5" x14ac:dyDescent="0.25">
      <c r="A860" s="6" t="s">
        <v>598</v>
      </c>
      <c r="B860" s="6">
        <v>3.57</v>
      </c>
      <c r="C860" s="6">
        <v>79</v>
      </c>
      <c r="D860" s="6">
        <v>20.22</v>
      </c>
      <c r="E860" s="6">
        <v>339</v>
      </c>
    </row>
    <row r="861" spans="1:5" x14ac:dyDescent="0.25">
      <c r="A861" s="6" t="s">
        <v>403</v>
      </c>
      <c r="B861" s="6">
        <v>20.3</v>
      </c>
      <c r="C861" s="6">
        <v>271</v>
      </c>
      <c r="D861" s="6">
        <v>22.63</v>
      </c>
      <c r="E861" s="6">
        <v>310</v>
      </c>
    </row>
    <row r="862" spans="1:5" x14ac:dyDescent="0.25">
      <c r="A862" s="6" t="s">
        <v>646</v>
      </c>
      <c r="B862" s="6">
        <v>6.12</v>
      </c>
      <c r="C862" s="6">
        <v>111</v>
      </c>
      <c r="D862" s="6">
        <v>29.66</v>
      </c>
      <c r="E862" s="6">
        <v>446</v>
      </c>
    </row>
    <row r="863" spans="1:5" x14ac:dyDescent="0.25">
      <c r="A863" s="6" t="s">
        <v>971</v>
      </c>
      <c r="B863" s="6">
        <v>5.9</v>
      </c>
      <c r="C863" s="6">
        <v>120</v>
      </c>
      <c r="D863" s="6">
        <v>16.2</v>
      </c>
      <c r="E863" s="6">
        <v>210</v>
      </c>
    </row>
    <row r="864" spans="1:5" x14ac:dyDescent="0.25">
      <c r="A864" s="6" t="s">
        <v>874</v>
      </c>
      <c r="B864" s="6">
        <v>8.73</v>
      </c>
      <c r="C864" s="6">
        <v>178</v>
      </c>
      <c r="D864" s="6">
        <v>9.9700000000000006</v>
      </c>
      <c r="E864" s="6">
        <v>134</v>
      </c>
    </row>
    <row r="865" spans="1:5" x14ac:dyDescent="0.25">
      <c r="A865" s="6" t="s">
        <v>89</v>
      </c>
      <c r="B865" s="6">
        <v>8.19</v>
      </c>
      <c r="C865" s="6">
        <v>162</v>
      </c>
      <c r="D865" s="6">
        <v>20.45</v>
      </c>
      <c r="E865" s="6">
        <v>316</v>
      </c>
    </row>
    <row r="866" spans="1:5" x14ac:dyDescent="0.25">
      <c r="A866" s="6" t="s">
        <v>251</v>
      </c>
      <c r="B866" s="6">
        <v>5.64</v>
      </c>
      <c r="C866" s="6">
        <v>100</v>
      </c>
      <c r="D866" s="6">
        <v>19.71</v>
      </c>
      <c r="E866" s="6">
        <v>209</v>
      </c>
    </row>
    <row r="867" spans="1:5" x14ac:dyDescent="0.25">
      <c r="A867" s="6" t="s">
        <v>423</v>
      </c>
      <c r="B867" s="6">
        <v>7.98</v>
      </c>
      <c r="C867" s="6">
        <v>115</v>
      </c>
      <c r="D867" s="6">
        <v>24.4</v>
      </c>
      <c r="E867" s="6">
        <v>424</v>
      </c>
    </row>
    <row r="868" spans="1:5" x14ac:dyDescent="0.25">
      <c r="A868" s="6" t="s">
        <v>704</v>
      </c>
      <c r="B868" s="6">
        <v>2.64</v>
      </c>
      <c r="C868" s="6">
        <v>70</v>
      </c>
      <c r="D868" s="6">
        <v>17.600000000000001</v>
      </c>
      <c r="E868" s="6">
        <v>271</v>
      </c>
    </row>
    <row r="869" spans="1:5" x14ac:dyDescent="0.25">
      <c r="A869" s="6" t="s">
        <v>260</v>
      </c>
      <c r="B869" s="6">
        <v>8.26</v>
      </c>
      <c r="C869" s="6">
        <v>113</v>
      </c>
      <c r="D869" s="6">
        <v>23.99</v>
      </c>
      <c r="E869" s="6">
        <v>271</v>
      </c>
    </row>
    <row r="870" spans="1:5" x14ac:dyDescent="0.25">
      <c r="A870" s="6" t="s">
        <v>11</v>
      </c>
      <c r="B870" s="6">
        <v>4.68</v>
      </c>
      <c r="C870" s="6">
        <v>99</v>
      </c>
      <c r="D870" s="6">
        <v>22.18</v>
      </c>
      <c r="E870" s="6">
        <v>318</v>
      </c>
    </row>
    <row r="871" spans="1:5" x14ac:dyDescent="0.25">
      <c r="A871" s="6" t="s">
        <v>463</v>
      </c>
      <c r="B871" s="6">
        <v>5.65</v>
      </c>
      <c r="C871" s="6">
        <v>106</v>
      </c>
      <c r="D871" s="6">
        <v>22.6</v>
      </c>
      <c r="E871" s="6">
        <v>331</v>
      </c>
    </row>
    <row r="872" spans="1:5" x14ac:dyDescent="0.25">
      <c r="A872" s="6" t="s">
        <v>396</v>
      </c>
      <c r="B872" s="6">
        <v>3.96</v>
      </c>
      <c r="C872" s="6">
        <v>87</v>
      </c>
      <c r="D872" s="6">
        <v>12.41</v>
      </c>
      <c r="E872" s="6">
        <v>141</v>
      </c>
    </row>
    <row r="873" spans="1:5" x14ac:dyDescent="0.25">
      <c r="A873" s="6" t="s">
        <v>537</v>
      </c>
      <c r="B873" s="6">
        <v>2.92</v>
      </c>
      <c r="C873" s="6">
        <v>69</v>
      </c>
      <c r="D873" s="6">
        <v>11.67</v>
      </c>
      <c r="E873" s="6">
        <v>144</v>
      </c>
    </row>
    <row r="874" spans="1:5" x14ac:dyDescent="0.25">
      <c r="A874" s="6" t="s">
        <v>481</v>
      </c>
      <c r="B874" s="6">
        <v>5.01</v>
      </c>
      <c r="C874" s="6">
        <v>97</v>
      </c>
      <c r="D874" s="6">
        <v>14.72</v>
      </c>
      <c r="E874" s="6">
        <v>291</v>
      </c>
    </row>
    <row r="875" spans="1:5" x14ac:dyDescent="0.25">
      <c r="A875" s="6" t="s">
        <v>676</v>
      </c>
      <c r="B875" s="6">
        <v>15.04</v>
      </c>
      <c r="C875" s="6">
        <v>201</v>
      </c>
      <c r="D875" s="6">
        <v>23.11</v>
      </c>
      <c r="E875" s="6">
        <v>259</v>
      </c>
    </row>
    <row r="876" spans="1:5" x14ac:dyDescent="0.25">
      <c r="A876" s="6" t="s">
        <v>104</v>
      </c>
      <c r="B876" s="6">
        <v>3.35</v>
      </c>
      <c r="C876" s="6">
        <v>72</v>
      </c>
      <c r="D876" s="6">
        <v>17.079999999999998</v>
      </c>
      <c r="E876" s="6">
        <v>245</v>
      </c>
    </row>
    <row r="877" spans="1:5" x14ac:dyDescent="0.25">
      <c r="A877" s="6" t="s">
        <v>585</v>
      </c>
      <c r="B877" s="6">
        <v>4.68</v>
      </c>
      <c r="C877" s="6">
        <v>88</v>
      </c>
      <c r="D877" s="6">
        <v>20.07</v>
      </c>
      <c r="E877" s="6">
        <v>297</v>
      </c>
    </row>
    <row r="878" spans="1:5" x14ac:dyDescent="0.25">
      <c r="A878" s="6" t="s">
        <v>647</v>
      </c>
      <c r="B878" s="6">
        <v>2.29</v>
      </c>
      <c r="C878" s="6">
        <v>47</v>
      </c>
      <c r="D878" s="6">
        <v>23.39</v>
      </c>
      <c r="E878" s="6">
        <v>357</v>
      </c>
    </row>
    <row r="879" spans="1:5" x14ac:dyDescent="0.25">
      <c r="A879" s="6" t="s">
        <v>63</v>
      </c>
      <c r="B879" s="6">
        <v>3.4</v>
      </c>
      <c r="C879" s="6">
        <v>71</v>
      </c>
      <c r="D879" s="6">
        <v>23.59</v>
      </c>
      <c r="E879" s="6">
        <v>264</v>
      </c>
    </row>
    <row r="880" spans="1:5" x14ac:dyDescent="0.25">
      <c r="A880" s="6" t="s">
        <v>419</v>
      </c>
      <c r="B880" s="6">
        <v>2.33</v>
      </c>
      <c r="C880" s="6">
        <v>54</v>
      </c>
      <c r="D880" s="6">
        <v>12.36</v>
      </c>
      <c r="E880" s="6">
        <v>169</v>
      </c>
    </row>
    <row r="881" spans="1:5" x14ac:dyDescent="0.25">
      <c r="A881" s="6" t="s">
        <v>299</v>
      </c>
      <c r="B881" s="6">
        <v>4.18</v>
      </c>
      <c r="C881" s="6">
        <v>92</v>
      </c>
      <c r="D881" s="6">
        <v>11.85</v>
      </c>
      <c r="E881" s="6">
        <v>132</v>
      </c>
    </row>
    <row r="882" spans="1:5" x14ac:dyDescent="0.25">
      <c r="A882" s="6" t="s">
        <v>700</v>
      </c>
      <c r="B882" s="6">
        <v>6.71</v>
      </c>
      <c r="C882" s="6">
        <v>97</v>
      </c>
      <c r="D882" s="6">
        <v>25.19</v>
      </c>
      <c r="E882" s="6">
        <v>444</v>
      </c>
    </row>
    <row r="883" spans="1:5" x14ac:dyDescent="0.25">
      <c r="A883" s="6" t="s">
        <v>456</v>
      </c>
      <c r="B883" s="6">
        <v>17.47</v>
      </c>
      <c r="C883" s="6">
        <v>223</v>
      </c>
      <c r="D883" s="6">
        <v>19.25</v>
      </c>
      <c r="E883" s="6">
        <v>202</v>
      </c>
    </row>
    <row r="884" spans="1:5" x14ac:dyDescent="0.25">
      <c r="A884" s="6" t="s">
        <v>877</v>
      </c>
      <c r="B884" s="6">
        <v>18.64</v>
      </c>
      <c r="C884" s="6">
        <v>235</v>
      </c>
      <c r="D884" s="6">
        <v>49.06</v>
      </c>
      <c r="E884" s="6">
        <v>696</v>
      </c>
    </row>
    <row r="885" spans="1:5" x14ac:dyDescent="0.25">
      <c r="A885" s="6" t="s">
        <v>972</v>
      </c>
      <c r="B885" s="6">
        <v>16.28</v>
      </c>
      <c r="C885" s="6">
        <v>189</v>
      </c>
      <c r="D885" s="6">
        <v>28.36</v>
      </c>
      <c r="E885" s="6">
        <v>308</v>
      </c>
    </row>
    <row r="886" spans="1:5" x14ac:dyDescent="0.25">
      <c r="A886" s="6" t="s">
        <v>973</v>
      </c>
      <c r="B886" s="6">
        <v>3.73</v>
      </c>
      <c r="C886" s="6">
        <v>85</v>
      </c>
      <c r="D886" s="6">
        <v>14.41</v>
      </c>
      <c r="E886" s="6">
        <v>142</v>
      </c>
    </row>
    <row r="887" spans="1:5" x14ac:dyDescent="0.25">
      <c r="A887" s="6" t="s">
        <v>487</v>
      </c>
      <c r="B887" s="6">
        <v>3.63</v>
      </c>
      <c r="C887" s="6">
        <v>71</v>
      </c>
      <c r="D887" s="6">
        <v>18.86</v>
      </c>
      <c r="E887" s="6">
        <v>212</v>
      </c>
    </row>
    <row r="888" spans="1:5" x14ac:dyDescent="0.25">
      <c r="A888" s="6" t="s">
        <v>208</v>
      </c>
      <c r="B888" s="6">
        <v>2.54</v>
      </c>
      <c r="C888" s="6">
        <v>61</v>
      </c>
      <c r="D888" s="6">
        <v>12.93</v>
      </c>
      <c r="E888" s="6">
        <v>136</v>
      </c>
    </row>
    <row r="889" spans="1:5" x14ac:dyDescent="0.25">
      <c r="A889" s="6" t="s">
        <v>731</v>
      </c>
      <c r="B889" s="6">
        <v>3.88</v>
      </c>
      <c r="C889" s="6">
        <v>72</v>
      </c>
      <c r="D889" s="6">
        <v>16.46</v>
      </c>
      <c r="E889" s="6">
        <v>221</v>
      </c>
    </row>
    <row r="890" spans="1:5" x14ac:dyDescent="0.25">
      <c r="A890" s="6" t="s">
        <v>879</v>
      </c>
      <c r="B890" s="6">
        <v>30.89</v>
      </c>
      <c r="C890" s="6">
        <v>350</v>
      </c>
      <c r="D890" s="6">
        <v>28.23</v>
      </c>
      <c r="E890" s="6">
        <v>318</v>
      </c>
    </row>
    <row r="891" spans="1:5" x14ac:dyDescent="0.25">
      <c r="A891" s="6" t="s">
        <v>560</v>
      </c>
      <c r="B891" s="6">
        <v>3.4</v>
      </c>
      <c r="C891" s="6">
        <v>77</v>
      </c>
      <c r="D891" s="6">
        <v>20.3</v>
      </c>
      <c r="E891" s="6">
        <v>190</v>
      </c>
    </row>
    <row r="892" spans="1:5" x14ac:dyDescent="0.25">
      <c r="A892" s="6" t="s">
        <v>539</v>
      </c>
      <c r="B892" s="6">
        <v>2.87</v>
      </c>
      <c r="C892" s="6">
        <v>66</v>
      </c>
      <c r="D892" s="6">
        <v>14.11</v>
      </c>
      <c r="E892" s="6">
        <v>141</v>
      </c>
    </row>
    <row r="893" spans="1:5" x14ac:dyDescent="0.25">
      <c r="A893" s="6" t="s">
        <v>974</v>
      </c>
      <c r="B893" s="6">
        <v>9.52</v>
      </c>
      <c r="C893" s="6">
        <v>152</v>
      </c>
      <c r="D893" s="6">
        <v>12.37</v>
      </c>
      <c r="E893" s="6">
        <v>193</v>
      </c>
    </row>
    <row r="894" spans="1:5" x14ac:dyDescent="0.25">
      <c r="A894" s="6" t="s">
        <v>340</v>
      </c>
      <c r="B894" s="6">
        <v>9.91</v>
      </c>
      <c r="C894" s="6">
        <v>126</v>
      </c>
      <c r="D894" s="6">
        <v>21.23</v>
      </c>
      <c r="E894" s="6">
        <v>216</v>
      </c>
    </row>
    <row r="895" spans="1:5" x14ac:dyDescent="0.25">
      <c r="A895" s="6" t="s">
        <v>880</v>
      </c>
      <c r="B895" s="6">
        <v>113.37</v>
      </c>
      <c r="C895" s="6">
        <v>3075</v>
      </c>
      <c r="D895" s="6">
        <v>24.79</v>
      </c>
      <c r="E895" s="6">
        <v>355</v>
      </c>
    </row>
    <row r="896" spans="1:5" x14ac:dyDescent="0.25">
      <c r="A896" s="6" t="s">
        <v>975</v>
      </c>
      <c r="B896" s="6">
        <v>6.48</v>
      </c>
      <c r="C896" s="6">
        <v>118</v>
      </c>
      <c r="D896" s="6">
        <v>37.69</v>
      </c>
      <c r="E896" s="6">
        <v>457</v>
      </c>
    </row>
    <row r="897" spans="1:5" x14ac:dyDescent="0.25">
      <c r="A897" s="6" t="s">
        <v>309</v>
      </c>
      <c r="B897" s="6">
        <v>3.18</v>
      </c>
      <c r="C897" s="6">
        <v>75</v>
      </c>
      <c r="D897" s="6">
        <v>18.739999999999998</v>
      </c>
      <c r="E897" s="6">
        <v>322</v>
      </c>
    </row>
    <row r="898" spans="1:5" x14ac:dyDescent="0.25">
      <c r="A898" s="6" t="s">
        <v>746</v>
      </c>
      <c r="B898" s="6">
        <v>5.43</v>
      </c>
      <c r="C898" s="6">
        <v>85</v>
      </c>
      <c r="D898" s="6">
        <v>20.64</v>
      </c>
      <c r="E898" s="6">
        <v>235</v>
      </c>
    </row>
    <row r="899" spans="1:5" x14ac:dyDescent="0.25">
      <c r="A899" s="6" t="s">
        <v>530</v>
      </c>
      <c r="B899" s="6">
        <v>4.26</v>
      </c>
      <c r="C899" s="6">
        <v>81</v>
      </c>
      <c r="D899" s="6">
        <v>16.690000000000001</v>
      </c>
      <c r="E899" s="6">
        <v>197</v>
      </c>
    </row>
    <row r="900" spans="1:5" x14ac:dyDescent="0.25">
      <c r="A900" s="6" t="s">
        <v>701</v>
      </c>
      <c r="B900" s="6">
        <v>1.64</v>
      </c>
      <c r="C900" s="6">
        <v>42</v>
      </c>
      <c r="D900" s="6">
        <v>9.19</v>
      </c>
      <c r="E900" s="6">
        <v>161</v>
      </c>
    </row>
    <row r="901" spans="1:5" x14ac:dyDescent="0.25">
      <c r="A901" s="6" t="s">
        <v>239</v>
      </c>
      <c r="B901" s="6">
        <v>10.9</v>
      </c>
      <c r="C901" s="6">
        <v>147</v>
      </c>
      <c r="D901" s="6">
        <v>22.71</v>
      </c>
      <c r="E901" s="6">
        <v>221</v>
      </c>
    </row>
    <row r="902" spans="1:5" x14ac:dyDescent="0.25">
      <c r="A902" s="6" t="s">
        <v>513</v>
      </c>
      <c r="B902" s="6">
        <v>3.24</v>
      </c>
      <c r="C902" s="6">
        <v>80</v>
      </c>
      <c r="D902" s="6">
        <v>11.38</v>
      </c>
      <c r="E902" s="6">
        <v>134</v>
      </c>
    </row>
    <row r="903" spans="1:5" x14ac:dyDescent="0.25">
      <c r="A903" s="6" t="s">
        <v>976</v>
      </c>
      <c r="B903" s="6">
        <v>3.04</v>
      </c>
      <c r="C903" s="6">
        <v>71</v>
      </c>
      <c r="D903" s="6">
        <v>14.39</v>
      </c>
      <c r="E903" s="6">
        <v>229</v>
      </c>
    </row>
    <row r="904" spans="1:5" x14ac:dyDescent="0.25">
      <c r="A904" s="6" t="s">
        <v>977</v>
      </c>
      <c r="B904" s="6">
        <v>5.68</v>
      </c>
      <c r="C904" s="6">
        <v>121</v>
      </c>
      <c r="D904" s="6">
        <v>18.649999999999999</v>
      </c>
      <c r="E904" s="6">
        <v>194</v>
      </c>
    </row>
    <row r="905" spans="1:5" x14ac:dyDescent="0.25">
      <c r="A905" s="6" t="s">
        <v>377</v>
      </c>
      <c r="B905" s="6">
        <v>8.1199999999999992</v>
      </c>
      <c r="C905" s="6">
        <v>143</v>
      </c>
      <c r="D905" s="6">
        <v>8.08</v>
      </c>
      <c r="E905" s="6">
        <v>62</v>
      </c>
    </row>
    <row r="906" spans="1:5" x14ac:dyDescent="0.25">
      <c r="A906" s="6" t="s">
        <v>660</v>
      </c>
      <c r="B906" s="6">
        <v>10.63</v>
      </c>
      <c r="C906" s="6">
        <v>139</v>
      </c>
      <c r="D906" s="6">
        <v>32.19</v>
      </c>
      <c r="E906" s="6">
        <v>322</v>
      </c>
    </row>
    <row r="907" spans="1:5" x14ac:dyDescent="0.25">
      <c r="A907" s="6" t="s">
        <v>5</v>
      </c>
      <c r="B907" s="6">
        <v>2.48</v>
      </c>
      <c r="C907" s="6">
        <v>55</v>
      </c>
      <c r="D907" s="6">
        <v>14.34</v>
      </c>
      <c r="E907" s="6">
        <v>210</v>
      </c>
    </row>
    <row r="908" spans="1:5" x14ac:dyDescent="0.25">
      <c r="A908" s="6" t="s">
        <v>143</v>
      </c>
      <c r="B908" s="6">
        <v>2.84</v>
      </c>
      <c r="C908" s="6">
        <v>72</v>
      </c>
      <c r="D908" s="6">
        <v>8.27</v>
      </c>
      <c r="E908" s="6">
        <v>77</v>
      </c>
    </row>
    <row r="909" spans="1:5" x14ac:dyDescent="0.25">
      <c r="A909" s="6" t="s">
        <v>527</v>
      </c>
      <c r="B909" s="6">
        <v>7.11</v>
      </c>
      <c r="C909" s="6">
        <v>130</v>
      </c>
      <c r="D909" s="6">
        <v>21.79</v>
      </c>
      <c r="E909" s="6">
        <v>236</v>
      </c>
    </row>
    <row r="910" spans="1:5" x14ac:dyDescent="0.25">
      <c r="A910" s="6" t="s">
        <v>978</v>
      </c>
      <c r="B910" s="6">
        <v>12.2</v>
      </c>
      <c r="C910" s="6">
        <v>203</v>
      </c>
      <c r="D910" s="6">
        <v>19.47</v>
      </c>
      <c r="E910" s="6">
        <v>275</v>
      </c>
    </row>
    <row r="911" spans="1:5" x14ac:dyDescent="0.25">
      <c r="A911" s="6" t="s">
        <v>669</v>
      </c>
      <c r="B911" s="6">
        <v>4.22</v>
      </c>
      <c r="C911" s="6">
        <v>93</v>
      </c>
      <c r="D911" s="6">
        <v>18.72</v>
      </c>
      <c r="E911" s="6">
        <v>312</v>
      </c>
    </row>
    <row r="912" spans="1:5" x14ac:dyDescent="0.25">
      <c r="A912" s="6" t="s">
        <v>881</v>
      </c>
      <c r="B912" s="6">
        <v>5.3</v>
      </c>
      <c r="C912" s="6">
        <v>113</v>
      </c>
      <c r="D912" s="6">
        <v>15.79</v>
      </c>
      <c r="E912" s="6">
        <v>228</v>
      </c>
    </row>
    <row r="913" spans="1:5" x14ac:dyDescent="0.25">
      <c r="A913" s="6" t="s">
        <v>265</v>
      </c>
      <c r="B913" s="6">
        <v>5</v>
      </c>
      <c r="C913" s="6">
        <v>94</v>
      </c>
      <c r="D913" s="6">
        <v>13.74</v>
      </c>
      <c r="E913" s="6">
        <v>141</v>
      </c>
    </row>
    <row r="914" spans="1:5" x14ac:dyDescent="0.25">
      <c r="A914" s="6" t="s">
        <v>570</v>
      </c>
      <c r="B914" s="6">
        <v>18.760000000000002</v>
      </c>
      <c r="C914" s="6">
        <v>207</v>
      </c>
      <c r="D914" s="6">
        <v>19.12</v>
      </c>
      <c r="E914" s="6">
        <v>159</v>
      </c>
    </row>
    <row r="915" spans="1:5" x14ac:dyDescent="0.25">
      <c r="A915" s="6" t="s">
        <v>452</v>
      </c>
      <c r="B915" s="6">
        <v>13.54</v>
      </c>
      <c r="C915" s="6">
        <v>166</v>
      </c>
      <c r="D915" s="6">
        <v>30.17</v>
      </c>
      <c r="E915" s="6">
        <v>345</v>
      </c>
    </row>
    <row r="916" spans="1:5" x14ac:dyDescent="0.25">
      <c r="A916" s="6" t="s">
        <v>705</v>
      </c>
      <c r="B916" s="6">
        <v>14.43</v>
      </c>
      <c r="C916" s="6">
        <v>177</v>
      </c>
      <c r="D916" s="6">
        <v>48.02</v>
      </c>
      <c r="E916" s="6">
        <v>565</v>
      </c>
    </row>
    <row r="917" spans="1:5" x14ac:dyDescent="0.25">
      <c r="A917" s="6" t="s">
        <v>30</v>
      </c>
      <c r="B917" s="6">
        <v>10.45</v>
      </c>
      <c r="C917" s="6">
        <v>125</v>
      </c>
      <c r="D917" s="6">
        <v>19.25</v>
      </c>
      <c r="E917" s="6">
        <v>156</v>
      </c>
    </row>
    <row r="918" spans="1:5" x14ac:dyDescent="0.25">
      <c r="A918" s="6" t="s">
        <v>424</v>
      </c>
      <c r="B918" s="6">
        <v>9.91</v>
      </c>
      <c r="C918" s="6">
        <v>131</v>
      </c>
      <c r="D918" s="6">
        <v>34.96</v>
      </c>
      <c r="E918" s="6">
        <v>402</v>
      </c>
    </row>
    <row r="919" spans="1:5" x14ac:dyDescent="0.25">
      <c r="A919" s="6" t="s">
        <v>211</v>
      </c>
      <c r="B919" s="6">
        <v>12.69</v>
      </c>
      <c r="C919" s="6">
        <v>154</v>
      </c>
      <c r="D919" s="6">
        <v>20.440000000000001</v>
      </c>
      <c r="E919" s="6">
        <v>201</v>
      </c>
    </row>
    <row r="920" spans="1:5" x14ac:dyDescent="0.25">
      <c r="A920" s="6" t="s">
        <v>378</v>
      </c>
      <c r="B920" s="6">
        <v>3.33</v>
      </c>
      <c r="C920" s="6">
        <v>73</v>
      </c>
      <c r="D920" s="6">
        <v>14.3</v>
      </c>
      <c r="E920" s="6">
        <v>301</v>
      </c>
    </row>
    <row r="921" spans="1:5" x14ac:dyDescent="0.25">
      <c r="A921" s="6" t="s">
        <v>711</v>
      </c>
      <c r="B921" s="6">
        <v>4.34</v>
      </c>
      <c r="C921" s="6">
        <v>83</v>
      </c>
      <c r="D921" s="6">
        <v>15.15</v>
      </c>
      <c r="E921" s="6">
        <v>202</v>
      </c>
    </row>
    <row r="922" spans="1:5" x14ac:dyDescent="0.25">
      <c r="A922" s="6" t="s">
        <v>979</v>
      </c>
      <c r="B922" s="6">
        <v>15.33</v>
      </c>
      <c r="C922" s="6">
        <v>237</v>
      </c>
      <c r="D922" s="6">
        <v>18.739999999999998</v>
      </c>
      <c r="E922" s="6">
        <v>291</v>
      </c>
    </row>
    <row r="923" spans="1:5" x14ac:dyDescent="0.25">
      <c r="A923" s="6" t="s">
        <v>379</v>
      </c>
      <c r="B923" s="6">
        <v>15.47</v>
      </c>
      <c r="C923" s="6">
        <v>223</v>
      </c>
      <c r="D923" s="6">
        <v>23.23</v>
      </c>
      <c r="E923" s="6">
        <v>322</v>
      </c>
    </row>
    <row r="924" spans="1:5" x14ac:dyDescent="0.25">
      <c r="A924" s="6" t="s">
        <v>281</v>
      </c>
      <c r="B924" s="6">
        <v>7.85</v>
      </c>
      <c r="C924" s="6">
        <v>120</v>
      </c>
      <c r="D924" s="6">
        <v>20.46</v>
      </c>
      <c r="E924" s="6">
        <v>352</v>
      </c>
    </row>
    <row r="925" spans="1:5" x14ac:dyDescent="0.25">
      <c r="A925" s="6" t="s">
        <v>515</v>
      </c>
      <c r="B925" s="6">
        <v>2</v>
      </c>
      <c r="C925" s="6">
        <v>59</v>
      </c>
      <c r="D925" s="6">
        <v>14.35</v>
      </c>
      <c r="E925" s="6">
        <v>204</v>
      </c>
    </row>
    <row r="926" spans="1:5" x14ac:dyDescent="0.25">
      <c r="A926" s="6" t="s">
        <v>341</v>
      </c>
      <c r="B926" s="6">
        <v>10.28</v>
      </c>
      <c r="C926" s="6">
        <v>115</v>
      </c>
      <c r="D926" s="6">
        <v>38.270000000000003</v>
      </c>
      <c r="E926" s="6">
        <v>484</v>
      </c>
    </row>
    <row r="927" spans="1:5" x14ac:dyDescent="0.25">
      <c r="A927" s="6" t="s">
        <v>384</v>
      </c>
      <c r="B927" s="6">
        <v>2.37</v>
      </c>
      <c r="C927" s="6">
        <v>56</v>
      </c>
      <c r="D927" s="6">
        <v>21.97</v>
      </c>
      <c r="E927" s="6">
        <v>370</v>
      </c>
    </row>
    <row r="928" spans="1:5" x14ac:dyDescent="0.25">
      <c r="A928" s="6" t="s">
        <v>94</v>
      </c>
      <c r="B928" s="6">
        <v>5.24</v>
      </c>
      <c r="C928" s="6">
        <v>108</v>
      </c>
      <c r="D928" s="6">
        <v>20.11</v>
      </c>
      <c r="E928" s="6">
        <v>319</v>
      </c>
    </row>
    <row r="929" spans="1:5" x14ac:dyDescent="0.25">
      <c r="A929" s="6" t="s">
        <v>707</v>
      </c>
      <c r="B929" s="6">
        <v>5.05</v>
      </c>
      <c r="C929" s="6">
        <v>87</v>
      </c>
      <c r="D929" s="6">
        <v>13.62</v>
      </c>
      <c r="E929" s="6">
        <v>157</v>
      </c>
    </row>
    <row r="930" spans="1:5" x14ac:dyDescent="0.25">
      <c r="A930" s="6" t="s">
        <v>615</v>
      </c>
      <c r="B930" s="6">
        <v>2.95</v>
      </c>
      <c r="C930" s="6">
        <v>70</v>
      </c>
      <c r="D930" s="6">
        <v>11.54</v>
      </c>
      <c r="E930" s="6">
        <v>146</v>
      </c>
    </row>
    <row r="931" spans="1:5" x14ac:dyDescent="0.25">
      <c r="A931" s="6" t="s">
        <v>323</v>
      </c>
      <c r="B931" s="6">
        <v>6.53</v>
      </c>
      <c r="C931" s="6">
        <v>105</v>
      </c>
      <c r="D931" s="6">
        <v>15.56</v>
      </c>
      <c r="E931" s="6">
        <v>185</v>
      </c>
    </row>
    <row r="932" spans="1:5" x14ac:dyDescent="0.25">
      <c r="A932" s="6" t="s">
        <v>589</v>
      </c>
      <c r="B932" s="6">
        <v>10.4</v>
      </c>
      <c r="C932" s="6">
        <v>155</v>
      </c>
      <c r="D932" s="6">
        <v>24.54</v>
      </c>
      <c r="E932" s="6">
        <v>261</v>
      </c>
    </row>
    <row r="933" spans="1:5" x14ac:dyDescent="0.25">
      <c r="A933" s="6" t="s">
        <v>980</v>
      </c>
      <c r="B933" s="6">
        <v>5.1100000000000003</v>
      </c>
      <c r="C933" s="6">
        <v>99</v>
      </c>
      <c r="D933" s="6">
        <v>28.63</v>
      </c>
      <c r="E933" s="6">
        <v>501</v>
      </c>
    </row>
    <row r="934" spans="1:5" x14ac:dyDescent="0.25">
      <c r="A934" s="6" t="s">
        <v>387</v>
      </c>
      <c r="B934" s="6">
        <v>6.44</v>
      </c>
      <c r="C934" s="6">
        <v>113</v>
      </c>
      <c r="D934" s="6">
        <v>20.239999999999998</v>
      </c>
      <c r="E934" s="6">
        <v>265</v>
      </c>
    </row>
    <row r="935" spans="1:5" x14ac:dyDescent="0.25">
      <c r="A935" s="6" t="s">
        <v>981</v>
      </c>
      <c r="B935" s="6">
        <v>6.6</v>
      </c>
      <c r="C935" s="6">
        <v>152</v>
      </c>
      <c r="D935" s="6">
        <v>18.63</v>
      </c>
      <c r="E935" s="6">
        <v>238</v>
      </c>
    </row>
    <row r="936" spans="1:5" x14ac:dyDescent="0.25">
      <c r="A936" s="6" t="s">
        <v>982</v>
      </c>
      <c r="B936" s="6">
        <v>8</v>
      </c>
      <c r="C936" s="6">
        <v>145</v>
      </c>
      <c r="D936" s="6">
        <v>17.02</v>
      </c>
      <c r="E936" s="6">
        <v>205</v>
      </c>
    </row>
    <row r="937" spans="1:5" x14ac:dyDescent="0.25">
      <c r="A937" s="6" t="s">
        <v>983</v>
      </c>
      <c r="B937" s="6">
        <v>5.38</v>
      </c>
      <c r="C937" s="6">
        <v>112</v>
      </c>
      <c r="D937" s="6">
        <v>31.93</v>
      </c>
      <c r="E937" s="6">
        <v>471</v>
      </c>
    </row>
    <row r="938" spans="1:5" x14ac:dyDescent="0.25">
      <c r="A938" s="6" t="s">
        <v>630</v>
      </c>
      <c r="B938" s="6">
        <v>4.47</v>
      </c>
      <c r="C938" s="6">
        <v>93</v>
      </c>
      <c r="D938" s="6">
        <v>34.380000000000003</v>
      </c>
      <c r="E938" s="6">
        <v>529</v>
      </c>
    </row>
    <row r="939" spans="1:5" x14ac:dyDescent="0.25">
      <c r="A939" s="6" t="s">
        <v>317</v>
      </c>
      <c r="B939" s="6">
        <v>6.96</v>
      </c>
      <c r="C939" s="6">
        <v>120</v>
      </c>
      <c r="D939" s="6">
        <v>21.21</v>
      </c>
      <c r="E939" s="6">
        <v>336</v>
      </c>
    </row>
    <row r="940" spans="1:5" x14ac:dyDescent="0.25">
      <c r="A940" s="6" t="s">
        <v>882</v>
      </c>
      <c r="B940" s="6">
        <v>3.13</v>
      </c>
      <c r="C940" s="6">
        <v>77</v>
      </c>
      <c r="D940" s="6">
        <v>18.11</v>
      </c>
      <c r="E940" s="6">
        <v>248</v>
      </c>
    </row>
    <row r="941" spans="1:5" x14ac:dyDescent="0.25">
      <c r="A941" s="6" t="s">
        <v>45</v>
      </c>
      <c r="B941" s="6">
        <v>4.76</v>
      </c>
      <c r="C941" s="6">
        <v>81</v>
      </c>
      <c r="D941" s="6">
        <v>20.97</v>
      </c>
      <c r="E941" s="6">
        <v>319</v>
      </c>
    </row>
    <row r="942" spans="1:5" x14ac:dyDescent="0.25">
      <c r="A942" s="6" t="s">
        <v>984</v>
      </c>
      <c r="B942" s="6">
        <v>12.82</v>
      </c>
      <c r="C942" s="6">
        <v>183</v>
      </c>
      <c r="D942" s="6">
        <v>25.9</v>
      </c>
      <c r="E942" s="6">
        <v>355</v>
      </c>
    </row>
    <row r="943" spans="1:5" x14ac:dyDescent="0.25">
      <c r="A943" s="6" t="s">
        <v>985</v>
      </c>
      <c r="B943" s="6">
        <v>6.23</v>
      </c>
      <c r="C943" s="6">
        <v>111</v>
      </c>
      <c r="D943" s="6">
        <v>18.2</v>
      </c>
      <c r="E943" s="6">
        <v>226</v>
      </c>
    </row>
    <row r="944" spans="1:5" x14ac:dyDescent="0.25">
      <c r="A944" s="6" t="s">
        <v>257</v>
      </c>
      <c r="B944" s="6">
        <v>4.46</v>
      </c>
      <c r="C944" s="6">
        <v>101</v>
      </c>
      <c r="D944" s="6">
        <v>16.48</v>
      </c>
      <c r="E944" s="6">
        <v>206</v>
      </c>
    </row>
    <row r="945" spans="1:5" x14ac:dyDescent="0.25">
      <c r="A945" s="6" t="s">
        <v>65</v>
      </c>
      <c r="B945" s="6">
        <v>9.42</v>
      </c>
      <c r="C945" s="6">
        <v>135</v>
      </c>
      <c r="D945" s="6">
        <v>22.65</v>
      </c>
      <c r="E945" s="6">
        <v>220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A6373-D1FC-4130-8401-5729A173F9ED}">
  <dimension ref="A1:C797"/>
  <sheetViews>
    <sheetView workbookViewId="0">
      <selection activeCell="B1" sqref="B1:D1"/>
    </sheetView>
  </sheetViews>
  <sheetFormatPr defaultRowHeight="14.4" x14ac:dyDescent="0.25"/>
  <cols>
    <col min="1" max="1" width="23.88671875" style="6" customWidth="1"/>
    <col min="2" max="2" width="21.77734375" style="6" customWidth="1"/>
    <col min="3" max="3" width="17.88671875" style="6" customWidth="1"/>
  </cols>
  <sheetData>
    <row r="1" spans="1:3" x14ac:dyDescent="0.25">
      <c r="A1" s="6" t="s">
        <v>748</v>
      </c>
      <c r="B1" s="6" t="s">
        <v>2088</v>
      </c>
      <c r="C1" s="7" t="s">
        <v>2087</v>
      </c>
    </row>
    <row r="2" spans="1:3" x14ac:dyDescent="0.25">
      <c r="A2" s="6" t="s">
        <v>395</v>
      </c>
      <c r="B2" s="6">
        <v>2.977642E-3</v>
      </c>
      <c r="C2" s="6">
        <v>3.4088917000000003E-2</v>
      </c>
    </row>
    <row r="3" spans="1:3" x14ac:dyDescent="0.25">
      <c r="A3" s="6" t="s">
        <v>82</v>
      </c>
      <c r="B3" s="6">
        <v>5.2766308999999997E-2</v>
      </c>
      <c r="C3" s="6">
        <v>0.69036732000000001</v>
      </c>
    </row>
    <row r="4" spans="1:3" x14ac:dyDescent="0.25">
      <c r="A4" s="6" t="s">
        <v>698</v>
      </c>
      <c r="B4" s="6">
        <v>4.3057979000000003E-2</v>
      </c>
      <c r="C4" s="6">
        <v>5.2925405000000002E-2</v>
      </c>
    </row>
    <row r="5" spans="1:3" x14ac:dyDescent="0.25">
      <c r="A5" s="6" t="s">
        <v>417</v>
      </c>
      <c r="B5" s="6">
        <v>8.3154391999999994E-2</v>
      </c>
      <c r="C5" s="6">
        <v>3.7450181999999999E-2</v>
      </c>
    </row>
    <row r="6" spans="1:3" x14ac:dyDescent="0.25">
      <c r="A6" s="6" t="s">
        <v>534</v>
      </c>
      <c r="B6" s="6">
        <v>4.2472353999999997E-2</v>
      </c>
      <c r="C6" s="6">
        <v>0.35874178400000001</v>
      </c>
    </row>
    <row r="7" spans="1:3" x14ac:dyDescent="0.25">
      <c r="A7" s="6" t="s">
        <v>517</v>
      </c>
      <c r="B7" s="6">
        <v>7.5525822000000006E-2</v>
      </c>
      <c r="C7" s="6">
        <v>0.24238310199999999</v>
      </c>
    </row>
    <row r="8" spans="1:3" x14ac:dyDescent="0.25">
      <c r="A8" s="6" t="s">
        <v>557</v>
      </c>
      <c r="B8" s="6">
        <v>0.46330821</v>
      </c>
      <c r="C8" s="6">
        <v>1.083404434</v>
      </c>
    </row>
    <row r="9" spans="1:3" x14ac:dyDescent="0.25">
      <c r="A9" s="6" t="s">
        <v>48</v>
      </c>
      <c r="B9" s="6">
        <v>0.34368343499999998</v>
      </c>
      <c r="C9" s="6">
        <v>0.59148605499999996</v>
      </c>
    </row>
    <row r="10" spans="1:3" x14ac:dyDescent="0.25">
      <c r="A10" s="6" t="s">
        <v>40</v>
      </c>
      <c r="B10" s="6">
        <v>4.6300960000000002E-2</v>
      </c>
      <c r="C10" s="6">
        <v>0.57888077500000001</v>
      </c>
    </row>
    <row r="11" spans="1:3" x14ac:dyDescent="0.25">
      <c r="A11" s="6" t="s">
        <v>472</v>
      </c>
      <c r="B11" s="6">
        <v>3.5925042999999997E-2</v>
      </c>
      <c r="C11" s="6">
        <v>1.044778</v>
      </c>
    </row>
    <row r="12" spans="1:3" x14ac:dyDescent="0.25">
      <c r="A12" s="6" t="s">
        <v>654</v>
      </c>
      <c r="B12" s="6">
        <v>3.5476602000000003E-2</v>
      </c>
      <c r="C12" s="6">
        <v>0.79844961800000003</v>
      </c>
    </row>
    <row r="13" spans="1:3" x14ac:dyDescent="0.25">
      <c r="A13" s="6" t="s">
        <v>100</v>
      </c>
      <c r="B13" s="6">
        <v>1.0843783170000001</v>
      </c>
      <c r="C13" s="6">
        <v>3.3391427660000002</v>
      </c>
    </row>
    <row r="14" spans="1:3" x14ac:dyDescent="0.25">
      <c r="A14" s="6" t="s">
        <v>508</v>
      </c>
      <c r="B14" s="6">
        <v>0.109009645</v>
      </c>
      <c r="C14" s="6">
        <v>0.43315466600000002</v>
      </c>
    </row>
    <row r="15" spans="1:3" x14ac:dyDescent="0.25">
      <c r="A15" s="6" t="s">
        <v>884</v>
      </c>
      <c r="B15" s="6">
        <v>0.66542351099999997</v>
      </c>
      <c r="C15" s="6">
        <v>13.20872468</v>
      </c>
    </row>
    <row r="16" spans="1:3" x14ac:dyDescent="0.25">
      <c r="A16" s="6" t="s">
        <v>473</v>
      </c>
      <c r="B16" s="6">
        <v>1.3848898E-2</v>
      </c>
      <c r="C16" s="6">
        <v>6.4455826999999993E-2</v>
      </c>
    </row>
    <row r="17" spans="1:3" x14ac:dyDescent="0.25">
      <c r="A17" s="6" t="s">
        <v>546</v>
      </c>
      <c r="B17" s="6">
        <v>6.4785217000000006E-2</v>
      </c>
      <c r="C17" s="6">
        <v>0.445721388</v>
      </c>
    </row>
    <row r="18" spans="1:3" x14ac:dyDescent="0.25">
      <c r="A18" s="6" t="s">
        <v>270</v>
      </c>
      <c r="B18" s="6">
        <v>5.3542495000000002E-2</v>
      </c>
      <c r="C18" s="6">
        <v>7.4996285999999995E-2</v>
      </c>
    </row>
    <row r="19" spans="1:3" x14ac:dyDescent="0.25">
      <c r="A19" s="6" t="s">
        <v>62</v>
      </c>
      <c r="B19" s="6">
        <v>5.2590307000000003E-2</v>
      </c>
      <c r="C19" s="6">
        <v>0.20437496999999999</v>
      </c>
    </row>
    <row r="20" spans="1:3" x14ac:dyDescent="0.25">
      <c r="A20" s="6" t="s">
        <v>636</v>
      </c>
      <c r="B20" s="6">
        <v>5.9284069000000002E-2</v>
      </c>
      <c r="C20" s="6">
        <v>0.56702937899999994</v>
      </c>
    </row>
    <row r="21" spans="1:3" x14ac:dyDescent="0.25">
      <c r="A21" s="6" t="s">
        <v>413</v>
      </c>
      <c r="B21" s="6">
        <v>4.7009584E-2</v>
      </c>
      <c r="C21" s="6">
        <v>1.0753619000000001E-2</v>
      </c>
    </row>
    <row r="22" spans="1:3" x14ac:dyDescent="0.25">
      <c r="A22" s="6" t="s">
        <v>885</v>
      </c>
      <c r="B22" s="6">
        <v>0.38949901799999997</v>
      </c>
      <c r="C22" s="6">
        <v>1.492593276</v>
      </c>
    </row>
    <row r="23" spans="1:3" x14ac:dyDescent="0.25">
      <c r="A23" s="6" t="s">
        <v>683</v>
      </c>
      <c r="B23" s="6">
        <v>0.89260443700000003</v>
      </c>
      <c r="C23" s="6">
        <v>1.3634901E-2</v>
      </c>
    </row>
    <row r="24" spans="1:3" x14ac:dyDescent="0.25">
      <c r="A24" s="6" t="s">
        <v>171</v>
      </c>
      <c r="B24" s="6">
        <v>8.1875923000000003E-2</v>
      </c>
      <c r="C24" s="6">
        <v>7.6931566000000007E-2</v>
      </c>
    </row>
    <row r="25" spans="1:3" x14ac:dyDescent="0.25">
      <c r="A25" s="6" t="s">
        <v>590</v>
      </c>
      <c r="B25" s="6">
        <v>1.8952047E-2</v>
      </c>
      <c r="C25" s="6">
        <v>0.43366492800000001</v>
      </c>
    </row>
    <row r="26" spans="1:3" x14ac:dyDescent="0.25">
      <c r="A26" s="6" t="s">
        <v>886</v>
      </c>
      <c r="B26" s="6">
        <v>0.19372571</v>
      </c>
      <c r="C26" s="6">
        <v>1.283266207</v>
      </c>
    </row>
    <row r="27" spans="1:3" x14ac:dyDescent="0.25">
      <c r="A27" s="6" t="s">
        <v>462</v>
      </c>
      <c r="B27" s="6">
        <v>0.969720523</v>
      </c>
      <c r="C27" s="6">
        <v>1.693051248</v>
      </c>
    </row>
    <row r="28" spans="1:3" x14ac:dyDescent="0.25">
      <c r="A28" s="6" t="s">
        <v>887</v>
      </c>
      <c r="B28" s="6">
        <v>0.13591620500000001</v>
      </c>
      <c r="C28" s="6">
        <v>0.36957251800000002</v>
      </c>
    </row>
    <row r="29" spans="1:3" x14ac:dyDescent="0.25">
      <c r="A29" s="6" t="s">
        <v>380</v>
      </c>
      <c r="B29" s="6">
        <v>3.0933926E-2</v>
      </c>
      <c r="C29" s="6">
        <v>3.3466975000000003E-2</v>
      </c>
    </row>
    <row r="30" spans="1:3" x14ac:dyDescent="0.25">
      <c r="A30" s="6" t="s">
        <v>358</v>
      </c>
      <c r="B30" s="6">
        <v>0.71776212500000003</v>
      </c>
      <c r="C30" s="6">
        <v>1.515232868</v>
      </c>
    </row>
    <row r="31" spans="1:3" x14ac:dyDescent="0.25">
      <c r="A31" s="6" t="s">
        <v>645</v>
      </c>
      <c r="B31" s="6">
        <v>0.18294615</v>
      </c>
      <c r="C31" s="6">
        <v>0.94592742900000004</v>
      </c>
    </row>
    <row r="32" spans="1:3" x14ac:dyDescent="0.25">
      <c r="A32" s="6" t="s">
        <v>232</v>
      </c>
      <c r="B32" s="6">
        <v>0.115281095</v>
      </c>
      <c r="C32" s="6">
        <v>0.40428705500000001</v>
      </c>
    </row>
    <row r="33" spans="1:3" x14ac:dyDescent="0.25">
      <c r="A33" s="6" t="s">
        <v>620</v>
      </c>
      <c r="B33" s="6">
        <v>5.884723E-2</v>
      </c>
      <c r="C33" s="6">
        <v>0.545113501</v>
      </c>
    </row>
    <row r="34" spans="1:3" x14ac:dyDescent="0.25">
      <c r="A34" s="6" t="s">
        <v>207</v>
      </c>
      <c r="B34" s="6">
        <v>7.1250190000000005E-2</v>
      </c>
      <c r="C34" s="6">
        <v>3.1757222000000002E-2</v>
      </c>
    </row>
    <row r="35" spans="1:3" x14ac:dyDescent="0.25">
      <c r="A35" s="6" t="s">
        <v>389</v>
      </c>
      <c r="B35" s="6">
        <v>2.5302643E-2</v>
      </c>
      <c r="C35" s="6">
        <v>0.329045333</v>
      </c>
    </row>
    <row r="36" spans="1:3" x14ac:dyDescent="0.25">
      <c r="A36" s="6" t="s">
        <v>651</v>
      </c>
      <c r="B36" s="6">
        <v>9.8638195999999997E-2</v>
      </c>
      <c r="C36" s="6">
        <v>0.55188337799999998</v>
      </c>
    </row>
    <row r="37" spans="1:3" x14ac:dyDescent="0.25">
      <c r="A37" s="6" t="s">
        <v>410</v>
      </c>
      <c r="B37" s="6">
        <v>0.421951036</v>
      </c>
      <c r="C37" s="6">
        <v>0.65473827500000004</v>
      </c>
    </row>
    <row r="38" spans="1:3" x14ac:dyDescent="0.25">
      <c r="A38" s="6" t="s">
        <v>668</v>
      </c>
      <c r="B38" s="6">
        <v>0.13069056700000001</v>
      </c>
      <c r="C38" s="6">
        <v>1.2415182E-2</v>
      </c>
    </row>
    <row r="39" spans="1:3" x14ac:dyDescent="0.25">
      <c r="A39" s="6" t="s">
        <v>167</v>
      </c>
      <c r="B39" s="6">
        <v>0.59432397400000003</v>
      </c>
      <c r="C39" s="6">
        <v>0.91017040100000002</v>
      </c>
    </row>
    <row r="40" spans="1:3" x14ac:dyDescent="0.25">
      <c r="A40" s="6" t="s">
        <v>343</v>
      </c>
      <c r="B40" s="6">
        <v>3.0905103999999999E-2</v>
      </c>
      <c r="C40" s="6">
        <v>7.2689762000000005E-2</v>
      </c>
    </row>
    <row r="41" spans="1:3" x14ac:dyDescent="0.25">
      <c r="A41" s="6" t="s">
        <v>334</v>
      </c>
      <c r="B41" s="6">
        <v>0.15981845</v>
      </c>
      <c r="C41" s="6">
        <v>5.3202738999999999E-2</v>
      </c>
    </row>
    <row r="42" spans="1:3" x14ac:dyDescent="0.25">
      <c r="A42" s="6" t="s">
        <v>72</v>
      </c>
      <c r="B42" s="6">
        <v>0.16469679600000001</v>
      </c>
      <c r="C42" s="6">
        <v>0.67762784099999995</v>
      </c>
    </row>
    <row r="43" spans="1:3" x14ac:dyDescent="0.25">
      <c r="A43" s="6" t="s">
        <v>725</v>
      </c>
      <c r="B43" s="6">
        <v>3.5629845E-2</v>
      </c>
      <c r="C43" s="6">
        <v>1.2256540869999999</v>
      </c>
    </row>
    <row r="44" spans="1:3" x14ac:dyDescent="0.25">
      <c r="A44" s="6" t="s">
        <v>721</v>
      </c>
      <c r="B44" s="6">
        <v>0.16400374300000001</v>
      </c>
      <c r="C44" s="6">
        <v>0.68286834299999999</v>
      </c>
    </row>
    <row r="45" spans="1:3" x14ac:dyDescent="0.25">
      <c r="A45" s="6" t="s">
        <v>453</v>
      </c>
      <c r="B45" s="6">
        <v>0.1247547</v>
      </c>
      <c r="C45" s="6">
        <v>0.987885342</v>
      </c>
    </row>
    <row r="46" spans="1:3" x14ac:dyDescent="0.25">
      <c r="A46" s="6" t="s">
        <v>507</v>
      </c>
      <c r="B46" s="6">
        <v>0.12759247000000001</v>
      </c>
      <c r="C46" s="6">
        <v>0.15769540600000001</v>
      </c>
    </row>
    <row r="47" spans="1:3" x14ac:dyDescent="0.25">
      <c r="A47" s="6" t="s">
        <v>407</v>
      </c>
      <c r="B47" s="6">
        <v>6.2789406000000006E-2</v>
      </c>
      <c r="C47" s="6">
        <v>8.1390270000000001E-2</v>
      </c>
    </row>
    <row r="48" spans="1:3" x14ac:dyDescent="0.25">
      <c r="A48" s="6" t="s">
        <v>694</v>
      </c>
      <c r="B48" s="6">
        <v>4.1033317E-2</v>
      </c>
      <c r="C48" s="6">
        <v>0.77278290400000005</v>
      </c>
    </row>
    <row r="49" spans="1:3" x14ac:dyDescent="0.25">
      <c r="A49" s="6" t="s">
        <v>697</v>
      </c>
      <c r="B49" s="6">
        <v>2.7725244E-2</v>
      </c>
      <c r="C49" s="6">
        <v>0.122256244</v>
      </c>
    </row>
    <row r="50" spans="1:3" x14ac:dyDescent="0.25">
      <c r="A50" s="6" t="s">
        <v>267</v>
      </c>
      <c r="B50" s="6">
        <v>2.7602187E-2</v>
      </c>
      <c r="C50" s="6">
        <v>0.72287082000000003</v>
      </c>
    </row>
    <row r="51" spans="1:3" x14ac:dyDescent="0.25">
      <c r="A51" s="6" t="s">
        <v>61</v>
      </c>
      <c r="B51" s="6">
        <v>1.2315754889999999</v>
      </c>
      <c r="C51" s="6">
        <v>1.9703622300000001</v>
      </c>
    </row>
    <row r="52" spans="1:3" x14ac:dyDescent="0.25">
      <c r="A52" s="6" t="s">
        <v>497</v>
      </c>
      <c r="B52" s="6">
        <v>0.159061586</v>
      </c>
      <c r="C52" s="6">
        <v>0.89892896</v>
      </c>
    </row>
    <row r="53" spans="1:3" x14ac:dyDescent="0.25">
      <c r="A53" s="6" t="s">
        <v>259</v>
      </c>
      <c r="B53" s="6">
        <v>1.498974671</v>
      </c>
      <c r="C53" s="6">
        <v>3.5530379139999999</v>
      </c>
    </row>
    <row r="54" spans="1:3" x14ac:dyDescent="0.25">
      <c r="A54" s="6" t="s">
        <v>616</v>
      </c>
      <c r="B54" s="6">
        <v>0.45956712399999999</v>
      </c>
      <c r="C54" s="6">
        <v>5.3061879999999999E-3</v>
      </c>
    </row>
    <row r="55" spans="1:3" x14ac:dyDescent="0.25">
      <c r="A55" s="6" t="s">
        <v>744</v>
      </c>
      <c r="B55" s="6">
        <v>0.49800119599999998</v>
      </c>
      <c r="C55" s="6">
        <v>7.3519685000000001E-2</v>
      </c>
    </row>
    <row r="56" spans="1:3" x14ac:dyDescent="0.25">
      <c r="A56" s="6" t="s">
        <v>32</v>
      </c>
      <c r="B56" s="6">
        <v>5.5210453E-2</v>
      </c>
      <c r="C56" s="6">
        <v>0.19420616399999999</v>
      </c>
    </row>
    <row r="57" spans="1:3" x14ac:dyDescent="0.25">
      <c r="A57" s="6" t="s">
        <v>118</v>
      </c>
      <c r="B57" s="6">
        <v>0.146864934</v>
      </c>
      <c r="C57" s="6">
        <v>0.74629140800000004</v>
      </c>
    </row>
    <row r="58" spans="1:3" x14ac:dyDescent="0.25">
      <c r="A58" s="6" t="s">
        <v>635</v>
      </c>
      <c r="B58" s="6">
        <v>0.35115052200000002</v>
      </c>
      <c r="C58" s="6">
        <v>0.13703221400000001</v>
      </c>
    </row>
    <row r="59" spans="1:3" x14ac:dyDescent="0.25">
      <c r="A59" s="6" t="s">
        <v>52</v>
      </c>
      <c r="B59" s="6">
        <v>3.5121959000000001E-2</v>
      </c>
      <c r="C59" s="6">
        <v>0.18893851</v>
      </c>
    </row>
    <row r="60" spans="1:3" x14ac:dyDescent="0.25">
      <c r="A60" s="6" t="s">
        <v>237</v>
      </c>
      <c r="B60" s="6">
        <v>2.6303627999999999E-2</v>
      </c>
      <c r="C60" s="6">
        <v>0.272962653</v>
      </c>
    </row>
    <row r="61" spans="1:3" x14ac:dyDescent="0.25">
      <c r="A61" s="6" t="s">
        <v>54</v>
      </c>
      <c r="B61" s="6">
        <v>0.55661749500000002</v>
      </c>
      <c r="C61" s="6">
        <v>0.22383834699999999</v>
      </c>
    </row>
    <row r="62" spans="1:3" x14ac:dyDescent="0.25">
      <c r="A62" s="6" t="s">
        <v>245</v>
      </c>
      <c r="B62" s="6">
        <v>1.2225436240000001</v>
      </c>
      <c r="C62" s="6">
        <v>1.138231953</v>
      </c>
    </row>
    <row r="63" spans="1:3" x14ac:dyDescent="0.25">
      <c r="A63" s="6" t="s">
        <v>544</v>
      </c>
      <c r="B63" s="6">
        <v>0.14159316999999999</v>
      </c>
      <c r="C63" s="6">
        <v>0.33002311099999998</v>
      </c>
    </row>
    <row r="64" spans="1:3" x14ac:dyDescent="0.25">
      <c r="A64" s="6" t="s">
        <v>164</v>
      </c>
      <c r="B64" s="6">
        <v>8.379433E-2</v>
      </c>
      <c r="C64" s="6">
        <v>1.2952072320000001</v>
      </c>
    </row>
    <row r="65" spans="1:3" x14ac:dyDescent="0.25">
      <c r="A65" s="6" t="s">
        <v>155</v>
      </c>
      <c r="B65" s="6">
        <v>2.2130588E-2</v>
      </c>
      <c r="C65" s="6">
        <v>1.0619000759999999</v>
      </c>
    </row>
    <row r="66" spans="1:3" x14ac:dyDescent="0.25">
      <c r="A66" s="6" t="s">
        <v>573</v>
      </c>
      <c r="B66" s="6">
        <v>3.2533672E-2</v>
      </c>
      <c r="C66" s="6">
        <v>6.8415668999999998E-2</v>
      </c>
    </row>
    <row r="67" spans="1:3" x14ac:dyDescent="0.25">
      <c r="A67" s="6" t="s">
        <v>22</v>
      </c>
      <c r="B67" s="6">
        <v>4.5590586000000002E-2</v>
      </c>
      <c r="C67" s="6">
        <v>0.20039272</v>
      </c>
    </row>
    <row r="68" spans="1:3" x14ac:dyDescent="0.25">
      <c r="A68" s="6" t="s">
        <v>372</v>
      </c>
      <c r="B68" s="6">
        <v>0.256429403</v>
      </c>
      <c r="C68" s="6">
        <v>7.5938420000000006E-2</v>
      </c>
    </row>
    <row r="69" spans="1:3" x14ac:dyDescent="0.25">
      <c r="A69" s="6" t="s">
        <v>283</v>
      </c>
      <c r="B69" s="6">
        <v>0.17483591900000001</v>
      </c>
      <c r="C69" s="6">
        <v>0.473312122</v>
      </c>
    </row>
    <row r="70" spans="1:3" x14ac:dyDescent="0.25">
      <c r="A70" s="6" t="s">
        <v>409</v>
      </c>
      <c r="B70" s="6">
        <v>0.177904327</v>
      </c>
      <c r="C70" s="6">
        <v>5.9828247000000001E-2</v>
      </c>
    </row>
    <row r="71" spans="1:3" x14ac:dyDescent="0.25">
      <c r="A71" s="6" t="s">
        <v>16</v>
      </c>
      <c r="B71" s="6">
        <v>3.2305083999999998E-2</v>
      </c>
      <c r="C71" s="6">
        <v>0.58983713999999998</v>
      </c>
    </row>
    <row r="72" spans="1:3" x14ac:dyDescent="0.25">
      <c r="A72" s="6" t="s">
        <v>890</v>
      </c>
      <c r="B72" s="6">
        <v>0.65315681299999995</v>
      </c>
      <c r="C72" s="6">
        <v>0.39798623700000002</v>
      </c>
    </row>
    <row r="73" spans="1:3" x14ac:dyDescent="0.25">
      <c r="A73" s="6" t="s">
        <v>512</v>
      </c>
      <c r="B73" s="6">
        <v>0.106336889</v>
      </c>
      <c r="C73" s="6">
        <v>0.55393983099999999</v>
      </c>
    </row>
    <row r="74" spans="1:3" x14ac:dyDescent="0.25">
      <c r="A74" s="6" t="s">
        <v>233</v>
      </c>
      <c r="B74" s="6">
        <v>0.248026407</v>
      </c>
      <c r="C74" s="6">
        <v>0.58943879499999996</v>
      </c>
    </row>
    <row r="75" spans="1:3" x14ac:dyDescent="0.25">
      <c r="A75" s="6" t="s">
        <v>382</v>
      </c>
      <c r="B75" s="6">
        <v>9.1758508000000003E-2</v>
      </c>
      <c r="C75" s="6">
        <v>0.30370577399999998</v>
      </c>
    </row>
    <row r="76" spans="1:3" x14ac:dyDescent="0.25">
      <c r="A76" s="6" t="s">
        <v>679</v>
      </c>
      <c r="B76" s="6">
        <v>0.24413553299999999</v>
      </c>
      <c r="C76" s="6">
        <v>0.65014228900000004</v>
      </c>
    </row>
    <row r="77" spans="1:3" x14ac:dyDescent="0.25">
      <c r="A77" s="6" t="s">
        <v>482</v>
      </c>
      <c r="B77" s="6">
        <v>5.2217784000000003E-2</v>
      </c>
      <c r="C77" s="6">
        <v>8.2275360000000006E-2</v>
      </c>
    </row>
    <row r="78" spans="1:3" x14ac:dyDescent="0.25">
      <c r="A78" s="6" t="s">
        <v>680</v>
      </c>
      <c r="B78" s="6">
        <v>6.4881332999999999E-2</v>
      </c>
      <c r="C78" s="6">
        <v>1.1740609000000001E-2</v>
      </c>
    </row>
    <row r="79" spans="1:3" x14ac:dyDescent="0.25">
      <c r="A79" s="6" t="s">
        <v>581</v>
      </c>
      <c r="B79" s="6">
        <v>5.3710543999999999E-2</v>
      </c>
      <c r="C79" s="6">
        <v>0.13777534999999999</v>
      </c>
    </row>
    <row r="80" spans="1:3" x14ac:dyDescent="0.25">
      <c r="A80" s="6" t="s">
        <v>892</v>
      </c>
      <c r="B80" s="6">
        <v>0.32154444799999998</v>
      </c>
      <c r="C80" s="6">
        <v>2.1149130180000002</v>
      </c>
    </row>
    <row r="81" spans="1:3" x14ac:dyDescent="0.25">
      <c r="A81" s="6" t="s">
        <v>304</v>
      </c>
      <c r="B81" s="6">
        <v>0.27760664000000002</v>
      </c>
      <c r="C81" s="6">
        <v>0.18983425500000001</v>
      </c>
    </row>
    <row r="82" spans="1:3" x14ac:dyDescent="0.25">
      <c r="A82" s="6" t="s">
        <v>179</v>
      </c>
      <c r="B82" s="6">
        <v>0.282564441</v>
      </c>
      <c r="C82" s="6">
        <v>0.302047077</v>
      </c>
    </row>
    <row r="83" spans="1:3" x14ac:dyDescent="0.25">
      <c r="A83" s="6" t="s">
        <v>316</v>
      </c>
      <c r="B83" s="6">
        <v>0.87379021000000001</v>
      </c>
      <c r="C83" s="6">
        <v>2.0794566369999998</v>
      </c>
    </row>
    <row r="84" spans="1:3" x14ac:dyDescent="0.25">
      <c r="A84" s="6" t="s">
        <v>502</v>
      </c>
      <c r="B84" s="6">
        <v>1.6072613999999999E-2</v>
      </c>
      <c r="C84" s="6">
        <v>7.2891887000000002E-2</v>
      </c>
    </row>
    <row r="85" spans="1:3" x14ac:dyDescent="0.25">
      <c r="A85" s="6" t="s">
        <v>246</v>
      </c>
      <c r="B85" s="6">
        <v>0.29717284799999999</v>
      </c>
      <c r="C85" s="6">
        <v>5.7021581000000002E-2</v>
      </c>
    </row>
    <row r="86" spans="1:3" x14ac:dyDescent="0.25">
      <c r="A86" s="6" t="s">
        <v>575</v>
      </c>
      <c r="B86" s="6">
        <v>0.36624138299999998</v>
      </c>
      <c r="C86" s="6">
        <v>1.4187454399999999</v>
      </c>
    </row>
    <row r="87" spans="1:3" x14ac:dyDescent="0.25">
      <c r="A87" s="6" t="s">
        <v>320</v>
      </c>
      <c r="B87" s="6">
        <v>1.148130541</v>
      </c>
      <c r="C87" s="6">
        <v>3.4804030840000002</v>
      </c>
    </row>
    <row r="88" spans="1:3" x14ac:dyDescent="0.25">
      <c r="A88" s="6" t="s">
        <v>629</v>
      </c>
      <c r="B88" s="6">
        <v>5.9270952000000002E-2</v>
      </c>
      <c r="C88" s="6">
        <v>3.2688479999999999E-2</v>
      </c>
    </row>
    <row r="89" spans="1:3" x14ac:dyDescent="0.25">
      <c r="A89" s="6" t="s">
        <v>187</v>
      </c>
      <c r="B89" s="6">
        <v>0.152916677</v>
      </c>
      <c r="C89" s="6">
        <v>0.66954095000000002</v>
      </c>
    </row>
    <row r="90" spans="1:3" x14ac:dyDescent="0.25">
      <c r="A90" s="6" t="s">
        <v>326</v>
      </c>
      <c r="B90" s="6">
        <v>0.26441770999999997</v>
      </c>
      <c r="C90" s="6">
        <v>1.161136731</v>
      </c>
    </row>
    <row r="91" spans="1:3" x14ac:dyDescent="0.25">
      <c r="A91" s="6" t="s">
        <v>501</v>
      </c>
      <c r="B91" s="6">
        <v>1.6411629E-2</v>
      </c>
      <c r="C91" s="6">
        <v>0.17986712299999999</v>
      </c>
    </row>
    <row r="92" spans="1:3" x14ac:dyDescent="0.25">
      <c r="A92" s="6" t="s">
        <v>418</v>
      </c>
      <c r="B92" s="6">
        <v>1.260985486</v>
      </c>
      <c r="C92" s="6">
        <v>14.08113412</v>
      </c>
    </row>
    <row r="93" spans="1:3" x14ac:dyDescent="0.25">
      <c r="A93" s="6" t="s">
        <v>144</v>
      </c>
      <c r="B93" s="6">
        <v>0.130359535</v>
      </c>
      <c r="C93" s="6">
        <v>0.65475588900000004</v>
      </c>
    </row>
    <row r="94" spans="1:3" x14ac:dyDescent="0.25">
      <c r="A94" s="6" t="s">
        <v>121</v>
      </c>
      <c r="B94" s="6">
        <v>0.119121035</v>
      </c>
      <c r="C94" s="6">
        <v>4.7681173E-2</v>
      </c>
    </row>
    <row r="95" spans="1:3" x14ac:dyDescent="0.25">
      <c r="A95" s="6" t="s">
        <v>174</v>
      </c>
      <c r="B95" s="6">
        <v>0.55696579499999999</v>
      </c>
      <c r="C95" s="6">
        <v>0.40143151900000001</v>
      </c>
    </row>
    <row r="96" spans="1:3" x14ac:dyDescent="0.25">
      <c r="A96" s="6" t="s">
        <v>690</v>
      </c>
      <c r="B96" s="6">
        <v>3.6942068000000002E-2</v>
      </c>
      <c r="C96" s="6">
        <v>0.255710137</v>
      </c>
    </row>
    <row r="97" spans="1:3" x14ac:dyDescent="0.25">
      <c r="A97" s="6" t="s">
        <v>536</v>
      </c>
      <c r="B97" s="6">
        <v>0.10193239799999999</v>
      </c>
      <c r="C97" s="6">
        <v>0.14620074699999999</v>
      </c>
    </row>
    <row r="98" spans="1:3" x14ac:dyDescent="0.25">
      <c r="A98" s="6" t="s">
        <v>893</v>
      </c>
      <c r="B98" s="6">
        <v>0.38352809399999999</v>
      </c>
      <c r="C98" s="6">
        <v>0.252035499</v>
      </c>
    </row>
    <row r="99" spans="1:3" x14ac:dyDescent="0.25">
      <c r="A99" s="6" t="s">
        <v>894</v>
      </c>
      <c r="B99" s="6">
        <v>9.4562276000000001E-2</v>
      </c>
      <c r="C99" s="6">
        <v>2.2699634940000002</v>
      </c>
    </row>
    <row r="100" spans="1:3" x14ac:dyDescent="0.25">
      <c r="A100" s="6" t="s">
        <v>450</v>
      </c>
      <c r="B100" s="6">
        <v>0.135359224</v>
      </c>
      <c r="C100" s="6">
        <v>4.7743965179999996</v>
      </c>
    </row>
    <row r="101" spans="1:3" x14ac:dyDescent="0.25">
      <c r="A101" s="6" t="s">
        <v>238</v>
      </c>
      <c r="B101" s="6">
        <v>0.20200561</v>
      </c>
      <c r="C101" s="6">
        <v>0.17909915500000001</v>
      </c>
    </row>
    <row r="102" spans="1:3" x14ac:dyDescent="0.25">
      <c r="A102" s="6" t="s">
        <v>643</v>
      </c>
      <c r="B102" s="6">
        <v>0.32119531400000001</v>
      </c>
      <c r="C102" s="6">
        <v>1.8795400280000001</v>
      </c>
    </row>
    <row r="103" spans="1:3" x14ac:dyDescent="0.25">
      <c r="A103" s="6" t="s">
        <v>535</v>
      </c>
      <c r="B103" s="6">
        <v>1.8278414E-2</v>
      </c>
      <c r="C103" s="6">
        <v>0.108212294</v>
      </c>
    </row>
    <row r="104" spans="1:3" x14ac:dyDescent="0.25">
      <c r="A104" s="6" t="s">
        <v>29</v>
      </c>
      <c r="B104" s="6">
        <v>0.67527753800000001</v>
      </c>
      <c r="C104" s="6">
        <v>1.039045762</v>
      </c>
    </row>
    <row r="105" spans="1:3" x14ac:dyDescent="0.25">
      <c r="A105" s="6" t="s">
        <v>291</v>
      </c>
      <c r="B105" s="6">
        <v>5.8393091000000001E-2</v>
      </c>
      <c r="C105" s="6">
        <v>1.215601103</v>
      </c>
    </row>
    <row r="106" spans="1:3" x14ac:dyDescent="0.25">
      <c r="A106" s="6" t="s">
        <v>520</v>
      </c>
      <c r="B106" s="6">
        <v>0.12931358500000001</v>
      </c>
      <c r="C106" s="6">
        <v>0.40179419500000002</v>
      </c>
    </row>
    <row r="107" spans="1:3" x14ac:dyDescent="0.25">
      <c r="A107" s="6" t="s">
        <v>745</v>
      </c>
      <c r="B107" s="6">
        <v>3.4554392000000003E-2</v>
      </c>
      <c r="C107" s="6">
        <v>0.15227047799999999</v>
      </c>
    </row>
    <row r="108" spans="1:3" x14ac:dyDescent="0.25">
      <c r="A108" s="6" t="s">
        <v>226</v>
      </c>
      <c r="B108" s="6">
        <v>8.2224236000000006E-2</v>
      </c>
      <c r="C108" s="6">
        <v>3.75571E-4</v>
      </c>
    </row>
    <row r="109" spans="1:3" x14ac:dyDescent="0.25">
      <c r="A109" s="6" t="s">
        <v>84</v>
      </c>
      <c r="B109" s="6">
        <v>2.6944889999999999E-2</v>
      </c>
      <c r="C109" s="6">
        <v>0.653741617</v>
      </c>
    </row>
    <row r="110" spans="1:3" x14ac:dyDescent="0.25">
      <c r="A110" s="6" t="s">
        <v>34</v>
      </c>
      <c r="B110" s="6">
        <v>4.2727604000000002E-2</v>
      </c>
      <c r="C110" s="6">
        <v>0.35944351000000002</v>
      </c>
    </row>
    <row r="111" spans="1:3" x14ac:dyDescent="0.25">
      <c r="A111" s="6" t="s">
        <v>319</v>
      </c>
      <c r="B111" s="6">
        <v>0.13172308399999999</v>
      </c>
      <c r="C111" s="6">
        <v>0.28425171500000002</v>
      </c>
    </row>
    <row r="112" spans="1:3" x14ac:dyDescent="0.25">
      <c r="A112" s="6" t="s">
        <v>168</v>
      </c>
      <c r="B112" s="6">
        <v>6.7389708000000006E-2</v>
      </c>
      <c r="C112" s="6">
        <v>1.2624812780000001</v>
      </c>
    </row>
    <row r="113" spans="1:3" x14ac:dyDescent="0.25">
      <c r="A113" s="6" t="s">
        <v>240</v>
      </c>
      <c r="B113" s="6">
        <v>0.53475401899999997</v>
      </c>
      <c r="C113" s="6">
        <v>3.7268119749999999</v>
      </c>
    </row>
    <row r="114" spans="1:3" x14ac:dyDescent="0.25">
      <c r="A114" s="6" t="s">
        <v>895</v>
      </c>
      <c r="B114" s="6">
        <v>0.13307660099999999</v>
      </c>
      <c r="C114" s="6">
        <v>0.33822479999999999</v>
      </c>
    </row>
    <row r="115" spans="1:3" x14ac:dyDescent="0.25">
      <c r="A115" s="6" t="s">
        <v>374</v>
      </c>
      <c r="B115" s="6">
        <v>8.8364030999999996E-2</v>
      </c>
      <c r="C115" s="6">
        <v>0.49792636400000001</v>
      </c>
    </row>
    <row r="116" spans="1:3" x14ac:dyDescent="0.25">
      <c r="A116" s="6" t="s">
        <v>571</v>
      </c>
      <c r="B116" s="6">
        <v>3.8720903000000001E-2</v>
      </c>
      <c r="C116" s="6">
        <v>1.3371794429999999</v>
      </c>
    </row>
    <row r="117" spans="1:3" x14ac:dyDescent="0.25">
      <c r="A117" s="6" t="s">
        <v>252</v>
      </c>
      <c r="B117" s="6">
        <v>4.6633740999999999E-2</v>
      </c>
      <c r="C117" s="6">
        <v>0.377189355</v>
      </c>
    </row>
    <row r="118" spans="1:3" x14ac:dyDescent="0.25">
      <c r="A118" s="6" t="s">
        <v>376</v>
      </c>
      <c r="B118" s="6">
        <v>0.167015937</v>
      </c>
      <c r="C118" s="6">
        <v>0.60855904800000005</v>
      </c>
    </row>
    <row r="119" spans="1:3" x14ac:dyDescent="0.25">
      <c r="A119" s="6" t="s">
        <v>742</v>
      </c>
      <c r="B119" s="6">
        <v>5.0145960000000003E-2</v>
      </c>
      <c r="C119" s="6">
        <v>0.71636732999999997</v>
      </c>
    </row>
    <row r="120" spans="1:3" x14ac:dyDescent="0.25">
      <c r="A120" s="6" t="s">
        <v>342</v>
      </c>
      <c r="B120" s="6">
        <v>0.94858574500000004</v>
      </c>
      <c r="C120" s="6">
        <v>9.7882137450000002</v>
      </c>
    </row>
    <row r="121" spans="1:3" x14ac:dyDescent="0.25">
      <c r="A121" s="6" t="s">
        <v>313</v>
      </c>
      <c r="B121" s="6">
        <v>9.7378733999999995E-2</v>
      </c>
      <c r="C121" s="6">
        <v>0.71519064899999996</v>
      </c>
    </row>
    <row r="122" spans="1:3" x14ac:dyDescent="0.25">
      <c r="A122" s="6" t="s">
        <v>218</v>
      </c>
      <c r="B122" s="6">
        <v>3.6316945000000003E-2</v>
      </c>
      <c r="C122" s="6">
        <v>0.39608838699999999</v>
      </c>
    </row>
    <row r="123" spans="1:3" x14ac:dyDescent="0.25">
      <c r="A123" s="6" t="s">
        <v>639</v>
      </c>
      <c r="B123" s="6">
        <v>7.1165605000000007E-2</v>
      </c>
      <c r="C123" s="6">
        <v>0.35619301199999998</v>
      </c>
    </row>
    <row r="124" spans="1:3" x14ac:dyDescent="0.25">
      <c r="A124" s="6" t="s">
        <v>531</v>
      </c>
      <c r="B124" s="6">
        <v>4.1689760999999999E-2</v>
      </c>
      <c r="C124" s="6">
        <v>0.34886292400000002</v>
      </c>
    </row>
    <row r="125" spans="1:3" x14ac:dyDescent="0.25">
      <c r="A125" s="6" t="s">
        <v>428</v>
      </c>
      <c r="B125" s="6">
        <v>8.0309984000000001E-2</v>
      </c>
      <c r="C125" s="6">
        <v>0.82482566000000002</v>
      </c>
    </row>
    <row r="126" spans="1:3" x14ac:dyDescent="0.25">
      <c r="A126" s="6" t="s">
        <v>897</v>
      </c>
      <c r="B126" s="6">
        <v>4.2283213E-2</v>
      </c>
      <c r="C126" s="6">
        <v>0.95890673000000004</v>
      </c>
    </row>
    <row r="127" spans="1:3" x14ac:dyDescent="0.25">
      <c r="A127" s="6" t="s">
        <v>670</v>
      </c>
      <c r="B127" s="6">
        <v>3.6313775E-2</v>
      </c>
      <c r="C127" s="6">
        <v>0.93885075600000001</v>
      </c>
    </row>
    <row r="128" spans="1:3" x14ac:dyDescent="0.25">
      <c r="A128" s="6" t="s">
        <v>258</v>
      </c>
      <c r="B128" s="6">
        <v>4.2370719999999997E-3</v>
      </c>
      <c r="C128" s="6">
        <v>1.344561551</v>
      </c>
    </row>
    <row r="129" spans="1:3" x14ac:dyDescent="0.25">
      <c r="A129" s="6" t="s">
        <v>727</v>
      </c>
      <c r="B129" s="6">
        <v>2.5285021000000001E-2</v>
      </c>
      <c r="C129" s="6">
        <v>0.69174265300000004</v>
      </c>
    </row>
    <row r="130" spans="1:3" x14ac:dyDescent="0.25">
      <c r="A130" s="6" t="s">
        <v>632</v>
      </c>
      <c r="B130" s="6">
        <v>0.64501403300000004</v>
      </c>
      <c r="C130" s="6">
        <v>8.4257881809999997</v>
      </c>
    </row>
    <row r="131" spans="1:3" x14ac:dyDescent="0.25">
      <c r="A131" s="6" t="s">
        <v>567</v>
      </c>
      <c r="B131" s="6">
        <v>0.115970027</v>
      </c>
      <c r="C131" s="6">
        <v>1.110473756</v>
      </c>
    </row>
    <row r="132" spans="1:3" x14ac:dyDescent="0.25">
      <c r="A132" s="6" t="s">
        <v>728</v>
      </c>
      <c r="B132" s="6">
        <v>0.101138957</v>
      </c>
      <c r="C132" s="6">
        <v>0.24735582</v>
      </c>
    </row>
    <row r="133" spans="1:3" x14ac:dyDescent="0.25">
      <c r="A133" s="6" t="s">
        <v>898</v>
      </c>
      <c r="B133" s="6">
        <v>7.5831700000000002E-3</v>
      </c>
      <c r="C133" s="6">
        <v>0.42655628899999998</v>
      </c>
    </row>
    <row r="134" spans="1:3" x14ac:dyDescent="0.25">
      <c r="A134" s="6" t="s">
        <v>301</v>
      </c>
      <c r="B134" s="6">
        <v>0.128451443</v>
      </c>
      <c r="C134" s="6">
        <v>1.6666967660000001</v>
      </c>
    </row>
    <row r="135" spans="1:3" x14ac:dyDescent="0.25">
      <c r="A135" s="6" t="s">
        <v>145</v>
      </c>
      <c r="B135" s="6">
        <v>0.75235311599999999</v>
      </c>
      <c r="C135" s="6">
        <v>0.54582263600000003</v>
      </c>
    </row>
    <row r="136" spans="1:3" x14ac:dyDescent="0.25">
      <c r="A136" s="6" t="s">
        <v>716</v>
      </c>
      <c r="B136" s="6">
        <v>6.7068311000000005E-2</v>
      </c>
      <c r="C136" s="6">
        <v>7.4518375999999997E-2</v>
      </c>
    </row>
    <row r="137" spans="1:3" x14ac:dyDescent="0.25">
      <c r="A137" s="6" t="s">
        <v>217</v>
      </c>
      <c r="B137" s="6">
        <v>3.2209554000000001E-2</v>
      </c>
      <c r="C137" s="6">
        <v>0.36632438299999998</v>
      </c>
    </row>
    <row r="138" spans="1:3" x14ac:dyDescent="0.25">
      <c r="A138" s="6" t="s">
        <v>375</v>
      </c>
      <c r="B138" s="6">
        <v>0.18375301599999999</v>
      </c>
      <c r="C138" s="6">
        <v>0.32614249499999998</v>
      </c>
    </row>
    <row r="139" spans="1:3" x14ac:dyDescent="0.25">
      <c r="A139" s="6" t="s">
        <v>723</v>
      </c>
      <c r="B139" s="6">
        <v>2.2633497999999998E-2</v>
      </c>
      <c r="C139" s="6">
        <v>0.36971955699999998</v>
      </c>
    </row>
    <row r="140" spans="1:3" x14ac:dyDescent="0.25">
      <c r="A140" s="6" t="s">
        <v>108</v>
      </c>
      <c r="B140" s="6">
        <v>0.100855742</v>
      </c>
      <c r="C140" s="6">
        <v>1.600755975</v>
      </c>
    </row>
    <row r="141" spans="1:3" x14ac:dyDescent="0.25">
      <c r="A141" s="6" t="s">
        <v>504</v>
      </c>
      <c r="B141" s="6">
        <v>0.44050001999999999</v>
      </c>
      <c r="C141" s="6">
        <v>1.4792468240000001</v>
      </c>
    </row>
    <row r="142" spans="1:3" x14ac:dyDescent="0.25">
      <c r="A142" s="6" t="s">
        <v>68</v>
      </c>
      <c r="B142" s="6">
        <v>7.6853218000000001E-2</v>
      </c>
      <c r="C142" s="6">
        <v>0.56221539399999998</v>
      </c>
    </row>
    <row r="143" spans="1:3" x14ac:dyDescent="0.25">
      <c r="A143" s="6" t="s">
        <v>899</v>
      </c>
      <c r="B143" s="6">
        <v>4.1527191999999997E-2</v>
      </c>
      <c r="C143" s="6">
        <v>0.25933168099999998</v>
      </c>
    </row>
    <row r="144" spans="1:3" x14ac:dyDescent="0.25">
      <c r="A144" s="6" t="s">
        <v>175</v>
      </c>
      <c r="B144" s="6">
        <v>6.1162203999999998E-2</v>
      </c>
      <c r="C144" s="6">
        <v>7.9853389999999993E-3</v>
      </c>
    </row>
    <row r="145" spans="1:3" x14ac:dyDescent="0.25">
      <c r="A145" s="6" t="s">
        <v>332</v>
      </c>
      <c r="B145" s="6">
        <v>0.122067443</v>
      </c>
      <c r="C145" s="6">
        <v>0.35793632800000003</v>
      </c>
    </row>
    <row r="146" spans="1:3" x14ac:dyDescent="0.25">
      <c r="A146" s="6" t="s">
        <v>256</v>
      </c>
      <c r="B146" s="6">
        <v>5.4041060000000002E-2</v>
      </c>
      <c r="C146" s="6">
        <v>8.3478714999999995E-2</v>
      </c>
    </row>
    <row r="147" spans="1:3" x14ac:dyDescent="0.25">
      <c r="A147" s="6" t="s">
        <v>408</v>
      </c>
      <c r="B147" s="6">
        <v>4.673335E-2</v>
      </c>
      <c r="C147" s="6">
        <v>0.13521803099999999</v>
      </c>
    </row>
    <row r="148" spans="1:3" x14ac:dyDescent="0.25">
      <c r="A148" s="6" t="s">
        <v>123</v>
      </c>
      <c r="B148" s="6">
        <v>0.225985463</v>
      </c>
      <c r="C148" s="6">
        <v>0.57492469199999996</v>
      </c>
    </row>
    <row r="149" spans="1:3" x14ac:dyDescent="0.25">
      <c r="A149" s="6" t="s">
        <v>184</v>
      </c>
      <c r="B149" s="6">
        <v>0.29488869200000001</v>
      </c>
      <c r="C149" s="6">
        <v>0.79506704699999997</v>
      </c>
    </row>
    <row r="150" spans="1:3" x14ac:dyDescent="0.25">
      <c r="A150" s="6" t="s">
        <v>618</v>
      </c>
      <c r="B150" s="6">
        <v>3.5710998000000001E-2</v>
      </c>
      <c r="C150" s="6">
        <v>9.1003336000000004E-2</v>
      </c>
    </row>
    <row r="151" spans="1:3" x14ac:dyDescent="0.25">
      <c r="A151" s="6" t="s">
        <v>158</v>
      </c>
      <c r="B151" s="6">
        <v>2.0576454000000001E-2</v>
      </c>
      <c r="C151" s="6">
        <v>3.3085661000000002E-2</v>
      </c>
    </row>
    <row r="152" spans="1:3" x14ac:dyDescent="0.25">
      <c r="A152" s="6" t="s">
        <v>330</v>
      </c>
      <c r="B152" s="6">
        <v>5.5398670999999997E-2</v>
      </c>
      <c r="C152" s="6">
        <v>0.29358463600000001</v>
      </c>
    </row>
    <row r="153" spans="1:3" x14ac:dyDescent="0.25">
      <c r="A153" s="6" t="s">
        <v>180</v>
      </c>
      <c r="B153" s="6">
        <v>6.1243924999999998E-2</v>
      </c>
      <c r="C153" s="6">
        <v>0.69801190999999996</v>
      </c>
    </row>
    <row r="154" spans="1:3" x14ac:dyDescent="0.25">
      <c r="A154" s="6" t="s">
        <v>199</v>
      </c>
      <c r="B154" s="6">
        <v>7.4067550999999995E-2</v>
      </c>
      <c r="C154" s="6">
        <v>1.9177033160000001</v>
      </c>
    </row>
    <row r="155" spans="1:3" x14ac:dyDescent="0.25">
      <c r="A155" s="6" t="s">
        <v>337</v>
      </c>
      <c r="B155" s="6">
        <v>5.2446894000000001E-2</v>
      </c>
      <c r="C155" s="6">
        <v>0.73759598299999996</v>
      </c>
    </row>
    <row r="156" spans="1:3" x14ac:dyDescent="0.25">
      <c r="A156" s="6" t="s">
        <v>900</v>
      </c>
      <c r="B156" s="6">
        <v>9.7786020000000008E-3</v>
      </c>
      <c r="C156" s="6">
        <v>0.128656675</v>
      </c>
    </row>
    <row r="157" spans="1:3" x14ac:dyDescent="0.25">
      <c r="A157" s="6" t="s">
        <v>466</v>
      </c>
      <c r="B157" s="6">
        <v>0.28257850299999998</v>
      </c>
      <c r="C157" s="6">
        <v>0.31201236500000001</v>
      </c>
    </row>
    <row r="158" spans="1:3" x14ac:dyDescent="0.25">
      <c r="A158" s="6" t="s">
        <v>901</v>
      </c>
      <c r="B158" s="6">
        <v>4.9505562000000003E-2</v>
      </c>
      <c r="C158" s="6">
        <v>0.38124524399999998</v>
      </c>
    </row>
    <row r="159" spans="1:3" x14ac:dyDescent="0.25">
      <c r="A159" s="6" t="s">
        <v>602</v>
      </c>
      <c r="B159" s="6">
        <v>3.8402631E-2</v>
      </c>
      <c r="C159" s="6">
        <v>0.55107521299999995</v>
      </c>
    </row>
    <row r="160" spans="1:3" x14ac:dyDescent="0.25">
      <c r="A160" s="6" t="s">
        <v>338</v>
      </c>
      <c r="B160" s="6">
        <v>0.28570685000000001</v>
      </c>
      <c r="C160" s="6">
        <v>0.90442186099999999</v>
      </c>
    </row>
    <row r="161" spans="1:3" x14ac:dyDescent="0.25">
      <c r="A161" s="6" t="s">
        <v>599</v>
      </c>
      <c r="B161" s="6">
        <v>0.121148118</v>
      </c>
      <c r="C161" s="6">
        <v>9.3381377000000002E-2</v>
      </c>
    </row>
    <row r="162" spans="1:3" x14ac:dyDescent="0.25">
      <c r="A162" s="6" t="s">
        <v>902</v>
      </c>
      <c r="B162" s="6">
        <v>4.8321426000000001E-2</v>
      </c>
      <c r="C162" s="6">
        <v>0.61080812600000001</v>
      </c>
    </row>
    <row r="163" spans="1:3" x14ac:dyDescent="0.25">
      <c r="A163" s="6" t="s">
        <v>426</v>
      </c>
      <c r="B163" s="6">
        <v>6.9507472000000001E-2</v>
      </c>
      <c r="C163" s="6">
        <v>0.22423015299999999</v>
      </c>
    </row>
    <row r="164" spans="1:3" x14ac:dyDescent="0.25">
      <c r="A164" s="6" t="s">
        <v>46</v>
      </c>
      <c r="B164" s="6">
        <v>0.10415835800000001</v>
      </c>
      <c r="C164" s="6">
        <v>0.67361370300000001</v>
      </c>
    </row>
    <row r="165" spans="1:3" x14ac:dyDescent="0.25">
      <c r="A165" s="6" t="s">
        <v>605</v>
      </c>
      <c r="B165" s="6">
        <v>1.6654888E-2</v>
      </c>
      <c r="C165" s="6">
        <v>0.77107041200000004</v>
      </c>
    </row>
    <row r="166" spans="1:3" x14ac:dyDescent="0.25">
      <c r="A166" s="6" t="s">
        <v>486</v>
      </c>
      <c r="B166" s="6">
        <v>0.46813364200000002</v>
      </c>
      <c r="C166" s="6">
        <v>0.30286899</v>
      </c>
    </row>
    <row r="167" spans="1:3" x14ac:dyDescent="0.25">
      <c r="A167" s="6" t="s">
        <v>533</v>
      </c>
      <c r="B167" s="6">
        <v>5.1708668999999999E-2</v>
      </c>
      <c r="C167" s="6">
        <v>0.52051708100000005</v>
      </c>
    </row>
    <row r="168" spans="1:3" x14ac:dyDescent="0.25">
      <c r="A168" s="6" t="s">
        <v>13</v>
      </c>
      <c r="B168" s="6">
        <v>8.1835191000000002E-2</v>
      </c>
      <c r="C168" s="6">
        <v>2.4659676080000001</v>
      </c>
    </row>
    <row r="169" spans="1:3" x14ac:dyDescent="0.25">
      <c r="A169" s="6" t="s">
        <v>406</v>
      </c>
      <c r="B169" s="6">
        <v>0.14593973599999999</v>
      </c>
      <c r="C169" s="6">
        <v>0.13855958400000001</v>
      </c>
    </row>
    <row r="170" spans="1:3" x14ac:dyDescent="0.25">
      <c r="A170" s="6" t="s">
        <v>212</v>
      </c>
      <c r="B170" s="6">
        <v>0.16338134900000001</v>
      </c>
      <c r="C170" s="6">
        <v>0.19054906499999999</v>
      </c>
    </row>
    <row r="171" spans="1:3" x14ac:dyDescent="0.25">
      <c r="A171" s="6" t="s">
        <v>6</v>
      </c>
      <c r="B171" s="6">
        <v>6.6959251999999997E-2</v>
      </c>
      <c r="C171" s="6">
        <v>0.77337545799999996</v>
      </c>
    </row>
    <row r="172" spans="1:3" x14ac:dyDescent="0.25">
      <c r="A172" s="6" t="s">
        <v>279</v>
      </c>
      <c r="B172" s="6">
        <v>2.6393450999999998E-2</v>
      </c>
      <c r="C172" s="6">
        <v>0.25605364200000003</v>
      </c>
    </row>
    <row r="173" spans="1:3" x14ac:dyDescent="0.25">
      <c r="A173" s="6" t="s">
        <v>610</v>
      </c>
      <c r="B173" s="6">
        <v>0.12737602100000001</v>
      </c>
      <c r="C173" s="6">
        <v>0.46871833899999998</v>
      </c>
    </row>
    <row r="174" spans="1:3" x14ac:dyDescent="0.25">
      <c r="A174" s="6" t="s">
        <v>307</v>
      </c>
      <c r="B174" s="6">
        <v>3.3514156000000003E-2</v>
      </c>
      <c r="C174" s="6">
        <v>0.43221308400000003</v>
      </c>
    </row>
    <row r="175" spans="1:3" x14ac:dyDescent="0.25">
      <c r="A175" s="6" t="s">
        <v>903</v>
      </c>
      <c r="B175" s="6">
        <v>1.248778357</v>
      </c>
      <c r="C175" s="6">
        <v>2.7187453270000002</v>
      </c>
    </row>
    <row r="176" spans="1:3" x14ac:dyDescent="0.25">
      <c r="A176" s="6" t="s">
        <v>385</v>
      </c>
      <c r="B176" s="6">
        <v>1.218380781</v>
      </c>
      <c r="C176" s="6">
        <v>17.152762800000001</v>
      </c>
    </row>
    <row r="177" spans="1:3" x14ac:dyDescent="0.25">
      <c r="A177" s="6" t="s">
        <v>101</v>
      </c>
      <c r="B177" s="6">
        <v>3.5203618999999998E-2</v>
      </c>
      <c r="C177" s="6">
        <v>0.40743575199999998</v>
      </c>
    </row>
    <row r="178" spans="1:3" x14ac:dyDescent="0.25">
      <c r="A178" s="6" t="s">
        <v>719</v>
      </c>
      <c r="B178" s="6">
        <v>4.0113439000000001E-2</v>
      </c>
      <c r="C178" s="6">
        <v>1.5611428730000001</v>
      </c>
    </row>
    <row r="179" spans="1:3" x14ac:dyDescent="0.25">
      <c r="A179" s="6" t="s">
        <v>173</v>
      </c>
      <c r="B179" s="6">
        <v>5.0853321E-2</v>
      </c>
      <c r="C179" s="6">
        <v>0.10713618799999999</v>
      </c>
    </row>
    <row r="180" spans="1:3" x14ac:dyDescent="0.25">
      <c r="A180" s="6" t="s">
        <v>484</v>
      </c>
      <c r="B180" s="6">
        <v>5.5835750000000003E-2</v>
      </c>
      <c r="C180" s="6">
        <v>0.78510419600000003</v>
      </c>
    </row>
    <row r="181" spans="1:3" x14ac:dyDescent="0.25">
      <c r="A181" s="6" t="s">
        <v>445</v>
      </c>
      <c r="B181" s="6">
        <v>3.7761291000000002E-2</v>
      </c>
      <c r="C181" s="6">
        <v>0.58255973800000005</v>
      </c>
    </row>
    <row r="182" spans="1:3" x14ac:dyDescent="0.25">
      <c r="A182" s="6" t="s">
        <v>576</v>
      </c>
      <c r="B182" s="6">
        <v>6.1902799000000001E-2</v>
      </c>
      <c r="C182" s="6">
        <v>0.17694653599999999</v>
      </c>
    </row>
    <row r="183" spans="1:3" x14ac:dyDescent="0.25">
      <c r="A183" s="6" t="s">
        <v>611</v>
      </c>
      <c r="B183" s="6">
        <v>7.1134895000000004E-2</v>
      </c>
      <c r="C183" s="6">
        <v>0.35667536399999999</v>
      </c>
    </row>
    <row r="184" spans="1:3" x14ac:dyDescent="0.25">
      <c r="A184" s="6" t="s">
        <v>186</v>
      </c>
      <c r="B184" s="6">
        <v>2.6709118E-2</v>
      </c>
      <c r="C184" s="6">
        <v>0.19133050300000001</v>
      </c>
    </row>
    <row r="185" spans="1:3" x14ac:dyDescent="0.25">
      <c r="A185" s="6" t="s">
        <v>86</v>
      </c>
      <c r="B185" s="6">
        <v>0.57724017299999997</v>
      </c>
      <c r="C185" s="6">
        <v>0.36852369000000001</v>
      </c>
    </row>
    <row r="186" spans="1:3" x14ac:dyDescent="0.25">
      <c r="A186" s="6" t="s">
        <v>558</v>
      </c>
      <c r="B186" s="6">
        <v>0.36525296099999999</v>
      </c>
      <c r="C186" s="6">
        <v>1.1146201739999999</v>
      </c>
    </row>
    <row r="187" spans="1:3" x14ac:dyDescent="0.25">
      <c r="A187" s="6" t="s">
        <v>447</v>
      </c>
      <c r="B187" s="6">
        <v>4.2211418000000001E-2</v>
      </c>
      <c r="C187" s="6">
        <v>0.375222685</v>
      </c>
    </row>
    <row r="188" spans="1:3" x14ac:dyDescent="0.25">
      <c r="A188" s="6" t="s">
        <v>465</v>
      </c>
      <c r="B188" s="6">
        <v>4.2609896000000001E-2</v>
      </c>
      <c r="C188" s="6">
        <v>0.52475183700000005</v>
      </c>
    </row>
    <row r="189" spans="1:3" x14ac:dyDescent="0.25">
      <c r="A189" s="6" t="s">
        <v>457</v>
      </c>
      <c r="B189" s="6">
        <v>5.5543605000000003E-2</v>
      </c>
      <c r="C189" s="6">
        <v>0.30561713800000001</v>
      </c>
    </row>
    <row r="190" spans="1:3" x14ac:dyDescent="0.25">
      <c r="A190" s="6" t="s">
        <v>904</v>
      </c>
      <c r="B190" s="6">
        <v>0.12561883600000001</v>
      </c>
      <c r="C190" s="6">
        <v>3.3996862000000003E-2</v>
      </c>
    </row>
    <row r="191" spans="1:3" x14ac:dyDescent="0.25">
      <c r="A191" s="6" t="s">
        <v>8</v>
      </c>
      <c r="B191" s="6">
        <v>8.3026655000000005E-2</v>
      </c>
      <c r="C191" s="6">
        <v>0.13647683199999999</v>
      </c>
    </row>
    <row r="192" spans="1:3" x14ac:dyDescent="0.25">
      <c r="A192" s="6" t="s">
        <v>44</v>
      </c>
      <c r="B192" s="6">
        <v>5.3452011000000001E-2</v>
      </c>
      <c r="C192" s="6">
        <v>0.38652920800000001</v>
      </c>
    </row>
    <row r="193" spans="1:3" x14ac:dyDescent="0.25">
      <c r="A193" s="6" t="s">
        <v>206</v>
      </c>
      <c r="B193" s="6">
        <v>0.120590154</v>
      </c>
      <c r="C193" s="6">
        <v>1.0304370300000001</v>
      </c>
    </row>
    <row r="194" spans="1:3" x14ac:dyDescent="0.25">
      <c r="A194" s="6" t="s">
        <v>71</v>
      </c>
      <c r="B194" s="6">
        <v>4.8080229000000002E-2</v>
      </c>
      <c r="C194" s="6">
        <v>0.28130635900000001</v>
      </c>
    </row>
    <row r="195" spans="1:3" x14ac:dyDescent="0.25">
      <c r="A195" s="6" t="s">
        <v>722</v>
      </c>
      <c r="B195" s="6">
        <v>0.233123567</v>
      </c>
      <c r="C195" s="6">
        <v>0.14554225400000001</v>
      </c>
    </row>
    <row r="196" spans="1:3" x14ac:dyDescent="0.25">
      <c r="A196" s="6" t="s">
        <v>203</v>
      </c>
      <c r="B196" s="6">
        <v>0.19978569700000001</v>
      </c>
      <c r="C196" s="6">
        <v>1.434952738</v>
      </c>
    </row>
    <row r="197" spans="1:3" x14ac:dyDescent="0.25">
      <c r="A197" s="6" t="s">
        <v>210</v>
      </c>
      <c r="B197" s="6">
        <v>3.2291716999999998E-2</v>
      </c>
      <c r="C197" s="6">
        <v>0.12834806900000001</v>
      </c>
    </row>
    <row r="198" spans="1:3" x14ac:dyDescent="0.25">
      <c r="A198" s="6" t="s">
        <v>451</v>
      </c>
      <c r="B198" s="6">
        <v>1.6327868510000001</v>
      </c>
      <c r="C198" s="6">
        <v>0.33502380799999998</v>
      </c>
    </row>
    <row r="199" spans="1:3" x14ac:dyDescent="0.25">
      <c r="A199" s="6" t="s">
        <v>905</v>
      </c>
      <c r="B199" s="6">
        <v>2.102765786</v>
      </c>
      <c r="C199" s="6">
        <v>13.889502999999999</v>
      </c>
    </row>
    <row r="200" spans="1:3" x14ac:dyDescent="0.25">
      <c r="A200" s="6" t="s">
        <v>91</v>
      </c>
      <c r="B200" s="6">
        <v>5.8055109000000001E-2</v>
      </c>
      <c r="C200" s="6">
        <v>0.34398290300000001</v>
      </c>
    </row>
    <row r="201" spans="1:3" x14ac:dyDescent="0.25">
      <c r="A201" s="6" t="s">
        <v>152</v>
      </c>
      <c r="B201" s="6">
        <v>0.10727083699999999</v>
      </c>
      <c r="C201" s="6">
        <v>7.1341531E-2</v>
      </c>
    </row>
    <row r="202" spans="1:3" x14ac:dyDescent="0.25">
      <c r="A202" s="6" t="s">
        <v>672</v>
      </c>
      <c r="B202" s="6">
        <v>2.2193457E-2</v>
      </c>
      <c r="C202" s="6">
        <v>4.1146205999999998E-2</v>
      </c>
    </row>
    <row r="203" spans="1:3" x14ac:dyDescent="0.25">
      <c r="A203" s="6" t="s">
        <v>70</v>
      </c>
      <c r="B203" s="6">
        <v>0.164318514</v>
      </c>
      <c r="C203" s="6">
        <v>2.159759658</v>
      </c>
    </row>
    <row r="204" spans="1:3" x14ac:dyDescent="0.25">
      <c r="A204" s="6" t="s">
        <v>907</v>
      </c>
      <c r="B204" s="6">
        <v>4.9702580000000003E-2</v>
      </c>
      <c r="C204" s="6">
        <v>0.14547051</v>
      </c>
    </row>
    <row r="205" spans="1:3" x14ac:dyDescent="0.25">
      <c r="A205" s="6" t="s">
        <v>356</v>
      </c>
      <c r="B205" s="6">
        <v>0.78140988600000005</v>
      </c>
      <c r="C205" s="6">
        <v>3.3562104979999998</v>
      </c>
    </row>
    <row r="206" spans="1:3" x14ac:dyDescent="0.25">
      <c r="A206" s="6" t="s">
        <v>908</v>
      </c>
      <c r="B206" s="6">
        <v>5.8891684E-2</v>
      </c>
      <c r="C206" s="6">
        <v>0.21964530500000001</v>
      </c>
    </row>
    <row r="207" spans="1:3" x14ac:dyDescent="0.25">
      <c r="A207" s="6" t="s">
        <v>656</v>
      </c>
      <c r="B207" s="6">
        <v>0.12366587</v>
      </c>
      <c r="C207" s="6">
        <v>0.59404941899999997</v>
      </c>
    </row>
    <row r="208" spans="1:3" x14ac:dyDescent="0.25">
      <c r="A208" s="6" t="s">
        <v>220</v>
      </c>
      <c r="B208" s="6">
        <v>0.185166997</v>
      </c>
      <c r="C208" s="6">
        <v>0.77731014399999998</v>
      </c>
    </row>
    <row r="209" spans="1:3" x14ac:dyDescent="0.25">
      <c r="A209" s="6" t="s">
        <v>388</v>
      </c>
      <c r="B209" s="6">
        <v>3.4238123000000002E-2</v>
      </c>
      <c r="C209" s="6">
        <v>0.238448259</v>
      </c>
    </row>
    <row r="210" spans="1:3" x14ac:dyDescent="0.25">
      <c r="A210" s="6" t="s">
        <v>909</v>
      </c>
      <c r="B210" s="6">
        <v>7.8735988000000007E-2</v>
      </c>
      <c r="C210" s="6">
        <v>3.2197691000000001E-2</v>
      </c>
    </row>
    <row r="211" spans="1:3" x14ac:dyDescent="0.25">
      <c r="A211" s="6" t="s">
        <v>110</v>
      </c>
      <c r="B211" s="6">
        <v>0.12001777</v>
      </c>
      <c r="C211" s="6">
        <v>0.15623554200000001</v>
      </c>
    </row>
    <row r="212" spans="1:3" x14ac:dyDescent="0.25">
      <c r="A212" s="6" t="s">
        <v>292</v>
      </c>
      <c r="B212" s="6">
        <v>0.31197673199999998</v>
      </c>
      <c r="C212" s="6">
        <v>1.5176983470000001</v>
      </c>
    </row>
    <row r="213" spans="1:3" x14ac:dyDescent="0.25">
      <c r="A213" s="6" t="s">
        <v>663</v>
      </c>
      <c r="B213" s="6">
        <v>1.1010463530000001</v>
      </c>
      <c r="C213" s="6">
        <v>1.417727567</v>
      </c>
    </row>
    <row r="214" spans="1:3" x14ac:dyDescent="0.25">
      <c r="A214" s="6" t="s">
        <v>734</v>
      </c>
      <c r="B214" s="6">
        <v>0.25396791800000001</v>
      </c>
      <c r="C214" s="6">
        <v>2.233460263</v>
      </c>
    </row>
    <row r="215" spans="1:3" x14ac:dyDescent="0.25">
      <c r="A215" s="6" t="s">
        <v>613</v>
      </c>
      <c r="B215" s="6">
        <v>5.0108238999999999E-2</v>
      </c>
      <c r="C215" s="6">
        <v>0.58327757599999996</v>
      </c>
    </row>
    <row r="216" spans="1:3" x14ac:dyDescent="0.25">
      <c r="A216" s="6" t="s">
        <v>569</v>
      </c>
      <c r="B216" s="6">
        <v>7.0209184999999993E-2</v>
      </c>
      <c r="C216" s="6">
        <v>0.30645535499999998</v>
      </c>
    </row>
    <row r="217" spans="1:3" x14ac:dyDescent="0.25">
      <c r="A217" s="6" t="s">
        <v>671</v>
      </c>
      <c r="B217" s="6">
        <v>0.35104233000000001</v>
      </c>
      <c r="C217" s="6">
        <v>0.29603751</v>
      </c>
    </row>
    <row r="218" spans="1:3" x14ac:dyDescent="0.25">
      <c r="A218" s="6" t="s">
        <v>255</v>
      </c>
      <c r="B218" s="6">
        <v>0.10041588899999999</v>
      </c>
      <c r="C218" s="6">
        <v>0.38952900400000001</v>
      </c>
    </row>
    <row r="219" spans="1:3" x14ac:dyDescent="0.25">
      <c r="A219" s="6" t="s">
        <v>432</v>
      </c>
      <c r="B219" s="6">
        <v>3.0756795E-2</v>
      </c>
      <c r="C219" s="6">
        <v>0.486584927</v>
      </c>
    </row>
    <row r="220" spans="1:3" x14ac:dyDescent="0.25">
      <c r="A220" s="6" t="s">
        <v>223</v>
      </c>
      <c r="B220" s="6">
        <v>6.6612193E-2</v>
      </c>
      <c r="C220" s="6">
        <v>8.9633572999999994E-2</v>
      </c>
    </row>
    <row r="221" spans="1:3" x14ac:dyDescent="0.25">
      <c r="A221" s="6" t="s">
        <v>294</v>
      </c>
      <c r="B221" s="6">
        <v>8.8689657000000005E-2</v>
      </c>
      <c r="C221" s="6">
        <v>0.20006704</v>
      </c>
    </row>
    <row r="222" spans="1:3" x14ac:dyDescent="0.25">
      <c r="A222" s="6" t="s">
        <v>726</v>
      </c>
      <c r="B222" s="6">
        <v>5.0428749000000002E-2</v>
      </c>
      <c r="C222" s="6">
        <v>1.472077549</v>
      </c>
    </row>
    <row r="223" spans="1:3" x14ac:dyDescent="0.25">
      <c r="A223" s="6" t="s">
        <v>303</v>
      </c>
      <c r="B223" s="6">
        <v>0.68184217000000003</v>
      </c>
      <c r="C223" s="6">
        <v>1.1183964820000001</v>
      </c>
    </row>
    <row r="224" spans="1:3" x14ac:dyDescent="0.25">
      <c r="A224" s="6" t="s">
        <v>657</v>
      </c>
      <c r="B224" s="6">
        <v>7.7588718000000001E-2</v>
      </c>
      <c r="C224" s="6">
        <v>0.34227305899999999</v>
      </c>
    </row>
    <row r="225" spans="1:3" x14ac:dyDescent="0.25">
      <c r="A225" s="6" t="s">
        <v>601</v>
      </c>
      <c r="B225" s="6">
        <v>2.3907214E-2</v>
      </c>
      <c r="C225" s="6">
        <v>0.100967722</v>
      </c>
    </row>
    <row r="226" spans="1:3" x14ac:dyDescent="0.25">
      <c r="A226" s="6" t="s">
        <v>365</v>
      </c>
      <c r="B226" s="6">
        <v>0.117267868</v>
      </c>
      <c r="C226" s="6">
        <v>5.1336069999999998E-2</v>
      </c>
    </row>
    <row r="227" spans="1:3" x14ac:dyDescent="0.25">
      <c r="A227" s="6" t="s">
        <v>298</v>
      </c>
      <c r="B227" s="6">
        <v>0.207600586</v>
      </c>
      <c r="C227" s="6">
        <v>0.79267501100000004</v>
      </c>
    </row>
    <row r="228" spans="1:3" x14ac:dyDescent="0.25">
      <c r="A228" s="6" t="s">
        <v>910</v>
      </c>
      <c r="B228" s="6">
        <v>0.413479349</v>
      </c>
      <c r="C228" s="6">
        <v>7.3375486949999997</v>
      </c>
    </row>
    <row r="229" spans="1:3" x14ac:dyDescent="0.25">
      <c r="A229" s="6" t="s">
        <v>542</v>
      </c>
      <c r="B229" s="6">
        <v>5.1274610999999998E-2</v>
      </c>
      <c r="C229" s="6">
        <v>1.8094671999999999E-2</v>
      </c>
    </row>
    <row r="230" spans="1:3" x14ac:dyDescent="0.25">
      <c r="A230" s="6" t="s">
        <v>154</v>
      </c>
      <c r="B230" s="6">
        <v>4.2322729000000003E-2</v>
      </c>
      <c r="C230" s="6">
        <v>0.68842157800000003</v>
      </c>
    </row>
    <row r="231" spans="1:3" x14ac:dyDescent="0.25">
      <c r="A231" s="6" t="s">
        <v>10</v>
      </c>
      <c r="B231" s="6">
        <v>7.1659095000000006E-2</v>
      </c>
      <c r="C231" s="6">
        <v>1.0629582500000001</v>
      </c>
    </row>
    <row r="232" spans="1:3" x14ac:dyDescent="0.25">
      <c r="A232" s="6" t="s">
        <v>594</v>
      </c>
      <c r="B232" s="6">
        <v>0.19343463299999999</v>
      </c>
      <c r="C232" s="6">
        <v>1.237070739</v>
      </c>
    </row>
    <row r="233" spans="1:3" x14ac:dyDescent="0.25">
      <c r="A233" s="6" t="s">
        <v>627</v>
      </c>
      <c r="B233" s="6">
        <v>3.7188259000000001E-2</v>
      </c>
      <c r="C233" s="6">
        <v>0.17105187399999999</v>
      </c>
    </row>
    <row r="234" spans="1:3" x14ac:dyDescent="0.25">
      <c r="A234" s="6" t="s">
        <v>353</v>
      </c>
      <c r="B234" s="6">
        <v>4.0266535999999999E-2</v>
      </c>
      <c r="C234" s="6">
        <v>0.41949888299999999</v>
      </c>
    </row>
    <row r="235" spans="1:3" x14ac:dyDescent="0.25">
      <c r="A235" s="6" t="s">
        <v>181</v>
      </c>
      <c r="B235" s="6">
        <v>0.85750098399999997</v>
      </c>
      <c r="C235" s="6">
        <v>9.3141817959999997</v>
      </c>
    </row>
    <row r="236" spans="1:3" x14ac:dyDescent="0.25">
      <c r="A236" s="6" t="s">
        <v>911</v>
      </c>
      <c r="B236" s="6">
        <v>0.23148371000000001</v>
      </c>
      <c r="C236" s="6">
        <v>1.315060141</v>
      </c>
    </row>
    <row r="237" spans="1:3" x14ac:dyDescent="0.25">
      <c r="A237" s="6" t="s">
        <v>434</v>
      </c>
      <c r="B237" s="6">
        <v>9.2796189000000001E-2</v>
      </c>
      <c r="C237" s="6">
        <v>0.43654295999999998</v>
      </c>
    </row>
    <row r="238" spans="1:3" x14ac:dyDescent="0.25">
      <c r="A238" s="6" t="s">
        <v>912</v>
      </c>
      <c r="B238" s="6">
        <v>0.63851217199999999</v>
      </c>
      <c r="C238" s="6">
        <v>10.695866219999999</v>
      </c>
    </row>
    <row r="239" spans="1:3" x14ac:dyDescent="0.25">
      <c r="A239" s="6" t="s">
        <v>139</v>
      </c>
      <c r="B239" s="6">
        <v>0.43354372299999999</v>
      </c>
      <c r="C239" s="6">
        <v>2.054407061</v>
      </c>
    </row>
    <row r="240" spans="1:3" x14ac:dyDescent="0.25">
      <c r="A240" s="6" t="s">
        <v>596</v>
      </c>
      <c r="B240" s="6">
        <v>6.8924265999999998E-2</v>
      </c>
      <c r="C240" s="6">
        <v>1.669029157</v>
      </c>
    </row>
    <row r="241" spans="1:3" x14ac:dyDescent="0.25">
      <c r="A241" s="6" t="s">
        <v>393</v>
      </c>
      <c r="B241" s="6">
        <v>0.150060049</v>
      </c>
      <c r="C241" s="6">
        <v>0.31508298499999998</v>
      </c>
    </row>
    <row r="242" spans="1:3" x14ac:dyDescent="0.25">
      <c r="A242" s="6" t="s">
        <v>913</v>
      </c>
      <c r="B242" s="6">
        <v>4.1840306000000001E-2</v>
      </c>
      <c r="C242" s="6">
        <v>0.15762287699999999</v>
      </c>
    </row>
    <row r="243" spans="1:3" x14ac:dyDescent="0.25">
      <c r="A243" s="6" t="s">
        <v>631</v>
      </c>
      <c r="B243" s="6">
        <v>0.15074927799999999</v>
      </c>
      <c r="C243" s="6">
        <v>2.3490440320000001</v>
      </c>
    </row>
    <row r="244" spans="1:3" x14ac:dyDescent="0.25">
      <c r="A244" s="6" t="s">
        <v>1</v>
      </c>
      <c r="B244" s="6">
        <v>0.36024329300000002</v>
      </c>
      <c r="C244" s="6">
        <v>1.1426184509999999</v>
      </c>
    </row>
    <row r="245" spans="1:3" x14ac:dyDescent="0.25">
      <c r="A245" s="6" t="s">
        <v>296</v>
      </c>
      <c r="B245" s="6">
        <v>0.165026533</v>
      </c>
      <c r="C245" s="6">
        <v>1.649337E-2</v>
      </c>
    </row>
    <row r="246" spans="1:3" x14ac:dyDescent="0.25">
      <c r="A246" s="6" t="s">
        <v>649</v>
      </c>
      <c r="B246" s="6">
        <v>0.10635053999999999</v>
      </c>
      <c r="C246" s="6">
        <v>0.18528461099999999</v>
      </c>
    </row>
    <row r="247" spans="1:3" x14ac:dyDescent="0.25">
      <c r="A247" s="6" t="s">
        <v>693</v>
      </c>
      <c r="B247" s="6">
        <v>5.1315748000000001E-2</v>
      </c>
      <c r="C247" s="6">
        <v>0.531708862</v>
      </c>
    </row>
    <row r="248" spans="1:3" x14ac:dyDescent="0.25">
      <c r="A248" s="6" t="s">
        <v>494</v>
      </c>
      <c r="B248" s="6">
        <v>0.25454378300000002</v>
      </c>
      <c r="C248" s="6">
        <v>1.00007103</v>
      </c>
    </row>
    <row r="249" spans="1:3" x14ac:dyDescent="0.25">
      <c r="A249" s="6" t="s">
        <v>7</v>
      </c>
      <c r="B249" s="6">
        <v>0.27682718099999998</v>
      </c>
      <c r="C249" s="6">
        <v>1.3914204990000001</v>
      </c>
    </row>
    <row r="250" spans="1:3" x14ac:dyDescent="0.25">
      <c r="A250" s="6" t="s">
        <v>493</v>
      </c>
      <c r="B250" s="6">
        <v>0.15447486699999999</v>
      </c>
      <c r="C250" s="6">
        <v>1.1994921999999999</v>
      </c>
    </row>
    <row r="251" spans="1:3" x14ac:dyDescent="0.25">
      <c r="A251" s="6" t="s">
        <v>460</v>
      </c>
      <c r="B251" s="6">
        <v>0.111199453</v>
      </c>
      <c r="C251" s="6">
        <v>0.51130249000000005</v>
      </c>
    </row>
    <row r="252" spans="1:3" x14ac:dyDescent="0.25">
      <c r="A252" s="6" t="s">
        <v>318</v>
      </c>
      <c r="B252" s="6">
        <v>5.1771032000000002E-2</v>
      </c>
      <c r="C252" s="6">
        <v>0.85700938800000004</v>
      </c>
    </row>
    <row r="253" spans="1:3" x14ac:dyDescent="0.25">
      <c r="A253" s="6" t="s">
        <v>150</v>
      </c>
      <c r="B253" s="6">
        <v>7.6078074999999995E-2</v>
      </c>
      <c r="C253" s="6">
        <v>0.35710774299999998</v>
      </c>
    </row>
    <row r="254" spans="1:3" x14ac:dyDescent="0.25">
      <c r="A254" s="6" t="s">
        <v>147</v>
      </c>
      <c r="B254" s="6">
        <v>3.8506269000000003E-2</v>
      </c>
      <c r="C254" s="6">
        <v>0.77317717100000005</v>
      </c>
    </row>
    <row r="255" spans="1:3" x14ac:dyDescent="0.25">
      <c r="A255" s="6" t="s">
        <v>483</v>
      </c>
      <c r="B255" s="6">
        <v>0.15379759300000001</v>
      </c>
      <c r="C255" s="6">
        <v>2.632768961</v>
      </c>
    </row>
    <row r="256" spans="1:3" x14ac:dyDescent="0.25">
      <c r="A256" s="6" t="s">
        <v>308</v>
      </c>
      <c r="B256" s="6">
        <v>0.110469014</v>
      </c>
      <c r="C256" s="6">
        <v>0.58592253500000002</v>
      </c>
    </row>
    <row r="257" spans="1:3" x14ac:dyDescent="0.25">
      <c r="A257" s="6" t="s">
        <v>664</v>
      </c>
      <c r="B257" s="6">
        <v>0.73591365099999995</v>
      </c>
      <c r="C257" s="6">
        <v>0.28901043399999998</v>
      </c>
    </row>
    <row r="258" spans="1:3" x14ac:dyDescent="0.25">
      <c r="A258" s="6" t="s">
        <v>404</v>
      </c>
      <c r="B258" s="6">
        <v>7.4480715000000003E-2</v>
      </c>
      <c r="C258" s="6">
        <v>0.40152006899999998</v>
      </c>
    </row>
    <row r="259" spans="1:3" x14ac:dyDescent="0.25">
      <c r="A259" s="6" t="s">
        <v>117</v>
      </c>
      <c r="B259" s="6">
        <v>4.8359935999999999E-2</v>
      </c>
      <c r="C259" s="6">
        <v>9.3455698000000004E-2</v>
      </c>
    </row>
    <row r="260" spans="1:3" x14ac:dyDescent="0.25">
      <c r="A260" s="6" t="s">
        <v>90</v>
      </c>
      <c r="B260" s="6">
        <v>8.1537646000000005E-2</v>
      </c>
      <c r="C260" s="6">
        <v>0.49558704599999998</v>
      </c>
    </row>
    <row r="261" spans="1:3" x14ac:dyDescent="0.25">
      <c r="A261" s="6" t="s">
        <v>286</v>
      </c>
      <c r="B261" s="6">
        <v>0.31537767300000003</v>
      </c>
      <c r="C261" s="6">
        <v>1.042122303</v>
      </c>
    </row>
    <row r="262" spans="1:3" x14ac:dyDescent="0.25">
      <c r="A262" s="6" t="s">
        <v>290</v>
      </c>
      <c r="B262" s="6">
        <v>0.212749995</v>
      </c>
      <c r="C262" s="6">
        <v>0.41780559099999998</v>
      </c>
    </row>
    <row r="263" spans="1:3" x14ac:dyDescent="0.25">
      <c r="A263" s="6" t="s">
        <v>127</v>
      </c>
      <c r="B263" s="6">
        <v>4.6453004999999999E-2</v>
      </c>
      <c r="C263" s="6">
        <v>0.23383717300000001</v>
      </c>
    </row>
    <row r="264" spans="1:3" x14ac:dyDescent="0.25">
      <c r="A264" s="6" t="s">
        <v>566</v>
      </c>
      <c r="B264" s="6">
        <v>9.4283530000000004E-2</v>
      </c>
      <c r="C264" s="6">
        <v>0.12542183100000001</v>
      </c>
    </row>
    <row r="265" spans="1:3" x14ac:dyDescent="0.25">
      <c r="A265" s="6" t="s">
        <v>266</v>
      </c>
      <c r="B265" s="6">
        <v>0.67643407600000005</v>
      </c>
      <c r="C265" s="6">
        <v>7.1611994960000001</v>
      </c>
    </row>
    <row r="266" spans="1:3" x14ac:dyDescent="0.25">
      <c r="A266" s="6" t="s">
        <v>730</v>
      </c>
      <c r="B266" s="6">
        <v>1.1471064E-2</v>
      </c>
      <c r="C266" s="6">
        <v>0.65783077999999995</v>
      </c>
    </row>
    <row r="267" spans="1:3" x14ac:dyDescent="0.25">
      <c r="A267" s="6" t="s">
        <v>9</v>
      </c>
      <c r="B267" s="6">
        <v>4.5530724000000002E-2</v>
      </c>
      <c r="C267" s="6">
        <v>6.6107826999999994E-2</v>
      </c>
    </row>
    <row r="268" spans="1:3" x14ac:dyDescent="0.25">
      <c r="A268" s="6" t="s">
        <v>249</v>
      </c>
      <c r="B268" s="6">
        <v>4.9218918E-2</v>
      </c>
      <c r="C268" s="6">
        <v>7.0259314000000003E-2</v>
      </c>
    </row>
    <row r="269" spans="1:3" x14ac:dyDescent="0.25">
      <c r="A269" s="6" t="s">
        <v>287</v>
      </c>
      <c r="B269" s="6">
        <v>8.0778020000000006E-2</v>
      </c>
      <c r="C269" s="6">
        <v>0.40304268399999998</v>
      </c>
    </row>
    <row r="270" spans="1:3" x14ac:dyDescent="0.25">
      <c r="A270" s="6" t="s">
        <v>477</v>
      </c>
      <c r="B270" s="6">
        <v>0.21143648300000001</v>
      </c>
      <c r="C270" s="6">
        <v>0.36319288300000002</v>
      </c>
    </row>
    <row r="271" spans="1:3" x14ac:dyDescent="0.25">
      <c r="A271" s="6" t="s">
        <v>234</v>
      </c>
      <c r="B271" s="6">
        <v>3.8337999999999997E-2</v>
      </c>
      <c r="C271" s="6">
        <v>9.9457557000000002E-2</v>
      </c>
    </row>
    <row r="272" spans="1:3" x14ac:dyDescent="0.25">
      <c r="A272" s="6" t="s">
        <v>276</v>
      </c>
      <c r="B272" s="6">
        <v>1.5183627E-2</v>
      </c>
      <c r="C272" s="6">
        <v>0.16048749800000001</v>
      </c>
    </row>
    <row r="273" spans="1:3" x14ac:dyDescent="0.25">
      <c r="A273" s="6" t="s">
        <v>609</v>
      </c>
      <c r="B273" s="6">
        <v>0.23271113399999999</v>
      </c>
      <c r="C273" s="6">
        <v>0.88247817500000003</v>
      </c>
    </row>
    <row r="274" spans="1:3" x14ac:dyDescent="0.25">
      <c r="A274" s="6" t="s">
        <v>109</v>
      </c>
      <c r="B274" s="6">
        <v>5.3768428E-2</v>
      </c>
      <c r="C274" s="6">
        <v>0.39177852000000002</v>
      </c>
    </row>
    <row r="275" spans="1:3" x14ac:dyDescent="0.25">
      <c r="A275" s="6" t="s">
        <v>692</v>
      </c>
      <c r="B275" s="6">
        <v>4.2464795999999999E-2</v>
      </c>
      <c r="C275" s="6">
        <v>0.58433429299999995</v>
      </c>
    </row>
    <row r="276" spans="1:3" x14ac:dyDescent="0.25">
      <c r="A276" s="6" t="s">
        <v>160</v>
      </c>
      <c r="B276" s="6">
        <v>7.9871027999999997E-2</v>
      </c>
      <c r="C276" s="6">
        <v>0.338583358</v>
      </c>
    </row>
    <row r="277" spans="1:3" x14ac:dyDescent="0.25">
      <c r="A277" s="6" t="s">
        <v>666</v>
      </c>
      <c r="B277" s="6">
        <v>0.69149299600000003</v>
      </c>
      <c r="C277" s="6">
        <v>1.4877258529999999</v>
      </c>
    </row>
    <row r="278" spans="1:3" x14ac:dyDescent="0.25">
      <c r="A278" s="6" t="s">
        <v>200</v>
      </c>
      <c r="B278" s="6">
        <v>7.9421729999999996E-2</v>
      </c>
      <c r="C278" s="6">
        <v>4.2988859999999997E-2</v>
      </c>
    </row>
    <row r="279" spans="1:3" x14ac:dyDescent="0.25">
      <c r="A279" s="6" t="s">
        <v>336</v>
      </c>
      <c r="B279" s="6">
        <v>4.4408795000000001E-2</v>
      </c>
      <c r="C279" s="6">
        <v>3.5207519999999999E-2</v>
      </c>
    </row>
    <row r="280" spans="1:3" x14ac:dyDescent="0.25">
      <c r="A280" s="6" t="s">
        <v>614</v>
      </c>
      <c r="B280" s="6">
        <v>0.15981261499999999</v>
      </c>
      <c r="C280" s="6">
        <v>1.7963156280000001</v>
      </c>
    </row>
    <row r="281" spans="1:3" x14ac:dyDescent="0.25">
      <c r="A281" s="6" t="s">
        <v>102</v>
      </c>
      <c r="B281" s="6">
        <v>0.37976283500000002</v>
      </c>
      <c r="C281" s="6">
        <v>0.20754906100000001</v>
      </c>
    </row>
    <row r="282" spans="1:3" x14ac:dyDescent="0.25">
      <c r="A282" s="6" t="s">
        <v>392</v>
      </c>
      <c r="B282" s="6">
        <v>0.14482455499999999</v>
      </c>
      <c r="C282" s="6">
        <v>0.25070943600000001</v>
      </c>
    </row>
    <row r="283" spans="1:3" x14ac:dyDescent="0.25">
      <c r="A283" s="6" t="s">
        <v>915</v>
      </c>
      <c r="B283" s="6">
        <v>8.9715134000000002E-2</v>
      </c>
      <c r="C283" s="6">
        <v>1.843736909</v>
      </c>
    </row>
    <row r="284" spans="1:3" x14ac:dyDescent="0.25">
      <c r="A284" s="6" t="s">
        <v>519</v>
      </c>
      <c r="B284" s="6">
        <v>4.4154601000000002E-2</v>
      </c>
      <c r="C284" s="6">
        <v>0.47342403500000002</v>
      </c>
    </row>
    <row r="285" spans="1:3" x14ac:dyDescent="0.25">
      <c r="A285" s="6" t="s">
        <v>77</v>
      </c>
      <c r="B285" s="6">
        <v>8.6328715E-2</v>
      </c>
      <c r="C285" s="6">
        <v>0.28581331900000001</v>
      </c>
    </row>
    <row r="286" spans="1:3" x14ac:dyDescent="0.25">
      <c r="A286" s="6" t="s">
        <v>325</v>
      </c>
      <c r="B286" s="6">
        <v>0.12375228000000001</v>
      </c>
      <c r="C286" s="6">
        <v>0.92902731900000002</v>
      </c>
    </row>
    <row r="287" spans="1:3" x14ac:dyDescent="0.25">
      <c r="A287" s="6" t="s">
        <v>916</v>
      </c>
      <c r="B287" s="6">
        <v>0.66177556900000001</v>
      </c>
      <c r="C287" s="6">
        <v>0.83752815999999997</v>
      </c>
    </row>
    <row r="288" spans="1:3" x14ac:dyDescent="0.25">
      <c r="A288" s="6" t="s">
        <v>592</v>
      </c>
      <c r="B288" s="6">
        <v>5.8696679000000002E-2</v>
      </c>
      <c r="C288" s="6">
        <v>0.31819095800000002</v>
      </c>
    </row>
    <row r="289" spans="1:3" x14ac:dyDescent="0.25">
      <c r="A289" s="6" t="s">
        <v>429</v>
      </c>
      <c r="B289" s="6">
        <v>3.5308858999999998E-2</v>
      </c>
      <c r="C289" s="6">
        <v>0.467861784</v>
      </c>
    </row>
    <row r="290" spans="1:3" x14ac:dyDescent="0.25">
      <c r="A290" s="6" t="s">
        <v>78</v>
      </c>
      <c r="B290" s="6">
        <v>0.86794628699999998</v>
      </c>
      <c r="C290" s="6">
        <v>8.5621697799999996</v>
      </c>
    </row>
    <row r="291" spans="1:3" x14ac:dyDescent="0.25">
      <c r="A291" s="6" t="s">
        <v>468</v>
      </c>
      <c r="B291" s="6">
        <v>3.9822339999999998E-2</v>
      </c>
      <c r="C291" s="6">
        <v>0.55991198099999995</v>
      </c>
    </row>
    <row r="292" spans="1:3" x14ac:dyDescent="0.25">
      <c r="A292" s="6" t="s">
        <v>603</v>
      </c>
      <c r="B292" s="6">
        <v>3.1998528999999998E-2</v>
      </c>
      <c r="C292" s="6">
        <v>0.697832385</v>
      </c>
    </row>
    <row r="293" spans="1:3" x14ac:dyDescent="0.25">
      <c r="A293" s="6" t="s">
        <v>740</v>
      </c>
      <c r="B293" s="6">
        <v>5.5164211999999997E-2</v>
      </c>
      <c r="C293" s="6">
        <v>0.11120116200000001</v>
      </c>
    </row>
    <row r="294" spans="1:3" x14ac:dyDescent="0.25">
      <c r="A294" s="6" t="s">
        <v>362</v>
      </c>
      <c r="B294" s="6">
        <v>0.106769214</v>
      </c>
      <c r="C294" s="6">
        <v>0.162118651</v>
      </c>
    </row>
    <row r="295" spans="1:3" x14ac:dyDescent="0.25">
      <c r="A295" s="6" t="s">
        <v>38</v>
      </c>
      <c r="B295" s="6">
        <v>1.1361507449999999</v>
      </c>
      <c r="C295" s="6">
        <v>0.63810205200000003</v>
      </c>
    </row>
    <row r="296" spans="1:3" x14ac:dyDescent="0.25">
      <c r="A296" s="6" t="s">
        <v>182</v>
      </c>
      <c r="B296" s="6">
        <v>6.0476378999999997E-2</v>
      </c>
      <c r="C296" s="6">
        <v>0.35066309000000001</v>
      </c>
    </row>
    <row r="297" spans="1:3" x14ac:dyDescent="0.25">
      <c r="A297" s="6" t="s">
        <v>43</v>
      </c>
      <c r="B297" s="6">
        <v>0.11264114</v>
      </c>
      <c r="C297" s="6">
        <v>0.32331705799999999</v>
      </c>
    </row>
    <row r="298" spans="1:3" x14ac:dyDescent="0.25">
      <c r="A298" s="6" t="s">
        <v>696</v>
      </c>
      <c r="B298" s="6">
        <v>6.8442483999999998E-2</v>
      </c>
      <c r="C298" s="6">
        <v>0.17942954</v>
      </c>
    </row>
    <row r="299" spans="1:3" x14ac:dyDescent="0.25">
      <c r="A299" s="6" t="s">
        <v>638</v>
      </c>
      <c r="B299" s="6">
        <v>0.32435199100000001</v>
      </c>
      <c r="C299" s="6">
        <v>1.893551411</v>
      </c>
    </row>
    <row r="300" spans="1:3" x14ac:dyDescent="0.25">
      <c r="A300" s="6" t="s">
        <v>264</v>
      </c>
      <c r="B300" s="6">
        <v>1.9775949000000001E-2</v>
      </c>
      <c r="C300" s="6">
        <v>1.363779E-2</v>
      </c>
    </row>
    <row r="301" spans="1:3" x14ac:dyDescent="0.25">
      <c r="A301" s="6" t="s">
        <v>553</v>
      </c>
      <c r="B301" s="6">
        <v>0.121838593</v>
      </c>
      <c r="C301" s="6">
        <v>0.34261865800000002</v>
      </c>
    </row>
    <row r="302" spans="1:3" x14ac:dyDescent="0.25">
      <c r="A302" s="6" t="s">
        <v>398</v>
      </c>
      <c r="B302" s="6">
        <v>6.3937957000000004E-2</v>
      </c>
      <c r="C302" s="6">
        <v>0.50854574399999997</v>
      </c>
    </row>
    <row r="303" spans="1:3" x14ac:dyDescent="0.25">
      <c r="A303" s="6" t="s">
        <v>612</v>
      </c>
      <c r="B303" s="6">
        <v>3.5874175000000001E-2</v>
      </c>
      <c r="C303" s="6">
        <v>1.4931408349999999</v>
      </c>
    </row>
    <row r="304" spans="1:3" x14ac:dyDescent="0.25">
      <c r="A304" s="6" t="s">
        <v>244</v>
      </c>
      <c r="B304" s="6">
        <v>9.8950431000000005E-2</v>
      </c>
      <c r="C304" s="6">
        <v>0.54809137600000002</v>
      </c>
    </row>
    <row r="305" spans="1:3" x14ac:dyDescent="0.25">
      <c r="A305" s="6" t="s">
        <v>348</v>
      </c>
      <c r="B305" s="6">
        <v>0.86329399200000001</v>
      </c>
      <c r="C305" s="6">
        <v>1.351096804</v>
      </c>
    </row>
    <row r="306" spans="1:3" x14ac:dyDescent="0.25">
      <c r="A306" s="6" t="s">
        <v>496</v>
      </c>
      <c r="B306" s="6">
        <v>3.0710057999999998E-2</v>
      </c>
      <c r="C306" s="6">
        <v>0.211951521</v>
      </c>
    </row>
    <row r="307" spans="1:3" x14ac:dyDescent="0.25">
      <c r="A307" s="6" t="s">
        <v>241</v>
      </c>
      <c r="B307" s="6">
        <v>0.19603395400000001</v>
      </c>
      <c r="C307" s="6">
        <v>1.278994347</v>
      </c>
    </row>
    <row r="308" spans="1:3" x14ac:dyDescent="0.25">
      <c r="A308" s="6" t="s">
        <v>633</v>
      </c>
      <c r="B308" s="6">
        <v>2.8855316950000001</v>
      </c>
      <c r="C308" s="6">
        <v>7.528538427</v>
      </c>
    </row>
    <row r="309" spans="1:3" x14ac:dyDescent="0.25">
      <c r="A309" s="6" t="s">
        <v>369</v>
      </c>
      <c r="B309" s="6">
        <v>4.4326057000000002E-2</v>
      </c>
      <c r="C309" s="6">
        <v>0.51646055700000004</v>
      </c>
    </row>
    <row r="310" spans="1:3" x14ac:dyDescent="0.25">
      <c r="A310" s="6" t="s">
        <v>919</v>
      </c>
      <c r="B310" s="6">
        <v>5.8483436E-2</v>
      </c>
      <c r="C310" s="6">
        <v>0.40956368599999998</v>
      </c>
    </row>
    <row r="311" spans="1:3" x14ac:dyDescent="0.25">
      <c r="A311" s="6" t="s">
        <v>53</v>
      </c>
      <c r="B311" s="6">
        <v>2.8103684E-2</v>
      </c>
      <c r="C311" s="6">
        <v>0.21222038600000001</v>
      </c>
    </row>
    <row r="312" spans="1:3" x14ac:dyDescent="0.25">
      <c r="A312" s="6" t="s">
        <v>444</v>
      </c>
      <c r="B312" s="6">
        <v>0.176957266</v>
      </c>
      <c r="C312" s="6">
        <v>0.46602162699999999</v>
      </c>
    </row>
    <row r="313" spans="1:3" x14ac:dyDescent="0.25">
      <c r="A313" s="6" t="s">
        <v>920</v>
      </c>
      <c r="B313" s="6">
        <v>2.7319559E-2</v>
      </c>
      <c r="C313" s="6">
        <v>3.0766380999999999E-2</v>
      </c>
    </row>
    <row r="314" spans="1:3" x14ac:dyDescent="0.25">
      <c r="A314" s="6" t="s">
        <v>485</v>
      </c>
      <c r="B314" s="6">
        <v>3.0500718999999999E-2</v>
      </c>
      <c r="C314" s="6">
        <v>0.78483997999999999</v>
      </c>
    </row>
    <row r="315" spans="1:3" x14ac:dyDescent="0.25">
      <c r="A315" s="6" t="s">
        <v>295</v>
      </c>
      <c r="B315" s="6">
        <v>0.123920055</v>
      </c>
      <c r="C315" s="6">
        <v>0.83319350400000003</v>
      </c>
    </row>
    <row r="316" spans="1:3" x14ac:dyDescent="0.25">
      <c r="A316" s="6" t="s">
        <v>201</v>
      </c>
      <c r="B316" s="6">
        <v>9.5406680999999993E-2</v>
      </c>
      <c r="C316" s="6">
        <v>0.22160503200000001</v>
      </c>
    </row>
    <row r="317" spans="1:3" x14ac:dyDescent="0.25">
      <c r="A317" s="6" t="s">
        <v>595</v>
      </c>
      <c r="B317" s="6">
        <v>6.5605659999999996E-2</v>
      </c>
      <c r="C317" s="6">
        <v>0.13322856399999999</v>
      </c>
    </row>
    <row r="318" spans="1:3" x14ac:dyDescent="0.25">
      <c r="A318" s="6" t="s">
        <v>391</v>
      </c>
      <c r="B318" s="6">
        <v>9.4735233000000002E-2</v>
      </c>
      <c r="C318" s="6">
        <v>8.3561873999999994E-2</v>
      </c>
    </row>
    <row r="319" spans="1:3" x14ac:dyDescent="0.25">
      <c r="A319" s="6" t="s">
        <v>488</v>
      </c>
      <c r="B319" s="6">
        <v>0.16220528400000001</v>
      </c>
      <c r="C319" s="6">
        <v>0.74920569699999995</v>
      </c>
    </row>
    <row r="320" spans="1:3" x14ac:dyDescent="0.25">
      <c r="A320" s="6" t="s">
        <v>565</v>
      </c>
      <c r="B320" s="6">
        <v>0.121975603</v>
      </c>
      <c r="C320" s="6">
        <v>0.122965306</v>
      </c>
    </row>
    <row r="321" spans="1:3" x14ac:dyDescent="0.25">
      <c r="A321" s="6" t="s">
        <v>412</v>
      </c>
      <c r="B321" s="6">
        <v>4.6684837999999999E-2</v>
      </c>
      <c r="C321" s="6">
        <v>0.158571558</v>
      </c>
    </row>
    <row r="322" spans="1:3" x14ac:dyDescent="0.25">
      <c r="A322" s="6" t="s">
        <v>349</v>
      </c>
      <c r="B322" s="6">
        <v>2.3509954E-2</v>
      </c>
      <c r="C322" s="6">
        <v>0.44284679100000002</v>
      </c>
    </row>
    <row r="323" spans="1:3" x14ac:dyDescent="0.25">
      <c r="A323" s="6" t="s">
        <v>480</v>
      </c>
      <c r="B323" s="6">
        <v>2.5126036000000001E-2</v>
      </c>
      <c r="C323" s="6">
        <v>0.164896825</v>
      </c>
    </row>
    <row r="324" spans="1:3" x14ac:dyDescent="0.25">
      <c r="A324" s="6" t="s">
        <v>474</v>
      </c>
      <c r="B324" s="6">
        <v>0.201373206</v>
      </c>
      <c r="C324" s="6">
        <v>0.30179901100000001</v>
      </c>
    </row>
    <row r="325" spans="1:3" x14ac:dyDescent="0.25">
      <c r="A325" s="6" t="s">
        <v>31</v>
      </c>
      <c r="B325" s="6">
        <v>5.7301835000000002E-2</v>
      </c>
      <c r="C325" s="6">
        <v>0.24116811799999999</v>
      </c>
    </row>
    <row r="326" spans="1:3" x14ac:dyDescent="0.25">
      <c r="A326" s="6" t="s">
        <v>386</v>
      </c>
      <c r="B326" s="6">
        <v>0.54262918000000004</v>
      </c>
      <c r="C326" s="6">
        <v>1.251150671</v>
      </c>
    </row>
    <row r="327" spans="1:3" x14ac:dyDescent="0.25">
      <c r="A327" s="6" t="s">
        <v>122</v>
      </c>
      <c r="B327" s="6">
        <v>6.3613032999999999E-2</v>
      </c>
      <c r="C327" s="6">
        <v>9.4518234000000007E-2</v>
      </c>
    </row>
    <row r="328" spans="1:3" x14ac:dyDescent="0.25">
      <c r="A328" s="6" t="s">
        <v>230</v>
      </c>
      <c r="B328" s="6">
        <v>0.78366719299999998</v>
      </c>
      <c r="C328" s="6">
        <v>2.1213690559999998</v>
      </c>
    </row>
    <row r="329" spans="1:3" x14ac:dyDescent="0.25">
      <c r="A329" s="6" t="s">
        <v>448</v>
      </c>
      <c r="B329" s="6">
        <v>0.320939959</v>
      </c>
      <c r="C329" s="6">
        <v>7.1421048000000001E-2</v>
      </c>
    </row>
    <row r="330" spans="1:3" x14ac:dyDescent="0.25">
      <c r="A330" s="6" t="s">
        <v>305</v>
      </c>
      <c r="B330" s="6">
        <v>0.12294999600000001</v>
      </c>
      <c r="C330" s="6">
        <v>0.90066211500000004</v>
      </c>
    </row>
    <row r="331" spans="1:3" x14ac:dyDescent="0.25">
      <c r="A331" s="6" t="s">
        <v>583</v>
      </c>
      <c r="B331" s="6">
        <v>1.1549305919999999</v>
      </c>
      <c r="C331" s="6">
        <v>0.16028161099999999</v>
      </c>
    </row>
    <row r="332" spans="1:3" x14ac:dyDescent="0.25">
      <c r="A332" s="6" t="s">
        <v>505</v>
      </c>
      <c r="B332" s="6">
        <v>7.8757841999999995E-2</v>
      </c>
      <c r="C332" s="6">
        <v>0.664838084</v>
      </c>
    </row>
    <row r="333" spans="1:3" x14ac:dyDescent="0.25">
      <c r="A333" s="6" t="s">
        <v>95</v>
      </c>
      <c r="B333" s="6">
        <v>6.4632980000000007E-2</v>
      </c>
      <c r="C333" s="6">
        <v>0.23390946700000001</v>
      </c>
    </row>
    <row r="334" spans="1:3" x14ac:dyDescent="0.25">
      <c r="A334" s="6" t="s">
        <v>563</v>
      </c>
      <c r="B334" s="6">
        <v>0.50373338000000001</v>
      </c>
      <c r="C334" s="6">
        <v>0.14828522199999999</v>
      </c>
    </row>
    <row r="335" spans="1:3" x14ac:dyDescent="0.25">
      <c r="A335" s="6" t="s">
        <v>146</v>
      </c>
      <c r="B335" s="6">
        <v>0.13088487900000001</v>
      </c>
      <c r="C335" s="6">
        <v>0.16457138499999999</v>
      </c>
    </row>
    <row r="336" spans="1:3" x14ac:dyDescent="0.25">
      <c r="A336" s="6" t="s">
        <v>402</v>
      </c>
      <c r="B336" s="6">
        <v>3.3791640999999997E-2</v>
      </c>
      <c r="C336" s="6">
        <v>4.1404692E-2</v>
      </c>
    </row>
    <row r="337" spans="1:3" x14ac:dyDescent="0.25">
      <c r="A337" s="6" t="s">
        <v>921</v>
      </c>
      <c r="B337" s="6">
        <v>0.36618264700000003</v>
      </c>
      <c r="C337" s="6">
        <v>0.63444036400000003</v>
      </c>
    </row>
    <row r="338" spans="1:3" x14ac:dyDescent="0.25">
      <c r="A338" s="6" t="s">
        <v>105</v>
      </c>
      <c r="B338" s="6">
        <v>2.0898020999999999E-2</v>
      </c>
      <c r="C338" s="6">
        <v>0.91751172999999997</v>
      </c>
    </row>
    <row r="339" spans="1:3" x14ac:dyDescent="0.25">
      <c r="A339" s="6" t="s">
        <v>709</v>
      </c>
      <c r="B339" s="6">
        <v>0.75810910600000003</v>
      </c>
      <c r="C339" s="6">
        <v>1.1723350770000001</v>
      </c>
    </row>
    <row r="340" spans="1:3" x14ac:dyDescent="0.25">
      <c r="A340" s="6" t="s">
        <v>242</v>
      </c>
      <c r="B340" s="6">
        <v>2.6410848000000001E-2</v>
      </c>
      <c r="C340" s="6">
        <v>0.244144101</v>
      </c>
    </row>
    <row r="341" spans="1:3" x14ac:dyDescent="0.25">
      <c r="A341" s="6" t="s">
        <v>425</v>
      </c>
      <c r="B341" s="6">
        <v>2.4660633000000001E-2</v>
      </c>
      <c r="C341" s="6">
        <v>3.1669991000000002E-2</v>
      </c>
    </row>
    <row r="342" spans="1:3" x14ac:dyDescent="0.25">
      <c r="A342" s="6" t="s">
        <v>176</v>
      </c>
      <c r="B342" s="6">
        <v>0.14069960500000001</v>
      </c>
      <c r="C342" s="6">
        <v>2.5860187999999999E-2</v>
      </c>
    </row>
    <row r="343" spans="1:3" x14ac:dyDescent="0.25">
      <c r="A343" s="6" t="s">
        <v>922</v>
      </c>
      <c r="B343" s="6">
        <v>0.29482541099999998</v>
      </c>
      <c r="C343" s="6">
        <v>6.2564058390000001</v>
      </c>
    </row>
    <row r="344" spans="1:3" x14ac:dyDescent="0.25">
      <c r="A344" s="6" t="s">
        <v>923</v>
      </c>
      <c r="B344" s="6">
        <v>0.54566928599999998</v>
      </c>
      <c r="C344" s="6">
        <v>0.27326320100000001</v>
      </c>
    </row>
    <row r="345" spans="1:3" x14ac:dyDescent="0.25">
      <c r="A345" s="6" t="s">
        <v>924</v>
      </c>
      <c r="B345" s="6">
        <v>2.5248652E-2</v>
      </c>
      <c r="C345" s="6">
        <v>8.1822918999999994E-2</v>
      </c>
    </row>
    <row r="346" spans="1:3" x14ac:dyDescent="0.25">
      <c r="A346" s="6" t="s">
        <v>124</v>
      </c>
      <c r="B346" s="6">
        <v>0.12727348499999999</v>
      </c>
      <c r="C346" s="6">
        <v>2.5381536999999999E-2</v>
      </c>
    </row>
    <row r="347" spans="1:3" x14ac:dyDescent="0.25">
      <c r="A347" s="6" t="s">
        <v>712</v>
      </c>
      <c r="B347" s="6">
        <v>0.22308454599999999</v>
      </c>
      <c r="C347" s="6">
        <v>4.5854948E-2</v>
      </c>
    </row>
    <row r="348" spans="1:3" x14ac:dyDescent="0.25">
      <c r="A348" s="6" t="s">
        <v>366</v>
      </c>
      <c r="B348" s="6">
        <v>0.10132864900000001</v>
      </c>
      <c r="C348" s="6">
        <v>1.4551595879999999</v>
      </c>
    </row>
    <row r="349" spans="1:3" x14ac:dyDescent="0.25">
      <c r="A349" s="6" t="s">
        <v>925</v>
      </c>
      <c r="B349" s="6">
        <v>1.7298698000000001E-2</v>
      </c>
      <c r="C349" s="6">
        <v>2.4945620000000002E-2</v>
      </c>
    </row>
    <row r="350" spans="1:3" x14ac:dyDescent="0.25">
      <c r="A350" s="6" t="s">
        <v>467</v>
      </c>
      <c r="B350" s="6">
        <v>3.7247289000000003E-2</v>
      </c>
      <c r="C350" s="6">
        <v>0.80864775499999997</v>
      </c>
    </row>
    <row r="351" spans="1:3" x14ac:dyDescent="0.25">
      <c r="A351" s="6" t="s">
        <v>300</v>
      </c>
      <c r="B351" s="6">
        <v>3.2361253E-2</v>
      </c>
      <c r="C351" s="6">
        <v>1.5629618000000001E-2</v>
      </c>
    </row>
    <row r="352" spans="1:3" x14ac:dyDescent="0.25">
      <c r="A352" s="6" t="s">
        <v>165</v>
      </c>
      <c r="B352" s="6">
        <v>0.47241051099999998</v>
      </c>
      <c r="C352" s="6">
        <v>8.7113669999999994E-3</v>
      </c>
    </row>
    <row r="353" spans="1:3" x14ac:dyDescent="0.25">
      <c r="A353" s="6" t="s">
        <v>327</v>
      </c>
      <c r="B353" s="6">
        <v>0.45755159200000001</v>
      </c>
      <c r="C353" s="6">
        <v>0.137960521</v>
      </c>
    </row>
    <row r="354" spans="1:3" x14ac:dyDescent="0.25">
      <c r="A354" s="6" t="s">
        <v>464</v>
      </c>
      <c r="B354" s="6">
        <v>0.13666993699999999</v>
      </c>
      <c r="C354" s="6">
        <v>1.418283231</v>
      </c>
    </row>
    <row r="355" spans="1:3" x14ac:dyDescent="0.25">
      <c r="A355" s="6" t="s">
        <v>310</v>
      </c>
      <c r="B355" s="6">
        <v>9.9067822999999999E-2</v>
      </c>
      <c r="C355" s="6">
        <v>0.20445023600000001</v>
      </c>
    </row>
    <row r="356" spans="1:3" x14ac:dyDescent="0.25">
      <c r="A356" s="6" t="s">
        <v>498</v>
      </c>
      <c r="B356" s="6">
        <v>5.0800114E-2</v>
      </c>
      <c r="C356" s="6">
        <v>0.18598273100000001</v>
      </c>
    </row>
    <row r="357" spans="1:3" x14ac:dyDescent="0.25">
      <c r="A357" s="6" t="s">
        <v>673</v>
      </c>
      <c r="B357" s="6">
        <v>5.6326429999999997E-2</v>
      </c>
      <c r="C357" s="6">
        <v>0.22666842700000001</v>
      </c>
    </row>
    <row r="358" spans="1:3" x14ac:dyDescent="0.25">
      <c r="A358" s="6" t="s">
        <v>644</v>
      </c>
      <c r="B358" s="6">
        <v>1.6362390000000001E-2</v>
      </c>
      <c r="C358" s="6">
        <v>0.264478353</v>
      </c>
    </row>
    <row r="359" spans="1:3" x14ac:dyDescent="0.25">
      <c r="A359" s="6" t="s">
        <v>597</v>
      </c>
      <c r="B359" s="6">
        <v>3.4392577000000001E-2</v>
      </c>
      <c r="C359" s="6">
        <v>0.84664729999999999</v>
      </c>
    </row>
    <row r="360" spans="1:3" x14ac:dyDescent="0.25">
      <c r="A360" s="6" t="s">
        <v>685</v>
      </c>
      <c r="B360" s="6">
        <v>9.2659157000000006E-2</v>
      </c>
      <c r="C360" s="6">
        <v>0.13325155499999999</v>
      </c>
    </row>
    <row r="361" spans="1:3" x14ac:dyDescent="0.25">
      <c r="A361" s="6" t="s">
        <v>729</v>
      </c>
      <c r="B361" s="6">
        <v>7.6194433000000006E-2</v>
      </c>
      <c r="C361" s="6">
        <v>0.78273738100000001</v>
      </c>
    </row>
    <row r="362" spans="1:3" x14ac:dyDescent="0.25">
      <c r="A362" s="6" t="s">
        <v>23</v>
      </c>
      <c r="B362" s="6">
        <v>7.4087001E-2</v>
      </c>
      <c r="C362" s="6">
        <v>2.3685677620000001</v>
      </c>
    </row>
    <row r="363" spans="1:3" x14ac:dyDescent="0.25">
      <c r="A363" s="6" t="s">
        <v>490</v>
      </c>
      <c r="B363" s="6">
        <v>0.100468259</v>
      </c>
      <c r="C363" s="6">
        <v>2.6926400000000001E-3</v>
      </c>
    </row>
    <row r="364" spans="1:3" x14ac:dyDescent="0.25">
      <c r="A364" s="6" t="s">
        <v>650</v>
      </c>
      <c r="B364" s="6">
        <v>0.47345826400000002</v>
      </c>
      <c r="C364" s="6">
        <v>0.392157125</v>
      </c>
    </row>
    <row r="365" spans="1:3" x14ac:dyDescent="0.25">
      <c r="A365" s="6" t="s">
        <v>509</v>
      </c>
      <c r="B365" s="6">
        <v>6.7990281E-2</v>
      </c>
      <c r="C365" s="6">
        <v>0.43074631600000002</v>
      </c>
    </row>
    <row r="366" spans="1:3" x14ac:dyDescent="0.25">
      <c r="A366" s="6" t="s">
        <v>161</v>
      </c>
      <c r="B366" s="6">
        <v>8.3819292000000004E-2</v>
      </c>
      <c r="C366" s="6">
        <v>0.187407243</v>
      </c>
    </row>
    <row r="367" spans="1:3" x14ac:dyDescent="0.25">
      <c r="A367" s="6" t="s">
        <v>552</v>
      </c>
      <c r="B367" s="6">
        <v>9.5814834000000002E-2</v>
      </c>
      <c r="C367" s="6">
        <v>3.5734587999999998E-2</v>
      </c>
    </row>
    <row r="368" spans="1:3" x14ac:dyDescent="0.25">
      <c r="A368" s="6" t="s">
        <v>528</v>
      </c>
      <c r="B368" s="6">
        <v>6.9300009999999995E-2</v>
      </c>
      <c r="C368" s="6">
        <v>0.67826983799999996</v>
      </c>
    </row>
    <row r="369" spans="1:3" x14ac:dyDescent="0.25">
      <c r="A369" s="6" t="s">
        <v>394</v>
      </c>
      <c r="B369" s="6">
        <v>0.186053633</v>
      </c>
      <c r="C369" s="6">
        <v>1.2729693710000001</v>
      </c>
    </row>
    <row r="370" spans="1:3" x14ac:dyDescent="0.25">
      <c r="A370" s="6" t="s">
        <v>442</v>
      </c>
      <c r="B370" s="6">
        <v>0.36281302500000001</v>
      </c>
      <c r="C370" s="6">
        <v>0.10931038999999999</v>
      </c>
    </row>
    <row r="371" spans="1:3" x14ac:dyDescent="0.25">
      <c r="A371" s="6" t="s">
        <v>24</v>
      </c>
      <c r="B371" s="6">
        <v>1.6889841999999999E-2</v>
      </c>
      <c r="C371" s="6">
        <v>4.7516654999999998E-2</v>
      </c>
    </row>
    <row r="372" spans="1:3" x14ac:dyDescent="0.25">
      <c r="A372" s="6" t="s">
        <v>439</v>
      </c>
      <c r="B372" s="6">
        <v>5.5806662E-2</v>
      </c>
      <c r="C372" s="6">
        <v>1.345930356</v>
      </c>
    </row>
    <row r="373" spans="1:3" x14ac:dyDescent="0.25">
      <c r="A373" s="6" t="s">
        <v>541</v>
      </c>
      <c r="B373" s="6">
        <v>0.11526367699999999</v>
      </c>
      <c r="C373" s="6">
        <v>0.28309639800000003</v>
      </c>
    </row>
    <row r="374" spans="1:3" x14ac:dyDescent="0.25">
      <c r="A374" s="6" t="s">
        <v>607</v>
      </c>
      <c r="B374" s="6">
        <v>0.28697848399999998</v>
      </c>
      <c r="C374" s="6">
        <v>0.42608266900000002</v>
      </c>
    </row>
    <row r="375" spans="1:3" x14ac:dyDescent="0.25">
      <c r="A375" s="6" t="s">
        <v>204</v>
      </c>
      <c r="B375" s="6">
        <v>6.7998588999999998E-2</v>
      </c>
      <c r="C375" s="6">
        <v>0.81860762300000001</v>
      </c>
    </row>
    <row r="376" spans="1:3" x14ac:dyDescent="0.25">
      <c r="A376" s="6" t="s">
        <v>236</v>
      </c>
      <c r="B376" s="6">
        <v>3.2498216000000003E-2</v>
      </c>
      <c r="C376" s="6">
        <v>0.27364217899999999</v>
      </c>
    </row>
    <row r="377" spans="1:3" x14ac:dyDescent="0.25">
      <c r="A377" s="6" t="s">
        <v>927</v>
      </c>
      <c r="B377" s="6">
        <v>0.39928858</v>
      </c>
      <c r="C377" s="6">
        <v>0.29107379100000003</v>
      </c>
    </row>
    <row r="378" spans="1:3" x14ac:dyDescent="0.25">
      <c r="A378" s="6" t="s">
        <v>133</v>
      </c>
      <c r="B378" s="6">
        <v>0.129531848</v>
      </c>
      <c r="C378" s="6">
        <v>0.42563700700000001</v>
      </c>
    </row>
    <row r="379" spans="1:3" x14ac:dyDescent="0.25">
      <c r="A379" s="6" t="s">
        <v>928</v>
      </c>
      <c r="B379" s="6">
        <v>0.77623936199999999</v>
      </c>
      <c r="C379" s="6">
        <v>9.6465967E-2</v>
      </c>
    </row>
    <row r="380" spans="1:3" x14ac:dyDescent="0.25">
      <c r="A380" s="6" t="s">
        <v>66</v>
      </c>
      <c r="B380" s="6">
        <v>4.7536428999999998E-2</v>
      </c>
      <c r="C380" s="6">
        <v>0.19903344000000001</v>
      </c>
    </row>
    <row r="381" spans="1:3" x14ac:dyDescent="0.25">
      <c r="A381" s="6" t="s">
        <v>3</v>
      </c>
      <c r="B381" s="6">
        <v>7.3582986000000003E-2</v>
      </c>
      <c r="C381" s="6">
        <v>1.1661663419999999</v>
      </c>
    </row>
    <row r="382" spans="1:3" x14ac:dyDescent="0.25">
      <c r="A382" s="6" t="s">
        <v>564</v>
      </c>
      <c r="B382" s="6">
        <v>6.7946559000000004E-2</v>
      </c>
      <c r="C382" s="6">
        <v>4.4405549000000002E-2</v>
      </c>
    </row>
    <row r="383" spans="1:3" x14ac:dyDescent="0.25">
      <c r="A383" s="6" t="s">
        <v>430</v>
      </c>
      <c r="B383" s="6">
        <v>2.3823838E-2</v>
      </c>
      <c r="C383" s="6">
        <v>0.15182509899999999</v>
      </c>
    </row>
    <row r="384" spans="1:3" x14ac:dyDescent="0.25">
      <c r="A384" s="6" t="s">
        <v>159</v>
      </c>
      <c r="B384" s="6">
        <v>3.6763391999999999E-2</v>
      </c>
      <c r="C384" s="6">
        <v>1.080743276</v>
      </c>
    </row>
    <row r="385" spans="1:3" x14ac:dyDescent="0.25">
      <c r="A385" s="6" t="s">
        <v>405</v>
      </c>
      <c r="B385" s="6">
        <v>0.138109859</v>
      </c>
      <c r="C385" s="6">
        <v>0.21925180599999999</v>
      </c>
    </row>
    <row r="386" spans="1:3" x14ac:dyDescent="0.25">
      <c r="A386" s="6" t="s">
        <v>929</v>
      </c>
      <c r="B386" s="6">
        <v>0.130677659</v>
      </c>
      <c r="C386" s="6">
        <v>0.83550323199999998</v>
      </c>
    </row>
    <row r="387" spans="1:3" x14ac:dyDescent="0.25">
      <c r="A387" s="6" t="s">
        <v>277</v>
      </c>
      <c r="B387" s="6">
        <v>6.1616984E-2</v>
      </c>
      <c r="C387" s="6">
        <v>0.59871383499999997</v>
      </c>
    </row>
    <row r="388" spans="1:3" x14ac:dyDescent="0.25">
      <c r="A388" s="6" t="s">
        <v>278</v>
      </c>
      <c r="B388" s="6">
        <v>0.20116024199999999</v>
      </c>
      <c r="C388" s="6">
        <v>0.35322995699999998</v>
      </c>
    </row>
    <row r="389" spans="1:3" x14ac:dyDescent="0.25">
      <c r="A389" s="6" t="s">
        <v>930</v>
      </c>
      <c r="B389" s="6">
        <v>0.33853096399999999</v>
      </c>
      <c r="C389" s="6">
        <v>1.6370344109999999</v>
      </c>
    </row>
    <row r="390" spans="1:3" x14ac:dyDescent="0.25">
      <c r="A390" s="6" t="s">
        <v>421</v>
      </c>
      <c r="B390" s="6">
        <v>0.128923433</v>
      </c>
      <c r="C390" s="6">
        <v>2.390277121</v>
      </c>
    </row>
    <row r="391" spans="1:3" x14ac:dyDescent="0.25">
      <c r="A391" s="6" t="s">
        <v>331</v>
      </c>
      <c r="B391" s="6">
        <v>3.4156379000000001E-2</v>
      </c>
      <c r="C391" s="6">
        <v>0.15272126599999999</v>
      </c>
    </row>
    <row r="392" spans="1:3" x14ac:dyDescent="0.25">
      <c r="A392" s="6" t="s">
        <v>619</v>
      </c>
      <c r="B392" s="6">
        <v>5.8524336000000003E-2</v>
      </c>
      <c r="C392" s="6">
        <v>0.45422261200000003</v>
      </c>
    </row>
    <row r="393" spans="1:3" x14ac:dyDescent="0.25">
      <c r="A393" s="6" t="s">
        <v>142</v>
      </c>
      <c r="B393" s="6">
        <v>7.4373907000000003E-2</v>
      </c>
      <c r="C393" s="6">
        <v>0.64771579300000004</v>
      </c>
    </row>
    <row r="394" spans="1:3" x14ac:dyDescent="0.25">
      <c r="A394" s="6" t="s">
        <v>93</v>
      </c>
      <c r="B394" s="6">
        <v>4.9290164999999997E-2</v>
      </c>
      <c r="C394" s="6">
        <v>0.147317798</v>
      </c>
    </row>
    <row r="395" spans="1:3" x14ac:dyDescent="0.25">
      <c r="A395" s="6" t="s">
        <v>219</v>
      </c>
      <c r="B395" s="6">
        <v>0.20810933600000001</v>
      </c>
      <c r="C395" s="6">
        <v>3.0738147210000002</v>
      </c>
    </row>
    <row r="396" spans="1:3" x14ac:dyDescent="0.25">
      <c r="A396" s="6" t="s">
        <v>435</v>
      </c>
      <c r="B396" s="6">
        <v>0.11390244099999999</v>
      </c>
      <c r="C396" s="6">
        <v>0.477421963</v>
      </c>
    </row>
    <row r="397" spans="1:3" x14ac:dyDescent="0.25">
      <c r="A397" s="6" t="s">
        <v>156</v>
      </c>
      <c r="B397" s="6">
        <v>0.102654469</v>
      </c>
      <c r="C397" s="6">
        <v>0.56909915</v>
      </c>
    </row>
    <row r="398" spans="1:3" x14ac:dyDescent="0.25">
      <c r="A398" s="6" t="s">
        <v>551</v>
      </c>
      <c r="B398" s="6">
        <v>0.23031132300000001</v>
      </c>
      <c r="C398" s="6">
        <v>0.64622962799999994</v>
      </c>
    </row>
    <row r="399" spans="1:3" x14ac:dyDescent="0.25">
      <c r="A399" s="6" t="s">
        <v>170</v>
      </c>
      <c r="B399" s="6">
        <v>9.9442177000000007E-2</v>
      </c>
      <c r="C399" s="6">
        <v>0.74971887000000004</v>
      </c>
    </row>
    <row r="400" spans="1:3" x14ac:dyDescent="0.25">
      <c r="A400" s="6" t="s">
        <v>691</v>
      </c>
      <c r="B400" s="6">
        <v>5.1449788000000003E-2</v>
      </c>
      <c r="C400" s="6">
        <v>0.52794746100000001</v>
      </c>
    </row>
    <row r="401" spans="1:3" x14ac:dyDescent="0.25">
      <c r="A401" s="6" t="s">
        <v>675</v>
      </c>
      <c r="B401" s="6">
        <v>7.7845126000000001E-2</v>
      </c>
      <c r="C401" s="6">
        <v>0.20128151999999999</v>
      </c>
    </row>
    <row r="402" spans="1:3" x14ac:dyDescent="0.25">
      <c r="A402" s="6" t="s">
        <v>437</v>
      </c>
      <c r="B402" s="6">
        <v>9.4081514000000005E-2</v>
      </c>
      <c r="C402" s="6">
        <v>0.37105178100000002</v>
      </c>
    </row>
    <row r="403" spans="1:3" x14ac:dyDescent="0.25">
      <c r="A403" s="6" t="s">
        <v>625</v>
      </c>
      <c r="B403" s="6">
        <v>6.7844556E-2</v>
      </c>
      <c r="C403" s="6">
        <v>0.57813239400000005</v>
      </c>
    </row>
    <row r="404" spans="1:3" x14ac:dyDescent="0.25">
      <c r="A404" s="6" t="s">
        <v>134</v>
      </c>
      <c r="B404" s="6">
        <v>0.14616199999999999</v>
      </c>
      <c r="C404" s="6">
        <v>1.6598145419999999</v>
      </c>
    </row>
    <row r="405" spans="1:3" x14ac:dyDescent="0.25">
      <c r="A405" s="6" t="s">
        <v>282</v>
      </c>
      <c r="B405" s="6">
        <v>0.79820920799999995</v>
      </c>
      <c r="C405" s="6">
        <v>7.3599980819999997</v>
      </c>
    </row>
    <row r="406" spans="1:3" x14ac:dyDescent="0.25">
      <c r="A406" s="6" t="s">
        <v>931</v>
      </c>
      <c r="B406" s="6">
        <v>0.13229193</v>
      </c>
      <c r="C406" s="6">
        <v>1.2698952020000001</v>
      </c>
    </row>
    <row r="407" spans="1:3" x14ac:dyDescent="0.25">
      <c r="A407" s="6" t="s">
        <v>932</v>
      </c>
      <c r="B407" s="6">
        <v>9.1036895000000007E-2</v>
      </c>
      <c r="C407" s="6">
        <v>1.0766289229999999</v>
      </c>
    </row>
    <row r="408" spans="1:3" x14ac:dyDescent="0.25">
      <c r="A408" s="6" t="s">
        <v>642</v>
      </c>
      <c r="B408" s="6">
        <v>5.5494304000000001E-2</v>
      </c>
      <c r="C408" s="6">
        <v>0.19466013400000001</v>
      </c>
    </row>
    <row r="409" spans="1:3" x14ac:dyDescent="0.25">
      <c r="A409" s="6" t="s">
        <v>469</v>
      </c>
      <c r="B409" s="6">
        <v>0.28578182600000002</v>
      </c>
      <c r="C409" s="6">
        <v>0.478576169</v>
      </c>
    </row>
    <row r="410" spans="1:3" x14ac:dyDescent="0.25">
      <c r="A410" s="6" t="s">
        <v>399</v>
      </c>
      <c r="B410" s="6">
        <v>4.1227844999999999E-2</v>
      </c>
      <c r="C410" s="6">
        <v>0.480722602</v>
      </c>
    </row>
    <row r="411" spans="1:3" x14ac:dyDescent="0.25">
      <c r="A411" s="6" t="s">
        <v>64</v>
      </c>
      <c r="B411" s="6">
        <v>0.106454874</v>
      </c>
      <c r="C411" s="6">
        <v>4.0923718899999999</v>
      </c>
    </row>
    <row r="412" spans="1:3" x14ac:dyDescent="0.25">
      <c r="A412" s="6" t="s">
        <v>116</v>
      </c>
      <c r="B412" s="6">
        <v>8.9393010999999994E-2</v>
      </c>
      <c r="C412" s="6">
        <v>1.903115393</v>
      </c>
    </row>
    <row r="413" spans="1:3" x14ac:dyDescent="0.25">
      <c r="A413" s="6" t="s">
        <v>427</v>
      </c>
      <c r="B413" s="6">
        <v>5.0683503999999997E-2</v>
      </c>
      <c r="C413" s="6">
        <v>0.26945338899999999</v>
      </c>
    </row>
    <row r="414" spans="1:3" x14ac:dyDescent="0.25">
      <c r="A414" s="6" t="s">
        <v>933</v>
      </c>
      <c r="B414" s="6">
        <v>0.394382917</v>
      </c>
      <c r="C414" s="6">
        <v>0.23918908699999999</v>
      </c>
    </row>
    <row r="415" spans="1:3" x14ac:dyDescent="0.25">
      <c r="A415" s="6" t="s">
        <v>280</v>
      </c>
      <c r="B415" s="6">
        <v>0.33905545500000001</v>
      </c>
      <c r="C415" s="6">
        <v>3.6066486969999998</v>
      </c>
    </row>
    <row r="416" spans="1:3" x14ac:dyDescent="0.25">
      <c r="A416" s="6" t="s">
        <v>561</v>
      </c>
      <c r="B416" s="6">
        <v>0.13090805699999999</v>
      </c>
      <c r="C416" s="6">
        <v>1.151439238</v>
      </c>
    </row>
    <row r="417" spans="1:3" x14ac:dyDescent="0.25">
      <c r="A417" s="6" t="s">
        <v>140</v>
      </c>
      <c r="B417" s="6">
        <v>8.0962640000000002E-2</v>
      </c>
      <c r="C417" s="6">
        <v>0.30047252800000002</v>
      </c>
    </row>
    <row r="418" spans="1:3" x14ac:dyDescent="0.25">
      <c r="A418" s="6" t="s">
        <v>648</v>
      </c>
      <c r="B418" s="6">
        <v>0.12628608599999999</v>
      </c>
      <c r="C418" s="6">
        <v>0.26343583100000001</v>
      </c>
    </row>
    <row r="419" spans="1:3" x14ac:dyDescent="0.25">
      <c r="A419" s="6" t="s">
        <v>521</v>
      </c>
      <c r="B419" s="6">
        <v>6.7688525999999999E-2</v>
      </c>
      <c r="C419" s="6">
        <v>0.90792073500000003</v>
      </c>
    </row>
    <row r="420" spans="1:3" x14ac:dyDescent="0.25">
      <c r="A420" s="6" t="s">
        <v>114</v>
      </c>
      <c r="B420" s="6">
        <v>0.23459643099999999</v>
      </c>
      <c r="C420" s="6">
        <v>0.88978391899999998</v>
      </c>
    </row>
    <row r="421" spans="1:3" x14ac:dyDescent="0.25">
      <c r="A421" s="6" t="s">
        <v>213</v>
      </c>
      <c r="B421" s="6">
        <v>7.0009741E-2</v>
      </c>
      <c r="C421" s="6">
        <v>0.53199318100000004</v>
      </c>
    </row>
    <row r="422" spans="1:3" x14ac:dyDescent="0.25">
      <c r="A422" s="6" t="s">
        <v>652</v>
      </c>
      <c r="B422" s="6">
        <v>0.102473361</v>
      </c>
      <c r="C422" s="6">
        <v>0.38674779399999998</v>
      </c>
    </row>
    <row r="423" spans="1:3" x14ac:dyDescent="0.25">
      <c r="A423" s="6" t="s">
        <v>136</v>
      </c>
      <c r="B423" s="6">
        <v>0.194014353</v>
      </c>
      <c r="C423" s="6">
        <v>3.6170465999999998E-2</v>
      </c>
    </row>
    <row r="424" spans="1:3" x14ac:dyDescent="0.25">
      <c r="A424" s="6" t="s">
        <v>665</v>
      </c>
      <c r="B424" s="6">
        <v>5.3608162000000001E-2</v>
      </c>
      <c r="C424" s="6">
        <v>0.35772086600000003</v>
      </c>
    </row>
    <row r="425" spans="1:3" x14ac:dyDescent="0.25">
      <c r="A425" s="6" t="s">
        <v>328</v>
      </c>
      <c r="B425" s="6">
        <v>1.1088540339999999</v>
      </c>
      <c r="C425" s="6">
        <v>3.3312533800000002</v>
      </c>
    </row>
    <row r="426" spans="1:3" x14ac:dyDescent="0.25">
      <c r="A426" s="6" t="s">
        <v>293</v>
      </c>
      <c r="B426" s="6">
        <v>2.6330547999999999E-2</v>
      </c>
      <c r="C426" s="6">
        <v>9.3185792000000003E-2</v>
      </c>
    </row>
    <row r="427" spans="1:3" x14ac:dyDescent="0.25">
      <c r="A427" s="6" t="s">
        <v>193</v>
      </c>
      <c r="B427" s="6">
        <v>7.7125457999999994E-2</v>
      </c>
      <c r="C427" s="6">
        <v>1.851846265</v>
      </c>
    </row>
    <row r="428" spans="1:3" x14ac:dyDescent="0.25">
      <c r="A428" s="6" t="s">
        <v>510</v>
      </c>
      <c r="B428" s="6">
        <v>7.9658872000000006E-2</v>
      </c>
      <c r="C428" s="6">
        <v>0.16596622799999999</v>
      </c>
    </row>
    <row r="429" spans="1:3" x14ac:dyDescent="0.25">
      <c r="A429" s="6" t="s">
        <v>192</v>
      </c>
      <c r="B429" s="6">
        <v>5.4507561000000003E-2</v>
      </c>
      <c r="C429" s="6">
        <v>0.73864021499999999</v>
      </c>
    </row>
    <row r="430" spans="1:3" x14ac:dyDescent="0.25">
      <c r="A430" s="6" t="s">
        <v>162</v>
      </c>
      <c r="B430" s="6">
        <v>0.49793608</v>
      </c>
      <c r="C430" s="6">
        <v>0.47369788099999999</v>
      </c>
    </row>
    <row r="431" spans="1:3" x14ac:dyDescent="0.25">
      <c r="A431" s="6" t="s">
        <v>135</v>
      </c>
      <c r="B431" s="6">
        <v>4.2373198000000001E-2</v>
      </c>
      <c r="C431" s="6">
        <v>0.70716657900000002</v>
      </c>
    </row>
    <row r="432" spans="1:3" x14ac:dyDescent="0.25">
      <c r="A432" s="6" t="s">
        <v>499</v>
      </c>
      <c r="B432" s="6">
        <v>1.253732131</v>
      </c>
      <c r="C432" s="6">
        <v>5.6522055780000002</v>
      </c>
    </row>
    <row r="433" spans="1:3" x14ac:dyDescent="0.25">
      <c r="A433" s="6" t="s">
        <v>178</v>
      </c>
      <c r="B433" s="6">
        <v>8.6119980999999998E-2</v>
      </c>
      <c r="C433" s="6">
        <v>2.423885963</v>
      </c>
    </row>
    <row r="434" spans="1:3" x14ac:dyDescent="0.25">
      <c r="A434" s="6" t="s">
        <v>934</v>
      </c>
      <c r="B434" s="6">
        <v>0.18006751600000001</v>
      </c>
      <c r="C434" s="6">
        <v>2.148523591</v>
      </c>
    </row>
    <row r="435" spans="1:3" x14ac:dyDescent="0.25">
      <c r="A435" s="6" t="s">
        <v>151</v>
      </c>
      <c r="B435" s="6">
        <v>8.0685729999999997E-2</v>
      </c>
      <c r="C435" s="6">
        <v>0.221184294</v>
      </c>
    </row>
    <row r="436" spans="1:3" x14ac:dyDescent="0.25">
      <c r="A436" s="6" t="s">
        <v>285</v>
      </c>
      <c r="B436" s="6">
        <v>0.20587841100000001</v>
      </c>
      <c r="C436" s="6">
        <v>0.48122869299999999</v>
      </c>
    </row>
    <row r="437" spans="1:3" x14ac:dyDescent="0.25">
      <c r="A437" s="6" t="s">
        <v>415</v>
      </c>
      <c r="B437" s="6">
        <v>0.97012054800000003</v>
      </c>
      <c r="C437" s="6">
        <v>2.1780995970000001</v>
      </c>
    </row>
    <row r="438" spans="1:3" x14ac:dyDescent="0.25">
      <c r="A438" s="6" t="s">
        <v>14</v>
      </c>
      <c r="B438" s="6">
        <v>7.6977681000000006E-2</v>
      </c>
      <c r="C438" s="6">
        <v>1.2263781300000001</v>
      </c>
    </row>
    <row r="439" spans="1:3" x14ac:dyDescent="0.25">
      <c r="A439" s="6" t="s">
        <v>516</v>
      </c>
      <c r="B439" s="6">
        <v>7.0342999000000003E-2</v>
      </c>
      <c r="C439" s="6">
        <v>0.58290213999999996</v>
      </c>
    </row>
    <row r="440" spans="1:3" x14ac:dyDescent="0.25">
      <c r="A440" s="6" t="s">
        <v>661</v>
      </c>
      <c r="B440" s="6">
        <v>0.15576872</v>
      </c>
      <c r="C440" s="6">
        <v>0.42081342700000002</v>
      </c>
    </row>
    <row r="441" spans="1:3" x14ac:dyDescent="0.25">
      <c r="A441" s="6" t="s">
        <v>189</v>
      </c>
      <c r="B441" s="6">
        <v>0.57856550299999998</v>
      </c>
      <c r="C441" s="6">
        <v>0.93824218999999998</v>
      </c>
    </row>
    <row r="442" spans="1:3" x14ac:dyDescent="0.25">
      <c r="A442" s="6" t="s">
        <v>75</v>
      </c>
      <c r="B442" s="6">
        <v>0.12971355900000001</v>
      </c>
      <c r="C442" s="6">
        <v>9.8237689999999996E-3</v>
      </c>
    </row>
    <row r="443" spans="1:3" x14ac:dyDescent="0.25">
      <c r="A443" s="6" t="s">
        <v>58</v>
      </c>
      <c r="B443" s="6">
        <v>1.3106911000000001E-2</v>
      </c>
      <c r="C443" s="6">
        <v>0.23804165699999999</v>
      </c>
    </row>
    <row r="444" spans="1:3" x14ac:dyDescent="0.25">
      <c r="A444" s="6" t="s">
        <v>322</v>
      </c>
      <c r="B444" s="6">
        <v>3.0115289E-2</v>
      </c>
      <c r="C444" s="6">
        <v>1.0975833880000001</v>
      </c>
    </row>
    <row r="445" spans="1:3" x14ac:dyDescent="0.25">
      <c r="A445" s="6" t="s">
        <v>215</v>
      </c>
      <c r="B445" s="6">
        <v>6.2722219999999995E-2</v>
      </c>
      <c r="C445" s="6">
        <v>0.897549339</v>
      </c>
    </row>
    <row r="446" spans="1:3" x14ac:dyDescent="0.25">
      <c r="A446" s="6" t="s">
        <v>682</v>
      </c>
      <c r="B446" s="6">
        <v>1.8804742999999999E-2</v>
      </c>
      <c r="C446" s="6">
        <v>7.9884175000000002E-2</v>
      </c>
    </row>
    <row r="447" spans="1:3" x14ac:dyDescent="0.25">
      <c r="A447" s="6" t="s">
        <v>747</v>
      </c>
      <c r="B447" s="6">
        <v>2.2257728000000001E-2</v>
      </c>
      <c r="C447" s="6">
        <v>0.13616662700000001</v>
      </c>
    </row>
    <row r="448" spans="1:3" x14ac:dyDescent="0.25">
      <c r="A448" s="6" t="s">
        <v>73</v>
      </c>
      <c r="B448" s="6">
        <v>5.4873194E-2</v>
      </c>
      <c r="C448" s="6">
        <v>0.70502186899999997</v>
      </c>
    </row>
    <row r="449" spans="1:3" x14ac:dyDescent="0.25">
      <c r="A449" s="6" t="s">
        <v>191</v>
      </c>
      <c r="B449" s="6">
        <v>4.6233406999999997E-2</v>
      </c>
      <c r="C449" s="6">
        <v>0.56412282800000002</v>
      </c>
    </row>
    <row r="450" spans="1:3" x14ac:dyDescent="0.25">
      <c r="A450" s="6" t="s">
        <v>562</v>
      </c>
      <c r="B450" s="6">
        <v>0.114656392</v>
      </c>
      <c r="C450" s="6">
        <v>0.319668907</v>
      </c>
    </row>
    <row r="451" spans="1:3" x14ac:dyDescent="0.25">
      <c r="A451" s="6" t="s">
        <v>526</v>
      </c>
      <c r="B451" s="6">
        <v>3.9870283999999999E-2</v>
      </c>
      <c r="C451" s="6">
        <v>2.1452217650000001</v>
      </c>
    </row>
    <row r="452" spans="1:3" x14ac:dyDescent="0.25">
      <c r="A452" s="6" t="s">
        <v>503</v>
      </c>
      <c r="B452" s="6">
        <v>4.0983749E-2</v>
      </c>
      <c r="C452" s="6">
        <v>0.46709148499999997</v>
      </c>
    </row>
    <row r="453" spans="1:3" x14ac:dyDescent="0.25">
      <c r="A453" s="6" t="s">
        <v>699</v>
      </c>
      <c r="B453" s="6">
        <v>0.13101049000000001</v>
      </c>
      <c r="C453" s="6">
        <v>0.68978632500000003</v>
      </c>
    </row>
    <row r="454" spans="1:3" x14ac:dyDescent="0.25">
      <c r="A454" s="6" t="s">
        <v>288</v>
      </c>
      <c r="B454" s="6">
        <v>6.0270231E-2</v>
      </c>
      <c r="C454" s="6">
        <v>2.6944422960000001</v>
      </c>
    </row>
    <row r="455" spans="1:3" x14ac:dyDescent="0.25">
      <c r="A455" s="6" t="s">
        <v>454</v>
      </c>
      <c r="B455" s="6">
        <v>0.34538855699999998</v>
      </c>
      <c r="C455" s="6">
        <v>0.27905005999999999</v>
      </c>
    </row>
    <row r="456" spans="1:3" x14ac:dyDescent="0.25">
      <c r="A456" s="6" t="s">
        <v>935</v>
      </c>
      <c r="B456" s="6">
        <v>9.6403856999999996E-2</v>
      </c>
      <c r="C456" s="6">
        <v>0.50164274600000003</v>
      </c>
    </row>
    <row r="457" spans="1:3" x14ac:dyDescent="0.25">
      <c r="A457" s="6" t="s">
        <v>743</v>
      </c>
      <c r="B457" s="6">
        <v>3.8904366000000003E-2</v>
      </c>
      <c r="C457" s="6">
        <v>0.165508246</v>
      </c>
    </row>
    <row r="458" spans="1:3" x14ac:dyDescent="0.25">
      <c r="A458" s="6" t="s">
        <v>506</v>
      </c>
      <c r="B458" s="6">
        <v>0.18531666899999999</v>
      </c>
      <c r="C458" s="6">
        <v>0.71288042399999996</v>
      </c>
    </row>
    <row r="459" spans="1:3" x14ac:dyDescent="0.25">
      <c r="A459" s="6" t="s">
        <v>580</v>
      </c>
      <c r="B459" s="6">
        <v>8.2810202999999999E-2</v>
      </c>
      <c r="C459" s="6">
        <v>0.559461286</v>
      </c>
    </row>
    <row r="460" spans="1:3" x14ac:dyDescent="0.25">
      <c r="A460" s="6" t="s">
        <v>357</v>
      </c>
      <c r="B460" s="6">
        <v>4.8421011999999999E-2</v>
      </c>
      <c r="C460" s="6">
        <v>0.43644379100000003</v>
      </c>
    </row>
    <row r="461" spans="1:3" x14ac:dyDescent="0.25">
      <c r="A461" s="6" t="s">
        <v>69</v>
      </c>
      <c r="B461" s="6">
        <v>4.0248350000000002E-2</v>
      </c>
      <c r="C461" s="6">
        <v>0.35826603000000001</v>
      </c>
    </row>
    <row r="462" spans="1:3" x14ac:dyDescent="0.25">
      <c r="A462" s="6" t="s">
        <v>269</v>
      </c>
      <c r="B462" s="6">
        <v>1.065851549</v>
      </c>
      <c r="C462" s="6">
        <v>19.806644009999999</v>
      </c>
    </row>
    <row r="463" spans="1:3" x14ac:dyDescent="0.25">
      <c r="A463" s="6" t="s">
        <v>739</v>
      </c>
      <c r="B463" s="6">
        <v>7.4192991E-2</v>
      </c>
      <c r="C463" s="6">
        <v>0.36314668500000002</v>
      </c>
    </row>
    <row r="464" spans="1:3" x14ac:dyDescent="0.25">
      <c r="A464" s="6" t="s">
        <v>431</v>
      </c>
      <c r="B464" s="6">
        <v>3.8430541999999998E-2</v>
      </c>
      <c r="C464" s="6">
        <v>0.40457999300000003</v>
      </c>
    </row>
    <row r="465" spans="1:3" x14ac:dyDescent="0.25">
      <c r="A465" s="6" t="s">
        <v>524</v>
      </c>
      <c r="B465" s="6">
        <v>0.302408654</v>
      </c>
      <c r="C465" s="6">
        <v>0.59877127399999996</v>
      </c>
    </row>
    <row r="466" spans="1:3" x14ac:dyDescent="0.25">
      <c r="A466" s="6" t="s">
        <v>36</v>
      </c>
      <c r="B466" s="6">
        <v>7.2341282000000007E-2</v>
      </c>
      <c r="C466" s="6">
        <v>0.107730485</v>
      </c>
    </row>
    <row r="467" spans="1:3" x14ac:dyDescent="0.25">
      <c r="A467" s="6" t="s">
        <v>586</v>
      </c>
      <c r="B467" s="6">
        <v>1.6157350000000001E-2</v>
      </c>
      <c r="C467" s="6">
        <v>9.9009234000000002E-2</v>
      </c>
    </row>
    <row r="468" spans="1:3" x14ac:dyDescent="0.25">
      <c r="A468" s="6" t="s">
        <v>397</v>
      </c>
      <c r="B468" s="6">
        <v>6.8532770000000007E-2</v>
      </c>
      <c r="C468" s="6">
        <v>0.52002056200000002</v>
      </c>
    </row>
    <row r="469" spans="1:3" x14ac:dyDescent="0.25">
      <c r="A469" s="6" t="s">
        <v>443</v>
      </c>
      <c r="B469" s="6">
        <v>0.10792033099999999</v>
      </c>
      <c r="C469" s="6">
        <v>0.22908135099999999</v>
      </c>
    </row>
    <row r="470" spans="1:3" x14ac:dyDescent="0.25">
      <c r="A470" s="6" t="s">
        <v>261</v>
      </c>
      <c r="B470" s="6">
        <v>0.27885020300000002</v>
      </c>
      <c r="C470" s="6">
        <v>3.8727513999999998E-2</v>
      </c>
    </row>
    <row r="471" spans="1:3" x14ac:dyDescent="0.25">
      <c r="A471" s="6" t="s">
        <v>718</v>
      </c>
      <c r="B471" s="6">
        <v>0.12410732300000001</v>
      </c>
      <c r="C471" s="6">
        <v>0.46531517999999999</v>
      </c>
    </row>
    <row r="472" spans="1:3" x14ac:dyDescent="0.25">
      <c r="A472" s="6" t="s">
        <v>50</v>
      </c>
      <c r="B472" s="6">
        <v>0.26864869499999999</v>
      </c>
      <c r="C472" s="6">
        <v>0.692284185</v>
      </c>
    </row>
    <row r="473" spans="1:3" x14ac:dyDescent="0.25">
      <c r="A473" s="6" t="s">
        <v>120</v>
      </c>
      <c r="B473" s="6">
        <v>1.4452438999999999E-2</v>
      </c>
      <c r="C473" s="6">
        <v>0.47274834500000001</v>
      </c>
    </row>
    <row r="474" spans="1:3" x14ac:dyDescent="0.25">
      <c r="A474" s="6" t="s">
        <v>79</v>
      </c>
      <c r="B474" s="6">
        <v>8.9327707000000006E-2</v>
      </c>
      <c r="C474" s="6">
        <v>0.748717937</v>
      </c>
    </row>
    <row r="475" spans="1:3" x14ac:dyDescent="0.25">
      <c r="A475" s="6" t="s">
        <v>936</v>
      </c>
      <c r="B475" s="6">
        <v>0.17825834099999999</v>
      </c>
      <c r="C475" s="6">
        <v>0.36191738600000001</v>
      </c>
    </row>
    <row r="476" spans="1:3" x14ac:dyDescent="0.25">
      <c r="A476" s="6" t="s">
        <v>662</v>
      </c>
      <c r="B476" s="6">
        <v>0.28370926499999999</v>
      </c>
      <c r="C476" s="6">
        <v>1.1261120870000001</v>
      </c>
    </row>
    <row r="477" spans="1:3" x14ac:dyDescent="0.25">
      <c r="A477" s="6" t="s">
        <v>333</v>
      </c>
      <c r="B477" s="6">
        <v>0.210727838</v>
      </c>
      <c r="C477" s="6">
        <v>1.1888117600000001</v>
      </c>
    </row>
    <row r="478" spans="1:3" x14ac:dyDescent="0.25">
      <c r="A478" s="6" t="s">
        <v>67</v>
      </c>
      <c r="B478" s="6">
        <v>7.6790730000000001E-2</v>
      </c>
      <c r="C478" s="6">
        <v>0.176739746</v>
      </c>
    </row>
    <row r="479" spans="1:3" x14ac:dyDescent="0.25">
      <c r="A479" s="6" t="s">
        <v>225</v>
      </c>
      <c r="B479" s="6">
        <v>4.4095957999999998E-2</v>
      </c>
      <c r="C479" s="6">
        <v>6.2017210000000003E-2</v>
      </c>
    </row>
    <row r="480" spans="1:3" x14ac:dyDescent="0.25">
      <c r="A480" s="6" t="s">
        <v>591</v>
      </c>
      <c r="B480" s="6">
        <v>0.40933585700000003</v>
      </c>
      <c r="C480" s="6">
        <v>6.9737107490000003</v>
      </c>
    </row>
    <row r="481" spans="1:3" x14ac:dyDescent="0.25">
      <c r="A481" s="6" t="s">
        <v>126</v>
      </c>
      <c r="B481" s="6">
        <v>8.7409998000000003E-2</v>
      </c>
      <c r="C481" s="6">
        <v>0.324155368</v>
      </c>
    </row>
    <row r="482" spans="1:3" x14ac:dyDescent="0.25">
      <c r="A482" s="6" t="s">
        <v>702</v>
      </c>
      <c r="B482" s="6">
        <v>0.30536009200000003</v>
      </c>
      <c r="C482" s="6">
        <v>0.60330644600000005</v>
      </c>
    </row>
    <row r="483" spans="1:3" x14ac:dyDescent="0.25">
      <c r="A483" s="6" t="s">
        <v>440</v>
      </c>
      <c r="B483" s="6">
        <v>5.9853433999999997E-2</v>
      </c>
      <c r="C483" s="6">
        <v>0.73436564000000004</v>
      </c>
    </row>
    <row r="484" spans="1:3" x14ac:dyDescent="0.25">
      <c r="A484" s="6" t="s">
        <v>107</v>
      </c>
      <c r="B484" s="6">
        <v>5.105266E-2</v>
      </c>
      <c r="C484" s="6">
        <v>0.53950091099999997</v>
      </c>
    </row>
    <row r="485" spans="1:3" x14ac:dyDescent="0.25">
      <c r="A485" s="6" t="s">
        <v>42</v>
      </c>
      <c r="B485" s="6">
        <v>3.2896056E-2</v>
      </c>
      <c r="C485" s="6">
        <v>0.202765741</v>
      </c>
    </row>
    <row r="486" spans="1:3" x14ac:dyDescent="0.25">
      <c r="A486" s="6" t="s">
        <v>724</v>
      </c>
      <c r="B486" s="6">
        <v>6.3450030000000004E-2</v>
      </c>
      <c r="C486" s="6">
        <v>8.6802828999999998E-2</v>
      </c>
    </row>
    <row r="487" spans="1:3" x14ac:dyDescent="0.25">
      <c r="A487" s="6" t="s">
        <v>937</v>
      </c>
      <c r="B487" s="6">
        <v>0.110749848</v>
      </c>
      <c r="C487" s="6">
        <v>1.0424720460000001</v>
      </c>
    </row>
    <row r="488" spans="1:3" x14ac:dyDescent="0.25">
      <c r="A488" s="6" t="s">
        <v>741</v>
      </c>
      <c r="B488" s="6">
        <v>2.0481709000000001E-2</v>
      </c>
      <c r="C488" s="6">
        <v>0.43603635200000002</v>
      </c>
    </row>
    <row r="489" spans="1:3" x14ac:dyDescent="0.25">
      <c r="A489" s="6" t="s">
        <v>738</v>
      </c>
      <c r="B489" s="6">
        <v>0.13249148699999999</v>
      </c>
      <c r="C489" s="6">
        <v>0.35842505200000002</v>
      </c>
    </row>
    <row r="490" spans="1:3" x14ac:dyDescent="0.25">
      <c r="A490" s="6" t="s">
        <v>543</v>
      </c>
      <c r="B490" s="6">
        <v>0.18436176900000001</v>
      </c>
      <c r="C490" s="6">
        <v>0.563870486</v>
      </c>
    </row>
    <row r="491" spans="1:3" x14ac:dyDescent="0.25">
      <c r="A491" s="6" t="s">
        <v>737</v>
      </c>
      <c r="B491" s="6">
        <v>5.4107441999999999E-2</v>
      </c>
      <c r="C491" s="6">
        <v>1.0957513E-2</v>
      </c>
    </row>
    <row r="492" spans="1:3" x14ac:dyDescent="0.25">
      <c r="A492" s="6" t="s">
        <v>714</v>
      </c>
      <c r="B492" s="6">
        <v>4.3423257E-2</v>
      </c>
      <c r="C492" s="6">
        <v>0.130577577</v>
      </c>
    </row>
    <row r="493" spans="1:3" x14ac:dyDescent="0.25">
      <c r="A493" s="6" t="s">
        <v>383</v>
      </c>
      <c r="B493" s="6">
        <v>0.10554981200000001</v>
      </c>
      <c r="C493" s="6">
        <v>0.145151639</v>
      </c>
    </row>
    <row r="494" spans="1:3" x14ac:dyDescent="0.25">
      <c r="A494" s="6" t="s">
        <v>97</v>
      </c>
      <c r="B494" s="6">
        <v>7.7594077999999997E-2</v>
      </c>
      <c r="C494" s="6">
        <v>0.50626778400000005</v>
      </c>
    </row>
    <row r="495" spans="1:3" x14ac:dyDescent="0.25">
      <c r="A495" s="6" t="s">
        <v>196</v>
      </c>
      <c r="B495" s="6">
        <v>5.8867832000000002E-2</v>
      </c>
      <c r="C495" s="6">
        <v>0.283454702</v>
      </c>
    </row>
    <row r="496" spans="1:3" x14ac:dyDescent="0.25">
      <c r="A496" s="6" t="s">
        <v>129</v>
      </c>
      <c r="B496" s="6">
        <v>0.10467288299999999</v>
      </c>
      <c r="C496" s="6">
        <v>0.34818869699999999</v>
      </c>
    </row>
    <row r="497" spans="1:3" x14ac:dyDescent="0.25">
      <c r="A497" s="6" t="s">
        <v>228</v>
      </c>
      <c r="B497" s="6">
        <v>4.0117883999999999E-2</v>
      </c>
      <c r="C497" s="6">
        <v>0.64440516400000003</v>
      </c>
    </row>
    <row r="498" spans="1:3" x14ac:dyDescent="0.25">
      <c r="A498" s="6" t="s">
        <v>617</v>
      </c>
      <c r="B498" s="6">
        <v>6.6151703000000006E-2</v>
      </c>
      <c r="C498" s="6">
        <v>0.38761942700000002</v>
      </c>
    </row>
    <row r="499" spans="1:3" x14ac:dyDescent="0.25">
      <c r="A499" s="6" t="s">
        <v>59</v>
      </c>
      <c r="B499" s="6">
        <v>7.3116193999999995E-2</v>
      </c>
      <c r="C499" s="6">
        <v>3.6144614999999998E-2</v>
      </c>
    </row>
    <row r="500" spans="1:3" x14ac:dyDescent="0.25">
      <c r="A500" s="6" t="s">
        <v>39</v>
      </c>
      <c r="B500" s="6">
        <v>0.68416896500000002</v>
      </c>
      <c r="C500" s="6">
        <v>4.7797391280000001</v>
      </c>
    </row>
    <row r="501" spans="1:3" x14ac:dyDescent="0.25">
      <c r="A501" s="6" t="s">
        <v>713</v>
      </c>
      <c r="B501" s="6">
        <v>0.21244316399999999</v>
      </c>
      <c r="C501" s="6">
        <v>0.218502206</v>
      </c>
    </row>
    <row r="502" spans="1:3" x14ac:dyDescent="0.25">
      <c r="A502" s="6" t="s">
        <v>188</v>
      </c>
      <c r="B502" s="6">
        <v>0.82681758000000005</v>
      </c>
      <c r="C502" s="6">
        <v>0.98439561600000003</v>
      </c>
    </row>
    <row r="503" spans="1:3" x14ac:dyDescent="0.25">
      <c r="A503" s="6" t="s">
        <v>689</v>
      </c>
      <c r="B503" s="6">
        <v>3.9123791999999998E-2</v>
      </c>
      <c r="C503" s="6">
        <v>1.45300187</v>
      </c>
    </row>
    <row r="504" spans="1:3" x14ac:dyDescent="0.25">
      <c r="A504" s="6" t="s">
        <v>559</v>
      </c>
      <c r="B504" s="6">
        <v>6.5423988000000002E-2</v>
      </c>
      <c r="C504" s="6">
        <v>5.2902599999999998E-3</v>
      </c>
    </row>
    <row r="505" spans="1:3" x14ac:dyDescent="0.25">
      <c r="A505" s="6" t="s">
        <v>370</v>
      </c>
      <c r="B505" s="6">
        <v>9.7525996000000004E-2</v>
      </c>
      <c r="C505" s="6">
        <v>1.0767243419999999</v>
      </c>
    </row>
    <row r="506" spans="1:3" x14ac:dyDescent="0.25">
      <c r="A506" s="6" t="s">
        <v>548</v>
      </c>
      <c r="B506" s="6">
        <v>2.8202898000000001E-2</v>
      </c>
      <c r="C506" s="6">
        <v>0.26405331500000001</v>
      </c>
    </row>
    <row r="507" spans="1:3" x14ac:dyDescent="0.25">
      <c r="A507" s="6" t="s">
        <v>131</v>
      </c>
      <c r="B507" s="6">
        <v>8.3635484999999996E-2</v>
      </c>
      <c r="C507" s="6">
        <v>0.59001715799999999</v>
      </c>
    </row>
    <row r="508" spans="1:3" x14ac:dyDescent="0.25">
      <c r="A508" s="6" t="s">
        <v>584</v>
      </c>
      <c r="B508" s="6">
        <v>0.13755911700000001</v>
      </c>
      <c r="C508" s="6">
        <v>0.124813312</v>
      </c>
    </row>
    <row r="509" spans="1:3" x14ac:dyDescent="0.25">
      <c r="A509" s="6" t="s">
        <v>312</v>
      </c>
      <c r="B509" s="6">
        <v>0.29549715900000001</v>
      </c>
      <c r="C509" s="6">
        <v>2.1863866509999998</v>
      </c>
    </row>
    <row r="510" spans="1:3" x14ac:dyDescent="0.25">
      <c r="A510" s="6" t="s">
        <v>221</v>
      </c>
      <c r="B510" s="6">
        <v>3.6669252999999999E-2</v>
      </c>
      <c r="C510" s="6">
        <v>0.22657126</v>
      </c>
    </row>
    <row r="511" spans="1:3" x14ac:dyDescent="0.25">
      <c r="A511" s="6" t="s">
        <v>733</v>
      </c>
      <c r="B511" s="6">
        <v>6.8756098000000002E-2</v>
      </c>
      <c r="C511" s="6">
        <v>0.333319743</v>
      </c>
    </row>
    <row r="512" spans="1:3" x14ac:dyDescent="0.25">
      <c r="A512" s="6" t="s">
        <v>582</v>
      </c>
      <c r="B512" s="6">
        <v>0.10970234700000001</v>
      </c>
      <c r="C512" s="6">
        <v>0.83342592999999998</v>
      </c>
    </row>
    <row r="513" spans="1:3" x14ac:dyDescent="0.25">
      <c r="A513" s="6" t="s">
        <v>939</v>
      </c>
      <c r="B513" s="6">
        <v>0.70300555799999997</v>
      </c>
      <c r="C513" s="6">
        <v>1.1650897769999999</v>
      </c>
    </row>
    <row r="514" spans="1:3" x14ac:dyDescent="0.25">
      <c r="A514" s="6" t="s">
        <v>15</v>
      </c>
      <c r="B514" s="6">
        <v>0.18977767100000001</v>
      </c>
      <c r="C514" s="6">
        <v>0.30807651400000002</v>
      </c>
    </row>
    <row r="515" spans="1:3" x14ac:dyDescent="0.25">
      <c r="A515" s="6" t="s">
        <v>400</v>
      </c>
      <c r="B515" s="6">
        <v>0.20471339199999999</v>
      </c>
      <c r="C515" s="6">
        <v>0.90072529099999998</v>
      </c>
    </row>
    <row r="516" spans="1:3" x14ac:dyDescent="0.25">
      <c r="A516" s="6" t="s">
        <v>352</v>
      </c>
      <c r="B516" s="6">
        <v>0.124209972</v>
      </c>
      <c r="C516" s="6">
        <v>0.31693079600000001</v>
      </c>
    </row>
    <row r="517" spans="1:3" x14ac:dyDescent="0.25">
      <c r="A517" s="6" t="s">
        <v>315</v>
      </c>
      <c r="B517" s="6">
        <v>0.44437175600000001</v>
      </c>
      <c r="C517" s="6">
        <v>0.44886991399999998</v>
      </c>
    </row>
    <row r="518" spans="1:3" x14ac:dyDescent="0.25">
      <c r="A518" s="6" t="s">
        <v>600</v>
      </c>
      <c r="B518" s="6">
        <v>0.15052611299999999</v>
      </c>
      <c r="C518" s="6">
        <v>0.60761727399999999</v>
      </c>
    </row>
    <row r="519" spans="1:3" x14ac:dyDescent="0.25">
      <c r="A519" s="6" t="s">
        <v>262</v>
      </c>
      <c r="B519" s="6">
        <v>0.27145349800000002</v>
      </c>
      <c r="C519" s="6">
        <v>0.86399451199999999</v>
      </c>
    </row>
    <row r="520" spans="1:3" x14ac:dyDescent="0.25">
      <c r="A520" s="6" t="s">
        <v>128</v>
      </c>
      <c r="B520" s="6">
        <v>0.21278639699999999</v>
      </c>
      <c r="C520" s="6">
        <v>7.5983545999999999E-2</v>
      </c>
    </row>
    <row r="521" spans="1:3" x14ac:dyDescent="0.25">
      <c r="A521" s="6" t="s">
        <v>329</v>
      </c>
      <c r="B521" s="6">
        <v>6.1747297E-2</v>
      </c>
      <c r="C521" s="6">
        <v>0.16061451600000001</v>
      </c>
    </row>
    <row r="522" spans="1:3" x14ac:dyDescent="0.25">
      <c r="A522" s="6" t="s">
        <v>163</v>
      </c>
      <c r="B522" s="6">
        <v>3.8356550000000003E-2</v>
      </c>
      <c r="C522" s="6">
        <v>0.58548770699999997</v>
      </c>
    </row>
    <row r="523" spans="1:3" x14ac:dyDescent="0.25">
      <c r="A523" s="6" t="s">
        <v>476</v>
      </c>
      <c r="B523" s="6">
        <v>4.8312859E-2</v>
      </c>
      <c r="C523" s="6">
        <v>0.11863441700000001</v>
      </c>
    </row>
    <row r="524" spans="1:3" x14ac:dyDescent="0.25">
      <c r="A524" s="6" t="s">
        <v>587</v>
      </c>
      <c r="B524" s="6">
        <v>3.8851544000000002E-2</v>
      </c>
      <c r="C524" s="6">
        <v>0.93390061700000004</v>
      </c>
    </row>
    <row r="525" spans="1:3" x14ac:dyDescent="0.25">
      <c r="A525" s="6" t="s">
        <v>83</v>
      </c>
      <c r="B525" s="6">
        <v>9.8008585999999995E-2</v>
      </c>
      <c r="C525" s="6">
        <v>0.229998436</v>
      </c>
    </row>
    <row r="526" spans="1:3" x14ac:dyDescent="0.25">
      <c r="A526" s="6" t="s">
        <v>81</v>
      </c>
      <c r="B526" s="6">
        <v>0.36422052700000002</v>
      </c>
      <c r="C526" s="6">
        <v>0.175177318</v>
      </c>
    </row>
    <row r="527" spans="1:3" x14ac:dyDescent="0.25">
      <c r="A527" s="6" t="s">
        <v>540</v>
      </c>
      <c r="B527" s="6">
        <v>1.8184934999999999E-2</v>
      </c>
      <c r="C527" s="6">
        <v>1.757711904</v>
      </c>
    </row>
    <row r="528" spans="1:3" x14ac:dyDescent="0.25">
      <c r="A528" s="6" t="s">
        <v>354</v>
      </c>
      <c r="B528" s="6">
        <v>3.5785218000000001E-2</v>
      </c>
      <c r="C528" s="6">
        <v>0.74923128400000005</v>
      </c>
    </row>
    <row r="529" spans="1:3" x14ac:dyDescent="0.25">
      <c r="A529" s="6" t="s">
        <v>478</v>
      </c>
      <c r="B529" s="6">
        <v>2.3377922999999998E-2</v>
      </c>
      <c r="C529" s="6">
        <v>0.83183670600000004</v>
      </c>
    </row>
    <row r="530" spans="1:3" x14ac:dyDescent="0.25">
      <c r="A530" s="6" t="s">
        <v>2</v>
      </c>
      <c r="B530" s="6">
        <v>6.1580604999999997E-2</v>
      </c>
      <c r="C530" s="6">
        <v>0.200173301</v>
      </c>
    </row>
    <row r="531" spans="1:3" x14ac:dyDescent="0.25">
      <c r="A531" s="6" t="s">
        <v>940</v>
      </c>
      <c r="B531" s="6">
        <v>3.0865119999999999E-2</v>
      </c>
      <c r="C531" s="6">
        <v>0.32780293199999999</v>
      </c>
    </row>
    <row r="532" spans="1:3" x14ac:dyDescent="0.25">
      <c r="A532" s="6" t="s">
        <v>172</v>
      </c>
      <c r="B532" s="6">
        <v>0.24524559600000001</v>
      </c>
      <c r="C532" s="6">
        <v>0.17323765299999999</v>
      </c>
    </row>
    <row r="533" spans="1:3" x14ac:dyDescent="0.25">
      <c r="A533" s="6" t="s">
        <v>361</v>
      </c>
      <c r="B533" s="6">
        <v>0.157093604</v>
      </c>
      <c r="C533" s="6">
        <v>0.25698391799999998</v>
      </c>
    </row>
    <row r="534" spans="1:3" x14ac:dyDescent="0.25">
      <c r="A534" s="6" t="s">
        <v>263</v>
      </c>
      <c r="B534" s="6">
        <v>4.8758322999999999E-2</v>
      </c>
      <c r="C534" s="6">
        <v>0.41172568599999998</v>
      </c>
    </row>
    <row r="535" spans="1:3" x14ac:dyDescent="0.25">
      <c r="A535" s="6" t="s">
        <v>250</v>
      </c>
      <c r="B535" s="6">
        <v>0.18179152000000001</v>
      </c>
      <c r="C535" s="6">
        <v>3.7353261999999998E-2</v>
      </c>
    </row>
    <row r="536" spans="1:3" x14ac:dyDescent="0.25">
      <c r="A536" s="6" t="s">
        <v>355</v>
      </c>
      <c r="B536" s="6">
        <v>4.7083352000000002E-2</v>
      </c>
      <c r="C536" s="6">
        <v>0.38754052500000002</v>
      </c>
    </row>
    <row r="537" spans="1:3" x14ac:dyDescent="0.25">
      <c r="A537" s="6" t="s">
        <v>634</v>
      </c>
      <c r="B537" s="6">
        <v>4.1454915000000002E-2</v>
      </c>
      <c r="C537" s="6">
        <v>0.23355827200000001</v>
      </c>
    </row>
    <row r="538" spans="1:3" x14ac:dyDescent="0.25">
      <c r="A538" s="6" t="s">
        <v>532</v>
      </c>
      <c r="B538" s="6">
        <v>2.543486E-2</v>
      </c>
      <c r="C538" s="6">
        <v>0.42945378899999997</v>
      </c>
    </row>
    <row r="539" spans="1:3" x14ac:dyDescent="0.25">
      <c r="A539" s="6" t="s">
        <v>194</v>
      </c>
      <c r="B539" s="6">
        <v>6.6089257999999998E-2</v>
      </c>
      <c r="C539" s="6">
        <v>0.39693956400000002</v>
      </c>
    </row>
    <row r="540" spans="1:3" x14ac:dyDescent="0.25">
      <c r="A540" s="6" t="s">
        <v>525</v>
      </c>
      <c r="B540" s="6">
        <v>3.6054771999999999E-2</v>
      </c>
      <c r="C540" s="6">
        <v>0.221383051</v>
      </c>
    </row>
    <row r="541" spans="1:3" x14ac:dyDescent="0.25">
      <c r="A541" s="6" t="s">
        <v>190</v>
      </c>
      <c r="B541" s="6">
        <v>1.039723E-2</v>
      </c>
      <c r="C541" s="6">
        <v>0.86282152700000003</v>
      </c>
    </row>
    <row r="542" spans="1:3" x14ac:dyDescent="0.25">
      <c r="A542" s="6" t="s">
        <v>556</v>
      </c>
      <c r="B542" s="6">
        <v>0.96046184400000001</v>
      </c>
      <c r="C542" s="6">
        <v>7.6752924050000004</v>
      </c>
    </row>
    <row r="543" spans="1:3" x14ac:dyDescent="0.25">
      <c r="A543" s="6" t="s">
        <v>197</v>
      </c>
      <c r="B543" s="6">
        <v>9.0303201E-2</v>
      </c>
      <c r="C543" s="6">
        <v>3.0448581589999999</v>
      </c>
    </row>
    <row r="544" spans="1:3" x14ac:dyDescent="0.25">
      <c r="A544" s="6" t="s">
        <v>593</v>
      </c>
      <c r="B544" s="6">
        <v>6.1369189999999997E-2</v>
      </c>
      <c r="C544" s="6">
        <v>0.13834284499999999</v>
      </c>
    </row>
    <row r="545" spans="1:3" x14ac:dyDescent="0.25">
      <c r="A545" s="6" t="s">
        <v>667</v>
      </c>
      <c r="B545" s="6">
        <v>8.0895188000000007E-2</v>
      </c>
      <c r="C545" s="6">
        <v>2.3477441419999998</v>
      </c>
    </row>
    <row r="546" spans="1:3" x14ac:dyDescent="0.25">
      <c r="A546" s="6" t="s">
        <v>253</v>
      </c>
      <c r="B546" s="6">
        <v>0.110736957</v>
      </c>
      <c r="C546" s="6">
        <v>1.3973653070000001</v>
      </c>
    </row>
    <row r="547" spans="1:3" x14ac:dyDescent="0.25">
      <c r="A547" s="6" t="s">
        <v>235</v>
      </c>
      <c r="B547" s="6">
        <v>0.85922065400000003</v>
      </c>
      <c r="C547" s="6">
        <v>2.2186516809999999</v>
      </c>
    </row>
    <row r="548" spans="1:3" x14ac:dyDescent="0.25">
      <c r="A548" s="6" t="s">
        <v>641</v>
      </c>
      <c r="B548" s="6">
        <v>6.8427925000000001E-2</v>
      </c>
      <c r="C548" s="6">
        <v>0.178134923</v>
      </c>
    </row>
    <row r="549" spans="1:3" x14ac:dyDescent="0.25">
      <c r="A549" s="6" t="s">
        <v>522</v>
      </c>
      <c r="B549" s="6">
        <v>0.14213472699999999</v>
      </c>
      <c r="C549" s="6">
        <v>8.3268600000000002E-3</v>
      </c>
    </row>
    <row r="550" spans="1:3" x14ac:dyDescent="0.25">
      <c r="A550" s="6" t="s">
        <v>942</v>
      </c>
      <c r="B550" s="6">
        <v>0.113149583</v>
      </c>
      <c r="C550" s="6">
        <v>1.137762698</v>
      </c>
    </row>
    <row r="551" spans="1:3" x14ac:dyDescent="0.25">
      <c r="A551" s="6" t="s">
        <v>25</v>
      </c>
      <c r="B551" s="6">
        <v>1.0987230180000001</v>
      </c>
      <c r="C551" s="6">
        <v>4.0798103259999996</v>
      </c>
    </row>
    <row r="552" spans="1:3" x14ac:dyDescent="0.25">
      <c r="A552" s="6" t="s">
        <v>271</v>
      </c>
      <c r="B552" s="6">
        <v>6.4885745999999994E-2</v>
      </c>
      <c r="C552" s="6">
        <v>0.25355171500000001</v>
      </c>
    </row>
    <row r="553" spans="1:3" x14ac:dyDescent="0.25">
      <c r="A553" s="6" t="s">
        <v>446</v>
      </c>
      <c r="B553" s="6">
        <v>5.0691793999999998E-2</v>
      </c>
      <c r="C553" s="6">
        <v>1.158087315</v>
      </c>
    </row>
    <row r="554" spans="1:3" x14ac:dyDescent="0.25">
      <c r="A554" s="6" t="s">
        <v>169</v>
      </c>
      <c r="B554" s="6">
        <v>5.3476045999999999E-2</v>
      </c>
      <c r="C554" s="6">
        <v>1.4700031790000001</v>
      </c>
    </row>
    <row r="555" spans="1:3" x14ac:dyDescent="0.25">
      <c r="A555" s="6" t="s">
        <v>943</v>
      </c>
      <c r="B555" s="6">
        <v>5.9347756000000002E-2</v>
      </c>
      <c r="C555" s="6">
        <v>7.9526351999999995E-2</v>
      </c>
    </row>
    <row r="556" spans="1:3" x14ac:dyDescent="0.25">
      <c r="A556" s="6" t="s">
        <v>720</v>
      </c>
      <c r="B556" s="6">
        <v>4.0903615999999997E-2</v>
      </c>
      <c r="C556" s="6">
        <v>1.7137724110000001</v>
      </c>
    </row>
    <row r="557" spans="1:3" x14ac:dyDescent="0.25">
      <c r="A557" s="6" t="s">
        <v>27</v>
      </c>
      <c r="B557" s="6">
        <v>5.3902247E-2</v>
      </c>
      <c r="C557" s="6">
        <v>1.615731126</v>
      </c>
    </row>
    <row r="558" spans="1:3" x14ac:dyDescent="0.25">
      <c r="A558" s="6" t="s">
        <v>479</v>
      </c>
      <c r="B558" s="6">
        <v>3.8397678999999997E-2</v>
      </c>
      <c r="C558" s="6">
        <v>0.16456126600000001</v>
      </c>
    </row>
    <row r="559" spans="1:3" x14ac:dyDescent="0.25">
      <c r="A559" s="6" t="s">
        <v>359</v>
      </c>
      <c r="B559" s="6">
        <v>7.0258688E-2</v>
      </c>
      <c r="C559" s="6">
        <v>0.13286345599999999</v>
      </c>
    </row>
    <row r="560" spans="1:3" x14ac:dyDescent="0.25">
      <c r="A560" s="6" t="s">
        <v>35</v>
      </c>
      <c r="B560" s="6">
        <v>8.1988383999999997E-2</v>
      </c>
      <c r="C560" s="6">
        <v>0.26452582699999999</v>
      </c>
    </row>
    <row r="561" spans="1:3" x14ac:dyDescent="0.25">
      <c r="A561" s="6" t="s">
        <v>113</v>
      </c>
      <c r="B561" s="6">
        <v>4.9446808000000002E-2</v>
      </c>
      <c r="C561" s="6">
        <v>0.19552417599999999</v>
      </c>
    </row>
    <row r="562" spans="1:3" x14ac:dyDescent="0.25">
      <c r="A562" s="6" t="s">
        <v>289</v>
      </c>
      <c r="B562" s="6">
        <v>2.8712953999999999E-2</v>
      </c>
      <c r="C562" s="6">
        <v>0.51773654000000002</v>
      </c>
    </row>
    <row r="563" spans="1:3" x14ac:dyDescent="0.25">
      <c r="A563" s="6" t="s">
        <v>227</v>
      </c>
      <c r="B563" s="6">
        <v>4.9489259000000001E-2</v>
      </c>
      <c r="C563" s="6">
        <v>0.28934695700000002</v>
      </c>
    </row>
    <row r="564" spans="1:3" x14ac:dyDescent="0.25">
      <c r="A564" s="6" t="s">
        <v>80</v>
      </c>
      <c r="B564" s="6">
        <v>8.5438682000000002E-2</v>
      </c>
      <c r="C564" s="6">
        <v>0.32716430899999999</v>
      </c>
    </row>
    <row r="565" spans="1:3" x14ac:dyDescent="0.25">
      <c r="A565" s="6" t="s">
        <v>41</v>
      </c>
      <c r="B565" s="6">
        <v>2.6930073999999998E-2</v>
      </c>
      <c r="C565" s="6">
        <v>2.4334255999999999E-2</v>
      </c>
    </row>
    <row r="566" spans="1:3" x14ac:dyDescent="0.25">
      <c r="A566" s="6" t="s">
        <v>195</v>
      </c>
      <c r="B566" s="6">
        <v>7.1935322999999995E-2</v>
      </c>
      <c r="C566" s="6">
        <v>0.76682854899999997</v>
      </c>
    </row>
    <row r="567" spans="1:3" x14ac:dyDescent="0.25">
      <c r="A567" s="6" t="s">
        <v>621</v>
      </c>
      <c r="B567" s="6">
        <v>0.46724421700000002</v>
      </c>
      <c r="C567" s="6">
        <v>0.51266363599999998</v>
      </c>
    </row>
    <row r="568" spans="1:3" x14ac:dyDescent="0.25">
      <c r="A568" s="6" t="s">
        <v>554</v>
      </c>
      <c r="B568" s="6">
        <v>5.5388076000000001E-2</v>
      </c>
      <c r="C568" s="6">
        <v>5.9157926E-2</v>
      </c>
    </row>
    <row r="569" spans="1:3" x14ac:dyDescent="0.25">
      <c r="A569" s="6" t="s">
        <v>103</v>
      </c>
      <c r="B569" s="6">
        <v>0.28927515199999998</v>
      </c>
      <c r="C569" s="6">
        <v>2.1046920619999998</v>
      </c>
    </row>
    <row r="570" spans="1:3" x14ac:dyDescent="0.25">
      <c r="A570" s="6" t="s">
        <v>577</v>
      </c>
      <c r="B570" s="6">
        <v>6.2217445000000003E-2</v>
      </c>
      <c r="C570" s="6">
        <v>2.7142614999999998E-2</v>
      </c>
    </row>
    <row r="571" spans="1:3" x14ac:dyDescent="0.25">
      <c r="A571" s="6" t="s">
        <v>945</v>
      </c>
      <c r="B571" s="6">
        <v>9.3016158000000002E-2</v>
      </c>
      <c r="C571" s="6">
        <v>1.038755093</v>
      </c>
    </row>
    <row r="572" spans="1:3" x14ac:dyDescent="0.25">
      <c r="A572" s="6" t="s">
        <v>74</v>
      </c>
      <c r="B572" s="6">
        <v>7.5357041E-2</v>
      </c>
      <c r="C572" s="6">
        <v>0.57300935200000003</v>
      </c>
    </row>
    <row r="573" spans="1:3" x14ac:dyDescent="0.25">
      <c r="A573" s="6" t="s">
        <v>254</v>
      </c>
      <c r="B573" s="6">
        <v>0.173266902</v>
      </c>
      <c r="C573" s="6">
        <v>0.94963104300000001</v>
      </c>
    </row>
    <row r="574" spans="1:3" x14ac:dyDescent="0.25">
      <c r="A574" s="6" t="s">
        <v>177</v>
      </c>
      <c r="B574" s="6">
        <v>2.7800406999999999E-2</v>
      </c>
      <c r="C574" s="6">
        <v>0.107745085</v>
      </c>
    </row>
    <row r="575" spans="1:3" x14ac:dyDescent="0.25">
      <c r="A575" s="6" t="s">
        <v>272</v>
      </c>
      <c r="B575" s="6">
        <v>9.3365798999999999E-2</v>
      </c>
      <c r="C575" s="6">
        <v>0.83109797500000004</v>
      </c>
    </row>
    <row r="576" spans="1:3" x14ac:dyDescent="0.25">
      <c r="A576" s="6" t="s">
        <v>947</v>
      </c>
      <c r="B576" s="6">
        <v>0.19580466499999999</v>
      </c>
      <c r="C576" s="6">
        <v>0.97426689899999996</v>
      </c>
    </row>
    <row r="577" spans="1:3" x14ac:dyDescent="0.25">
      <c r="A577" s="6" t="s">
        <v>736</v>
      </c>
      <c r="B577" s="6">
        <v>1.1663381E-2</v>
      </c>
      <c r="C577" s="6">
        <v>0.54926406000000005</v>
      </c>
    </row>
    <row r="578" spans="1:3" x14ac:dyDescent="0.25">
      <c r="A578" s="6" t="s">
        <v>414</v>
      </c>
      <c r="B578" s="6">
        <v>6.7036284000000002E-2</v>
      </c>
      <c r="C578" s="6">
        <v>1.184904118</v>
      </c>
    </row>
    <row r="579" spans="1:3" x14ac:dyDescent="0.25">
      <c r="A579" s="6" t="s">
        <v>363</v>
      </c>
      <c r="B579" s="6">
        <v>5.4310114E-2</v>
      </c>
      <c r="C579" s="6">
        <v>0.42618391100000003</v>
      </c>
    </row>
    <row r="580" spans="1:3" x14ac:dyDescent="0.25">
      <c r="A580" s="6" t="s">
        <v>458</v>
      </c>
      <c r="B580" s="6">
        <v>7.4771957999999999E-2</v>
      </c>
      <c r="C580" s="6">
        <v>0.12296971299999999</v>
      </c>
    </row>
    <row r="581" spans="1:3" x14ac:dyDescent="0.25">
      <c r="A581" s="6" t="s">
        <v>371</v>
      </c>
      <c r="B581" s="6">
        <v>5.5757402999999997E-2</v>
      </c>
      <c r="C581" s="6">
        <v>0.32550974599999999</v>
      </c>
    </row>
    <row r="582" spans="1:3" x14ac:dyDescent="0.25">
      <c r="A582" s="6" t="s">
        <v>422</v>
      </c>
      <c r="B582" s="6">
        <v>0.11708798400000001</v>
      </c>
      <c r="C582" s="6">
        <v>0.16075075899999999</v>
      </c>
    </row>
    <row r="583" spans="1:3" x14ac:dyDescent="0.25">
      <c r="A583" s="6" t="s">
        <v>231</v>
      </c>
      <c r="B583" s="6">
        <v>0.50130876999999996</v>
      </c>
      <c r="C583" s="6">
        <v>7.1050932959999997</v>
      </c>
    </row>
    <row r="584" spans="1:3" x14ac:dyDescent="0.25">
      <c r="A584" s="6" t="s">
        <v>274</v>
      </c>
      <c r="B584" s="6">
        <v>0.38354967499999998</v>
      </c>
      <c r="C584" s="6">
        <v>0.551605711</v>
      </c>
    </row>
    <row r="585" spans="1:3" x14ac:dyDescent="0.25">
      <c r="A585" s="6" t="s">
        <v>229</v>
      </c>
      <c r="B585" s="6">
        <v>4.3390537999999999E-2</v>
      </c>
      <c r="C585" s="6">
        <v>1.4852888900000001</v>
      </c>
    </row>
    <row r="586" spans="1:3" x14ac:dyDescent="0.25">
      <c r="A586" s="6" t="s">
        <v>306</v>
      </c>
      <c r="B586" s="6">
        <v>3.4554583E-2</v>
      </c>
      <c r="C586" s="6">
        <v>7.2654244000000007E-2</v>
      </c>
    </row>
    <row r="587" spans="1:3" x14ac:dyDescent="0.25">
      <c r="A587" s="6" t="s">
        <v>710</v>
      </c>
      <c r="B587" s="6">
        <v>9.0632053000000004E-2</v>
      </c>
      <c r="C587" s="6">
        <v>1.165685861</v>
      </c>
    </row>
    <row r="588" spans="1:3" x14ac:dyDescent="0.25">
      <c r="A588" s="6" t="s">
        <v>684</v>
      </c>
      <c r="B588" s="6">
        <v>0.491158549</v>
      </c>
      <c r="C588" s="6">
        <v>6.6048047109999999</v>
      </c>
    </row>
    <row r="589" spans="1:3" x14ac:dyDescent="0.25">
      <c r="A589" s="6" t="s">
        <v>420</v>
      </c>
      <c r="B589" s="6">
        <v>0.112858446</v>
      </c>
      <c r="C589" s="6">
        <v>0.54483687300000005</v>
      </c>
    </row>
    <row r="590" spans="1:3" x14ac:dyDescent="0.25">
      <c r="A590" s="6" t="s">
        <v>949</v>
      </c>
      <c r="B590" s="6">
        <v>0.18598826299999999</v>
      </c>
      <c r="C590" s="6">
        <v>0.11026082800000001</v>
      </c>
    </row>
    <row r="591" spans="1:3" x14ac:dyDescent="0.25">
      <c r="A591" s="6" t="s">
        <v>555</v>
      </c>
      <c r="B591" s="6">
        <v>0.14520267000000001</v>
      </c>
      <c r="C591" s="6">
        <v>2.1841250689999998</v>
      </c>
    </row>
    <row r="592" spans="1:3" x14ac:dyDescent="0.25">
      <c r="A592" s="6" t="s">
        <v>367</v>
      </c>
      <c r="B592" s="6">
        <v>2.6473859999999998E-2</v>
      </c>
      <c r="C592" s="6">
        <v>2.1031079999999998E-3</v>
      </c>
    </row>
    <row r="593" spans="1:3" x14ac:dyDescent="0.25">
      <c r="A593" s="6" t="s">
        <v>489</v>
      </c>
      <c r="B593" s="6">
        <v>9.3883574999999997E-2</v>
      </c>
      <c r="C593" s="6">
        <v>1.124154315</v>
      </c>
    </row>
    <row r="594" spans="1:3" x14ac:dyDescent="0.25">
      <c r="A594" s="6" t="s">
        <v>550</v>
      </c>
      <c r="B594" s="6">
        <v>0.410059438</v>
      </c>
      <c r="C594" s="6">
        <v>0.84379719200000003</v>
      </c>
    </row>
    <row r="595" spans="1:3" x14ac:dyDescent="0.25">
      <c r="A595" s="6" t="s">
        <v>678</v>
      </c>
      <c r="B595" s="6">
        <v>0.13149799100000001</v>
      </c>
      <c r="C595" s="6">
        <v>0.495225472</v>
      </c>
    </row>
    <row r="596" spans="1:3" x14ac:dyDescent="0.25">
      <c r="A596" s="6" t="s">
        <v>579</v>
      </c>
      <c r="B596" s="6">
        <v>9.0422769E-2</v>
      </c>
      <c r="C596" s="6">
        <v>0.135533969</v>
      </c>
    </row>
    <row r="597" spans="1:3" x14ac:dyDescent="0.25">
      <c r="A597" s="6" t="s">
        <v>87</v>
      </c>
      <c r="B597" s="6">
        <v>8.1271418999999998E-2</v>
      </c>
      <c r="C597" s="6">
        <v>0.14222697500000001</v>
      </c>
    </row>
    <row r="598" spans="1:3" x14ac:dyDescent="0.25">
      <c r="A598" s="6" t="s">
        <v>112</v>
      </c>
      <c r="B598" s="6">
        <v>3.831217E-2</v>
      </c>
      <c r="C598" s="6">
        <v>0.92416379199999998</v>
      </c>
    </row>
    <row r="599" spans="1:3" x14ac:dyDescent="0.25">
      <c r="A599" s="6" t="s">
        <v>950</v>
      </c>
      <c r="B599" s="6">
        <v>0.16918698400000001</v>
      </c>
      <c r="C599" s="6">
        <v>0.44766149100000002</v>
      </c>
    </row>
    <row r="600" spans="1:3" x14ac:dyDescent="0.25">
      <c r="A600" s="6" t="s">
        <v>529</v>
      </c>
      <c r="B600" s="6">
        <v>8.9826879999999998E-2</v>
      </c>
      <c r="C600" s="6">
        <v>1.298298046</v>
      </c>
    </row>
    <row r="601" spans="1:3" x14ac:dyDescent="0.25">
      <c r="A601" s="6" t="s">
        <v>538</v>
      </c>
      <c r="B601" s="6">
        <v>0.101297872</v>
      </c>
      <c r="C601" s="6">
        <v>1.712016363</v>
      </c>
    </row>
    <row r="602" spans="1:3" x14ac:dyDescent="0.25">
      <c r="A602" s="6" t="s">
        <v>659</v>
      </c>
      <c r="B602" s="6">
        <v>6.3524264999999996E-2</v>
      </c>
      <c r="C602" s="6">
        <v>0.91099229900000001</v>
      </c>
    </row>
    <row r="603" spans="1:3" x14ac:dyDescent="0.25">
      <c r="A603" s="6" t="s">
        <v>951</v>
      </c>
      <c r="B603" s="6">
        <v>7.2021615999999997E-2</v>
      </c>
      <c r="C603" s="6">
        <v>0.220278523</v>
      </c>
    </row>
    <row r="604" spans="1:3" x14ac:dyDescent="0.25">
      <c r="A604" s="6" t="s">
        <v>622</v>
      </c>
      <c r="B604" s="6">
        <v>4.0976748E-2</v>
      </c>
      <c r="C604" s="6">
        <v>0.46054042000000001</v>
      </c>
    </row>
    <row r="605" spans="1:3" x14ac:dyDescent="0.25">
      <c r="A605" s="6" t="s">
        <v>185</v>
      </c>
      <c r="B605" s="6">
        <v>9.6080675000000004E-2</v>
      </c>
      <c r="C605" s="6">
        <v>0.52605539700000004</v>
      </c>
    </row>
    <row r="606" spans="1:3" x14ac:dyDescent="0.25">
      <c r="A606" s="6" t="s">
        <v>640</v>
      </c>
      <c r="B606" s="6">
        <v>6.1708560000000003E-2</v>
      </c>
      <c r="C606" s="6">
        <v>0.120321259</v>
      </c>
    </row>
    <row r="607" spans="1:3" x14ac:dyDescent="0.25">
      <c r="A607" s="6" t="s">
        <v>653</v>
      </c>
      <c r="B607" s="6">
        <v>0.200665801</v>
      </c>
      <c r="C607" s="6">
        <v>0.40444026100000002</v>
      </c>
    </row>
    <row r="608" spans="1:3" x14ac:dyDescent="0.25">
      <c r="A608" s="6" t="s">
        <v>606</v>
      </c>
      <c r="B608" s="6">
        <v>0.681662412</v>
      </c>
      <c r="C608" s="6">
        <v>1.415113686</v>
      </c>
    </row>
    <row r="609" spans="1:3" x14ac:dyDescent="0.25">
      <c r="A609" s="6" t="s">
        <v>411</v>
      </c>
      <c r="B609" s="6">
        <v>4.4133021000000001E-2</v>
      </c>
      <c r="C609" s="6">
        <v>0.43098710899999998</v>
      </c>
    </row>
    <row r="610" spans="1:3" x14ac:dyDescent="0.25">
      <c r="A610" s="6" t="s">
        <v>141</v>
      </c>
      <c r="B610" s="6">
        <v>0.37430354500000002</v>
      </c>
      <c r="C610" s="6">
        <v>0.40247603300000001</v>
      </c>
    </row>
    <row r="611" spans="1:3" x14ac:dyDescent="0.25">
      <c r="A611" s="6" t="s">
        <v>314</v>
      </c>
      <c r="B611" s="6">
        <v>0.116870342</v>
      </c>
      <c r="C611" s="6">
        <v>1.468963936</v>
      </c>
    </row>
    <row r="612" spans="1:3" x14ac:dyDescent="0.25">
      <c r="A612" s="6" t="s">
        <v>209</v>
      </c>
      <c r="B612" s="6">
        <v>0.22150609900000001</v>
      </c>
      <c r="C612" s="6">
        <v>0.59245708900000005</v>
      </c>
    </row>
    <row r="613" spans="1:3" x14ac:dyDescent="0.25">
      <c r="A613" s="6" t="s">
        <v>85</v>
      </c>
      <c r="B613" s="6">
        <v>6.7306568999999997E-2</v>
      </c>
      <c r="C613" s="6">
        <v>2.1523835330000001</v>
      </c>
    </row>
    <row r="614" spans="1:3" x14ac:dyDescent="0.25">
      <c r="A614" s="6" t="s">
        <v>157</v>
      </c>
      <c r="B614" s="6">
        <v>5.0089441999999998E-2</v>
      </c>
      <c r="C614" s="6">
        <v>0.74867751000000005</v>
      </c>
    </row>
    <row r="615" spans="1:3" x14ac:dyDescent="0.25">
      <c r="A615" s="6" t="s">
        <v>952</v>
      </c>
      <c r="B615" s="6">
        <v>8.8283242999999997E-2</v>
      </c>
      <c r="C615" s="6">
        <v>2.213228006</v>
      </c>
    </row>
    <row r="616" spans="1:3" x14ac:dyDescent="0.25">
      <c r="A616" s="6" t="s">
        <v>88</v>
      </c>
      <c r="B616" s="6">
        <v>0.90453657799999998</v>
      </c>
      <c r="C616" s="6">
        <v>4.3908298889999999</v>
      </c>
    </row>
    <row r="617" spans="1:3" x14ac:dyDescent="0.25">
      <c r="A617" s="6" t="s">
        <v>302</v>
      </c>
      <c r="B617" s="6">
        <v>1.4609926000000001E-2</v>
      </c>
      <c r="C617" s="6">
        <v>9.4375863000000004E-2</v>
      </c>
    </row>
    <row r="618" spans="1:3" x14ac:dyDescent="0.25">
      <c r="A618" s="6" t="s">
        <v>130</v>
      </c>
      <c r="B618" s="6">
        <v>2.0345891000000001E-2</v>
      </c>
      <c r="C618" s="6">
        <v>0.58168264300000005</v>
      </c>
    </row>
    <row r="619" spans="1:3" x14ac:dyDescent="0.25">
      <c r="A619" s="6" t="s">
        <v>511</v>
      </c>
      <c r="B619" s="6">
        <v>0.139793114</v>
      </c>
      <c r="C619" s="6">
        <v>2.676621709</v>
      </c>
    </row>
    <row r="620" spans="1:3" x14ac:dyDescent="0.25">
      <c r="A620" s="6" t="s">
        <v>224</v>
      </c>
      <c r="B620" s="6">
        <v>3.9524172000000003E-2</v>
      </c>
      <c r="C620" s="6">
        <v>0.22375061900000001</v>
      </c>
    </row>
    <row r="621" spans="1:3" x14ac:dyDescent="0.25">
      <c r="A621" s="6" t="s">
        <v>346</v>
      </c>
      <c r="B621" s="6">
        <v>2.6639913000000001E-2</v>
      </c>
      <c r="C621" s="6">
        <v>0.37555017899999998</v>
      </c>
    </row>
    <row r="622" spans="1:3" x14ac:dyDescent="0.25">
      <c r="A622" s="6" t="s">
        <v>547</v>
      </c>
      <c r="B622" s="6">
        <v>0.27788562300000003</v>
      </c>
      <c r="C622" s="6">
        <v>0.32378886400000001</v>
      </c>
    </row>
    <row r="623" spans="1:3" x14ac:dyDescent="0.25">
      <c r="A623" s="6" t="s">
        <v>56</v>
      </c>
      <c r="B623" s="6">
        <v>0.50475144599999999</v>
      </c>
      <c r="C623" s="6">
        <v>1.4353330909999999</v>
      </c>
    </row>
    <row r="624" spans="1:3" x14ac:dyDescent="0.25">
      <c r="A624" s="6" t="s">
        <v>953</v>
      </c>
      <c r="B624" s="6">
        <v>8.3761075000000004E-2</v>
      </c>
      <c r="C624" s="6">
        <v>0.24529482499999999</v>
      </c>
    </row>
    <row r="625" spans="1:3" x14ac:dyDescent="0.25">
      <c r="A625" s="6" t="s">
        <v>148</v>
      </c>
      <c r="B625" s="6">
        <v>6.7417717000000002E-2</v>
      </c>
      <c r="C625" s="6">
        <v>0.63290213900000003</v>
      </c>
    </row>
    <row r="626" spans="1:3" x14ac:dyDescent="0.25">
      <c r="A626" s="6" t="s">
        <v>954</v>
      </c>
      <c r="B626" s="6">
        <v>9.5562750000000002E-2</v>
      </c>
      <c r="C626" s="6">
        <v>0.39114104500000002</v>
      </c>
    </row>
    <row r="627" spans="1:3" x14ac:dyDescent="0.25">
      <c r="A627" s="6" t="s">
        <v>96</v>
      </c>
      <c r="B627" s="6">
        <v>4.0702281999999999E-2</v>
      </c>
      <c r="C627" s="6">
        <v>0.56456089700000001</v>
      </c>
    </row>
    <row r="628" spans="1:3" x14ac:dyDescent="0.25">
      <c r="A628" s="6" t="s">
        <v>470</v>
      </c>
      <c r="B628" s="6">
        <v>0.80678824100000002</v>
      </c>
      <c r="C628" s="6">
        <v>0.83281245500000001</v>
      </c>
    </row>
    <row r="629" spans="1:3" x14ac:dyDescent="0.25">
      <c r="A629" s="6" t="s">
        <v>695</v>
      </c>
      <c r="B629" s="6">
        <v>0.17728066000000001</v>
      </c>
      <c r="C629" s="6">
        <v>1.0164593</v>
      </c>
    </row>
    <row r="630" spans="1:3" x14ac:dyDescent="0.25">
      <c r="A630" s="6" t="s">
        <v>4</v>
      </c>
      <c r="B630" s="6">
        <v>0.37998994600000002</v>
      </c>
      <c r="C630" s="6">
        <v>0.24265133699999999</v>
      </c>
    </row>
    <row r="631" spans="1:3" x14ac:dyDescent="0.25">
      <c r="A631" s="6" t="s">
        <v>18</v>
      </c>
      <c r="B631" s="6">
        <v>3.8946554000000001E-2</v>
      </c>
      <c r="C631" s="6">
        <v>0.101195335</v>
      </c>
    </row>
    <row r="632" spans="1:3" x14ac:dyDescent="0.25">
      <c r="A632" s="6" t="s">
        <v>623</v>
      </c>
      <c r="B632" s="6">
        <v>0.26625741600000002</v>
      </c>
      <c r="C632" s="6">
        <v>6.7254601999999997E-2</v>
      </c>
    </row>
    <row r="633" spans="1:3" x14ac:dyDescent="0.25">
      <c r="A633" s="6" t="s">
        <v>205</v>
      </c>
      <c r="B633" s="6">
        <v>3.0180641000000001E-2</v>
      </c>
      <c r="C633" s="6">
        <v>0.22705344599999999</v>
      </c>
    </row>
    <row r="634" spans="1:3" x14ac:dyDescent="0.25">
      <c r="A634" s="6" t="s">
        <v>99</v>
      </c>
      <c r="B634" s="6">
        <v>3.2390700000000001E-2</v>
      </c>
      <c r="C634" s="6">
        <v>0.31681508400000002</v>
      </c>
    </row>
    <row r="635" spans="1:3" x14ac:dyDescent="0.25">
      <c r="A635" s="6" t="s">
        <v>21</v>
      </c>
      <c r="B635" s="6">
        <v>4.1995314999999998E-2</v>
      </c>
      <c r="C635" s="6">
        <v>0.67167850900000003</v>
      </c>
    </row>
    <row r="636" spans="1:3" x14ac:dyDescent="0.25">
      <c r="A636" s="6" t="s">
        <v>216</v>
      </c>
      <c r="B636" s="6">
        <v>0.98410997200000006</v>
      </c>
      <c r="C636" s="6">
        <v>4.6946269569999997</v>
      </c>
    </row>
    <row r="637" spans="1:3" x14ac:dyDescent="0.25">
      <c r="A637" s="6" t="s">
        <v>637</v>
      </c>
      <c r="B637" s="6">
        <v>6.4949086000000003E-2</v>
      </c>
      <c r="C637" s="6">
        <v>0.351041777</v>
      </c>
    </row>
    <row r="638" spans="1:3" x14ac:dyDescent="0.25">
      <c r="A638" s="6" t="s">
        <v>138</v>
      </c>
      <c r="B638" s="6">
        <v>0.138254349</v>
      </c>
      <c r="C638" s="6">
        <v>0.19679528399999999</v>
      </c>
    </row>
    <row r="639" spans="1:3" x14ac:dyDescent="0.25">
      <c r="A639" s="6" t="s">
        <v>311</v>
      </c>
      <c r="B639" s="6">
        <v>0.21895261599999999</v>
      </c>
      <c r="C639" s="6">
        <v>0.83055735100000005</v>
      </c>
    </row>
    <row r="640" spans="1:3" x14ac:dyDescent="0.25">
      <c r="A640" s="6" t="s">
        <v>717</v>
      </c>
      <c r="B640" s="6">
        <v>8.5281806000000002E-2</v>
      </c>
      <c r="C640" s="6">
        <v>1.133346763</v>
      </c>
    </row>
    <row r="641" spans="1:3" x14ac:dyDescent="0.25">
      <c r="A641" s="6" t="s">
        <v>416</v>
      </c>
      <c r="B641" s="6">
        <v>0.226544782</v>
      </c>
      <c r="C641" s="6">
        <v>0.82765609799999995</v>
      </c>
    </row>
    <row r="642" spans="1:3" x14ac:dyDescent="0.25">
      <c r="A642" s="6" t="s">
        <v>955</v>
      </c>
      <c r="B642" s="6">
        <v>9.4144974000000006E-2</v>
      </c>
      <c r="C642" s="6">
        <v>0.68826874199999999</v>
      </c>
    </row>
    <row r="643" spans="1:3" x14ac:dyDescent="0.25">
      <c r="A643" s="6" t="s">
        <v>572</v>
      </c>
      <c r="B643" s="6">
        <v>1.8966481E-2</v>
      </c>
      <c r="C643" s="6">
        <v>8.5342442000000004E-2</v>
      </c>
    </row>
    <row r="644" spans="1:3" x14ac:dyDescent="0.25">
      <c r="A644" s="6" t="s">
        <v>715</v>
      </c>
      <c r="B644" s="6">
        <v>5.1753878000000003E-2</v>
      </c>
      <c r="C644" s="6">
        <v>0.270686702</v>
      </c>
    </row>
    <row r="645" spans="1:3" x14ac:dyDescent="0.25">
      <c r="A645" s="6" t="s">
        <v>956</v>
      </c>
      <c r="B645" s="6">
        <v>0.119482529</v>
      </c>
      <c r="C645" s="6">
        <v>3.1152504000000001E-2</v>
      </c>
    </row>
    <row r="646" spans="1:3" x14ac:dyDescent="0.25">
      <c r="A646" s="6" t="s">
        <v>436</v>
      </c>
      <c r="B646" s="6">
        <v>6.4068642999999995E-2</v>
      </c>
      <c r="C646" s="6">
        <v>4.1446777999999997E-2</v>
      </c>
    </row>
    <row r="647" spans="1:3" x14ac:dyDescent="0.25">
      <c r="A647" s="6" t="s">
        <v>268</v>
      </c>
      <c r="B647" s="6">
        <v>6.3652695999999995E-2</v>
      </c>
      <c r="C647" s="6">
        <v>0.34814978800000002</v>
      </c>
    </row>
    <row r="648" spans="1:3" x14ac:dyDescent="0.25">
      <c r="A648" s="6" t="s">
        <v>438</v>
      </c>
      <c r="B648" s="6">
        <v>0.118957806</v>
      </c>
      <c r="C648" s="6">
        <v>0.80893050799999999</v>
      </c>
    </row>
    <row r="649" spans="1:3" x14ac:dyDescent="0.25">
      <c r="A649" s="6" t="s">
        <v>735</v>
      </c>
      <c r="B649" s="6">
        <v>0.39640486899999999</v>
      </c>
      <c r="C649" s="6">
        <v>0.84834097100000005</v>
      </c>
    </row>
    <row r="650" spans="1:3" x14ac:dyDescent="0.25">
      <c r="A650" s="6" t="s">
        <v>626</v>
      </c>
      <c r="B650" s="6">
        <v>0.46139754100000002</v>
      </c>
      <c r="C650" s="6">
        <v>0.46848837999999998</v>
      </c>
    </row>
    <row r="651" spans="1:3" x14ac:dyDescent="0.25">
      <c r="A651" s="6" t="s">
        <v>686</v>
      </c>
      <c r="B651" s="6">
        <v>6.8879514000000003E-2</v>
      </c>
      <c r="C651" s="6">
        <v>1.2374593620000001</v>
      </c>
    </row>
    <row r="652" spans="1:3" x14ac:dyDescent="0.25">
      <c r="A652" s="6" t="s">
        <v>957</v>
      </c>
      <c r="B652" s="6">
        <v>0.271850657</v>
      </c>
      <c r="C652" s="6">
        <v>0.308380865</v>
      </c>
    </row>
    <row r="653" spans="1:3" x14ac:dyDescent="0.25">
      <c r="A653" s="6" t="s">
        <v>471</v>
      </c>
      <c r="B653" s="6">
        <v>0.188823087</v>
      </c>
      <c r="C653" s="6">
        <v>0.25686847899999998</v>
      </c>
    </row>
    <row r="654" spans="1:3" x14ac:dyDescent="0.25">
      <c r="A654" s="6" t="s">
        <v>688</v>
      </c>
      <c r="B654" s="6">
        <v>2.4702923000000002E-2</v>
      </c>
      <c r="C654" s="6">
        <v>8.6812031999999997E-2</v>
      </c>
    </row>
    <row r="655" spans="1:3" x14ac:dyDescent="0.25">
      <c r="A655" s="6" t="s">
        <v>958</v>
      </c>
      <c r="B655" s="6">
        <v>1.5604084000000001E-2</v>
      </c>
      <c r="C655" s="6">
        <v>1.2885513289999999</v>
      </c>
    </row>
    <row r="656" spans="1:3" x14ac:dyDescent="0.25">
      <c r="A656" s="6" t="s">
        <v>364</v>
      </c>
      <c r="B656" s="6">
        <v>0.210410761</v>
      </c>
      <c r="C656" s="6">
        <v>0.45275433399999998</v>
      </c>
    </row>
    <row r="657" spans="1:3" x14ac:dyDescent="0.25">
      <c r="A657" s="6" t="s">
        <v>959</v>
      </c>
      <c r="B657" s="6">
        <v>0.21730117500000001</v>
      </c>
      <c r="C657" s="6">
        <v>4.3287557909999999</v>
      </c>
    </row>
    <row r="658" spans="1:3" x14ac:dyDescent="0.25">
      <c r="A658" s="6" t="s">
        <v>55</v>
      </c>
      <c r="B658" s="6">
        <v>8.2492415999999999E-2</v>
      </c>
      <c r="C658" s="6">
        <v>6.2805965000000005E-2</v>
      </c>
    </row>
    <row r="659" spans="1:3" x14ac:dyDescent="0.25">
      <c r="A659" s="6" t="s">
        <v>183</v>
      </c>
      <c r="B659" s="6">
        <v>7.5238041000000005E-2</v>
      </c>
      <c r="C659" s="6">
        <v>0.33928188799999998</v>
      </c>
    </row>
    <row r="660" spans="1:3" x14ac:dyDescent="0.25">
      <c r="A660" s="6" t="s">
        <v>687</v>
      </c>
      <c r="B660" s="6">
        <v>4.9832148999999999E-2</v>
      </c>
      <c r="C660" s="6">
        <v>3.9466659999999997E-3</v>
      </c>
    </row>
    <row r="661" spans="1:3" x14ac:dyDescent="0.25">
      <c r="A661" s="6" t="s">
        <v>960</v>
      </c>
      <c r="B661" s="6">
        <v>1.1018730050000001</v>
      </c>
      <c r="C661" s="6">
        <v>5.1243577519999999</v>
      </c>
    </row>
    <row r="662" spans="1:3" x14ac:dyDescent="0.25">
      <c r="A662" s="6" t="s">
        <v>106</v>
      </c>
      <c r="B662" s="6">
        <v>0.47249894100000001</v>
      </c>
      <c r="C662" s="6">
        <v>6.910003659</v>
      </c>
    </row>
    <row r="663" spans="1:3" x14ac:dyDescent="0.25">
      <c r="A663" s="6" t="s">
        <v>628</v>
      </c>
      <c r="B663" s="6">
        <v>0.13362358499999999</v>
      </c>
      <c r="C663" s="6">
        <v>1.445487159</v>
      </c>
    </row>
    <row r="664" spans="1:3" x14ac:dyDescent="0.25">
      <c r="A664" s="6" t="s">
        <v>297</v>
      </c>
      <c r="B664" s="6">
        <v>2.1352455999999999E-2</v>
      </c>
      <c r="C664" s="6">
        <v>0.39081722600000002</v>
      </c>
    </row>
    <row r="665" spans="1:3" x14ac:dyDescent="0.25">
      <c r="A665" s="6" t="s">
        <v>961</v>
      </c>
      <c r="B665" s="6">
        <v>6.8120833000000006E-2</v>
      </c>
      <c r="C665" s="6">
        <v>1.684236694</v>
      </c>
    </row>
    <row r="666" spans="1:3" x14ac:dyDescent="0.25">
      <c r="A666" s="6" t="s">
        <v>500</v>
      </c>
      <c r="B666" s="6">
        <v>0.120827245</v>
      </c>
      <c r="C666" s="6">
        <v>0.43097644299999999</v>
      </c>
    </row>
    <row r="667" spans="1:3" x14ac:dyDescent="0.25">
      <c r="A667" s="6" t="s">
        <v>962</v>
      </c>
      <c r="B667" s="6">
        <v>9.3772129999999995E-2</v>
      </c>
      <c r="C667" s="6">
        <v>0.23606511999999999</v>
      </c>
    </row>
    <row r="668" spans="1:3" x14ac:dyDescent="0.25">
      <c r="A668" s="6" t="s">
        <v>518</v>
      </c>
      <c r="B668" s="6">
        <v>7.5804104999999997E-2</v>
      </c>
      <c r="C668" s="6">
        <v>0.85637803999999995</v>
      </c>
    </row>
    <row r="669" spans="1:3" x14ac:dyDescent="0.25">
      <c r="A669" s="6" t="s">
        <v>624</v>
      </c>
      <c r="B669" s="6">
        <v>8.6575990000000005E-2</v>
      </c>
      <c r="C669" s="6">
        <v>0.51768232400000003</v>
      </c>
    </row>
    <row r="670" spans="1:3" x14ac:dyDescent="0.25">
      <c r="A670" s="6" t="s">
        <v>344</v>
      </c>
      <c r="B670" s="6">
        <v>2.8945736E-2</v>
      </c>
      <c r="C670" s="6">
        <v>0.15309131500000001</v>
      </c>
    </row>
    <row r="671" spans="1:3" x14ac:dyDescent="0.25">
      <c r="A671" s="6" t="s">
        <v>273</v>
      </c>
      <c r="B671" s="6">
        <v>0.109983185</v>
      </c>
      <c r="C671" s="6">
        <v>0.54225316599999995</v>
      </c>
    </row>
    <row r="672" spans="1:3" x14ac:dyDescent="0.25">
      <c r="A672" s="6" t="s">
        <v>149</v>
      </c>
      <c r="B672" s="6">
        <v>0.15312708899999999</v>
      </c>
      <c r="C672" s="6">
        <v>0.100055432</v>
      </c>
    </row>
    <row r="673" spans="1:3" x14ac:dyDescent="0.25">
      <c r="A673" s="6" t="s">
        <v>76</v>
      </c>
      <c r="B673" s="6">
        <v>3.1245767000000001E-2</v>
      </c>
      <c r="C673" s="6">
        <v>8.6921400999999995E-2</v>
      </c>
    </row>
    <row r="674" spans="1:3" x14ac:dyDescent="0.25">
      <c r="A674" s="6" t="s">
        <v>360</v>
      </c>
      <c r="B674" s="6">
        <v>4.5308017999999999E-2</v>
      </c>
      <c r="C674" s="6">
        <v>0.89180468199999996</v>
      </c>
    </row>
    <row r="675" spans="1:3" x14ac:dyDescent="0.25">
      <c r="A675" s="6" t="s">
        <v>33</v>
      </c>
      <c r="B675" s="6">
        <v>9.2205240999999993E-2</v>
      </c>
      <c r="C675" s="6">
        <v>0.25767408400000003</v>
      </c>
    </row>
    <row r="676" spans="1:3" x14ac:dyDescent="0.25">
      <c r="A676" s="6" t="s">
        <v>568</v>
      </c>
      <c r="B676" s="6">
        <v>0.924030307</v>
      </c>
      <c r="C676" s="6">
        <v>2.29356815</v>
      </c>
    </row>
    <row r="677" spans="1:3" x14ac:dyDescent="0.25">
      <c r="A677" s="6" t="s">
        <v>98</v>
      </c>
      <c r="B677" s="6">
        <v>1.5394242000000001E-2</v>
      </c>
      <c r="C677" s="6">
        <v>0.18793199499999999</v>
      </c>
    </row>
    <row r="678" spans="1:3" x14ac:dyDescent="0.25">
      <c r="A678" s="6" t="s">
        <v>574</v>
      </c>
      <c r="B678" s="6">
        <v>4.8917654999999997E-2</v>
      </c>
      <c r="C678" s="6">
        <v>0.16396412699999999</v>
      </c>
    </row>
    <row r="679" spans="1:3" x14ac:dyDescent="0.25">
      <c r="A679" s="6" t="s">
        <v>111</v>
      </c>
      <c r="B679" s="6">
        <v>0.491161872</v>
      </c>
      <c r="C679" s="6">
        <v>5.7215866130000004</v>
      </c>
    </row>
    <row r="680" spans="1:3" x14ac:dyDescent="0.25">
      <c r="A680" s="6" t="s">
        <v>247</v>
      </c>
      <c r="B680" s="6">
        <v>0.12916112900000001</v>
      </c>
      <c r="C680" s="6">
        <v>0.53259789300000004</v>
      </c>
    </row>
    <row r="681" spans="1:3" x14ac:dyDescent="0.25">
      <c r="A681" s="6" t="s">
        <v>37</v>
      </c>
      <c r="B681" s="6">
        <v>3.0038458000000001E-2</v>
      </c>
      <c r="C681" s="6">
        <v>0.144581716</v>
      </c>
    </row>
    <row r="682" spans="1:3" x14ac:dyDescent="0.25">
      <c r="A682" s="6" t="s">
        <v>115</v>
      </c>
      <c r="B682" s="6">
        <v>4.9259371000000003E-2</v>
      </c>
      <c r="C682" s="6">
        <v>8.9579913999999997E-2</v>
      </c>
    </row>
    <row r="683" spans="1:3" x14ac:dyDescent="0.25">
      <c r="A683" s="6" t="s">
        <v>549</v>
      </c>
      <c r="B683" s="6">
        <v>0.10182859</v>
      </c>
      <c r="C683" s="6">
        <v>0.44785604699999998</v>
      </c>
    </row>
    <row r="684" spans="1:3" x14ac:dyDescent="0.25">
      <c r="A684" s="6" t="s">
        <v>222</v>
      </c>
      <c r="B684" s="6">
        <v>7.4811104000000003E-2</v>
      </c>
      <c r="C684" s="6">
        <v>0.59700024100000004</v>
      </c>
    </row>
    <row r="685" spans="1:3" x14ac:dyDescent="0.25">
      <c r="A685" s="6" t="s">
        <v>963</v>
      </c>
      <c r="B685" s="6">
        <v>0.15838888200000001</v>
      </c>
      <c r="C685" s="6">
        <v>0.21593578699999999</v>
      </c>
    </row>
    <row r="686" spans="1:3" x14ac:dyDescent="0.25">
      <c r="A686" s="6" t="s">
        <v>20</v>
      </c>
      <c r="B686" s="6">
        <v>4.9835812E-2</v>
      </c>
      <c r="C686" s="6">
        <v>2.791741E-2</v>
      </c>
    </row>
    <row r="687" spans="1:3" x14ac:dyDescent="0.25">
      <c r="A687" s="6" t="s">
        <v>0</v>
      </c>
      <c r="B687" s="6">
        <v>4.8599648000000002E-2</v>
      </c>
      <c r="C687" s="6">
        <v>7.9187624999999998E-2</v>
      </c>
    </row>
    <row r="688" spans="1:3" x14ac:dyDescent="0.25">
      <c r="A688" s="6" t="s">
        <v>345</v>
      </c>
      <c r="B688" s="6">
        <v>5.2789991000000001E-2</v>
      </c>
      <c r="C688" s="6">
        <v>0.53530411899999997</v>
      </c>
    </row>
    <row r="689" spans="1:3" x14ac:dyDescent="0.25">
      <c r="A689" s="6" t="s">
        <v>275</v>
      </c>
      <c r="B689" s="6">
        <v>5.1100290999999999E-2</v>
      </c>
      <c r="C689" s="6">
        <v>0.69525052799999998</v>
      </c>
    </row>
    <row r="690" spans="1:3" x14ac:dyDescent="0.25">
      <c r="A690" s="6" t="s">
        <v>604</v>
      </c>
      <c r="B690" s="6">
        <v>3.9597464999999998E-2</v>
      </c>
      <c r="C690" s="6">
        <v>1.132339041</v>
      </c>
    </row>
    <row r="691" spans="1:3" x14ac:dyDescent="0.25">
      <c r="A691" s="6" t="s">
        <v>495</v>
      </c>
      <c r="B691" s="6">
        <v>1.2846455999999999E-2</v>
      </c>
      <c r="C691" s="6">
        <v>1.1710007999999999E-2</v>
      </c>
    </row>
    <row r="692" spans="1:3" x14ac:dyDescent="0.25">
      <c r="A692" s="6" t="s">
        <v>49</v>
      </c>
      <c r="B692" s="6">
        <v>0.33443584500000001</v>
      </c>
      <c r="C692" s="6">
        <v>0.59797890600000003</v>
      </c>
    </row>
    <row r="693" spans="1:3" x14ac:dyDescent="0.25">
      <c r="A693" s="6" t="s">
        <v>390</v>
      </c>
      <c r="B693" s="6">
        <v>4.8973824999999999E-2</v>
      </c>
      <c r="C693" s="6">
        <v>0.54762551000000004</v>
      </c>
    </row>
    <row r="694" spans="1:3" x14ac:dyDescent="0.25">
      <c r="A694" s="6" t="s">
        <v>350</v>
      </c>
      <c r="B694" s="6">
        <v>4.6783755000000003E-2</v>
      </c>
      <c r="C694" s="6">
        <v>0.34715446599999999</v>
      </c>
    </row>
    <row r="695" spans="1:3" x14ac:dyDescent="0.25">
      <c r="A695" s="6" t="s">
        <v>545</v>
      </c>
      <c r="B695" s="6">
        <v>4.0304698E-2</v>
      </c>
      <c r="C695" s="6">
        <v>0.45399686299999997</v>
      </c>
    </row>
    <row r="696" spans="1:3" x14ac:dyDescent="0.25">
      <c r="A696" s="6" t="s">
        <v>284</v>
      </c>
      <c r="B696" s="6">
        <v>4.3638824E-2</v>
      </c>
      <c r="C696" s="6">
        <v>0.94561996699999995</v>
      </c>
    </row>
    <row r="697" spans="1:3" x14ac:dyDescent="0.25">
      <c r="A697" s="6" t="s">
        <v>368</v>
      </c>
      <c r="B697" s="6">
        <v>8.1557106000000004E-2</v>
      </c>
      <c r="C697" s="6">
        <v>0.59403688300000002</v>
      </c>
    </row>
    <row r="698" spans="1:3" x14ac:dyDescent="0.25">
      <c r="A698" s="6" t="s">
        <v>198</v>
      </c>
      <c r="B698" s="6">
        <v>6.5443322999999998E-2</v>
      </c>
      <c r="C698" s="6">
        <v>0.59777337900000005</v>
      </c>
    </row>
    <row r="699" spans="1:3" x14ac:dyDescent="0.25">
      <c r="A699" s="6" t="s">
        <v>461</v>
      </c>
      <c r="B699" s="6">
        <v>6.0535881999999999E-2</v>
      </c>
      <c r="C699" s="6">
        <v>7.7161019999999999E-3</v>
      </c>
    </row>
    <row r="700" spans="1:3" x14ac:dyDescent="0.25">
      <c r="A700" s="6" t="s">
        <v>324</v>
      </c>
      <c r="B700" s="6">
        <v>0.239322642</v>
      </c>
      <c r="C700" s="6">
        <v>0.74127269900000003</v>
      </c>
    </row>
    <row r="701" spans="1:3" x14ac:dyDescent="0.25">
      <c r="A701" s="6" t="s">
        <v>459</v>
      </c>
      <c r="B701" s="6">
        <v>5.4590668000000002E-2</v>
      </c>
      <c r="C701" s="6">
        <v>0.76899185000000003</v>
      </c>
    </row>
    <row r="702" spans="1:3" x14ac:dyDescent="0.25">
      <c r="A702" s="6" t="s">
        <v>373</v>
      </c>
      <c r="B702" s="6">
        <v>1.047086309</v>
      </c>
      <c r="C702" s="6">
        <v>4.4012348489999997</v>
      </c>
    </row>
    <row r="703" spans="1:3" x14ac:dyDescent="0.25">
      <c r="A703" s="6" t="s">
        <v>243</v>
      </c>
      <c r="B703" s="6">
        <v>5.2128250000000001E-2</v>
      </c>
      <c r="C703" s="6">
        <v>9.1861688999999996E-2</v>
      </c>
    </row>
    <row r="704" spans="1:3" x14ac:dyDescent="0.25">
      <c r="A704" s="6" t="s">
        <v>578</v>
      </c>
      <c r="B704" s="6">
        <v>8.7727590999999994E-2</v>
      </c>
      <c r="C704" s="6">
        <v>2.9738199E-2</v>
      </c>
    </row>
    <row r="705" spans="1:3" x14ac:dyDescent="0.25">
      <c r="A705" s="6" t="s">
        <v>153</v>
      </c>
      <c r="B705" s="6">
        <v>0.61662208699999999</v>
      </c>
      <c r="C705" s="6">
        <v>0.21618579099999999</v>
      </c>
    </row>
    <row r="706" spans="1:3" x14ac:dyDescent="0.25">
      <c r="A706" s="6" t="s">
        <v>491</v>
      </c>
      <c r="B706" s="6">
        <v>3.3558791999999997E-2</v>
      </c>
      <c r="C706" s="6">
        <v>0.110168365</v>
      </c>
    </row>
    <row r="707" spans="1:3" x14ac:dyDescent="0.25">
      <c r="A707" s="6" t="s">
        <v>132</v>
      </c>
      <c r="B707" s="6">
        <v>4.3301165000000003E-2</v>
      </c>
      <c r="C707" s="6">
        <v>1.008678951</v>
      </c>
    </row>
    <row r="708" spans="1:3" x14ac:dyDescent="0.25">
      <c r="A708" s="6" t="s">
        <v>677</v>
      </c>
      <c r="B708" s="6">
        <v>0.25225429999999999</v>
      </c>
      <c r="C708" s="6">
        <v>1.6848322579999999</v>
      </c>
    </row>
    <row r="709" spans="1:3" x14ac:dyDescent="0.25">
      <c r="A709" s="6" t="s">
        <v>166</v>
      </c>
      <c r="B709" s="6">
        <v>7.0260680000000006E-2</v>
      </c>
      <c r="C709" s="6">
        <v>0.29837134599999998</v>
      </c>
    </row>
    <row r="710" spans="1:3" x14ac:dyDescent="0.25">
      <c r="A710" s="6" t="s">
        <v>588</v>
      </c>
      <c r="B710" s="6">
        <v>5.3010753000000001E-2</v>
      </c>
      <c r="C710" s="6">
        <v>0.11925445599999999</v>
      </c>
    </row>
    <row r="711" spans="1:3" x14ac:dyDescent="0.25">
      <c r="A711" s="6" t="s">
        <v>441</v>
      </c>
      <c r="B711" s="6">
        <v>3.4845670000000002E-2</v>
      </c>
      <c r="C711" s="6">
        <v>0.48510120400000001</v>
      </c>
    </row>
    <row r="712" spans="1:3" x14ac:dyDescent="0.25">
      <c r="A712" s="6" t="s">
        <v>681</v>
      </c>
      <c r="B712" s="6">
        <v>9.7439758000000001E-2</v>
      </c>
      <c r="C712" s="6">
        <v>0.37981983899999999</v>
      </c>
    </row>
    <row r="713" spans="1:3" x14ac:dyDescent="0.25">
      <c r="A713" s="6" t="s">
        <v>351</v>
      </c>
      <c r="B713" s="6">
        <v>6.080638E-2</v>
      </c>
      <c r="C713" s="6">
        <v>0.37757294699999999</v>
      </c>
    </row>
    <row r="714" spans="1:3" x14ac:dyDescent="0.25">
      <c r="A714" s="6" t="s">
        <v>202</v>
      </c>
      <c r="B714" s="6">
        <v>0.39591229500000003</v>
      </c>
      <c r="C714" s="6">
        <v>0.47045195699999998</v>
      </c>
    </row>
    <row r="715" spans="1:3" x14ac:dyDescent="0.25">
      <c r="A715" s="6" t="s">
        <v>475</v>
      </c>
      <c r="B715" s="6">
        <v>0.13768271300000001</v>
      </c>
      <c r="C715" s="6">
        <v>5.8754771999999997E-2</v>
      </c>
    </row>
    <row r="716" spans="1:3" x14ac:dyDescent="0.25">
      <c r="A716" s="6" t="s">
        <v>92</v>
      </c>
      <c r="B716" s="6">
        <v>0.207724249</v>
      </c>
      <c r="C716" s="6">
        <v>0.23134644900000001</v>
      </c>
    </row>
    <row r="717" spans="1:3" x14ac:dyDescent="0.25">
      <c r="A717" s="6" t="s">
        <v>335</v>
      </c>
      <c r="B717" s="6">
        <v>4.9423182000000003E-2</v>
      </c>
      <c r="C717" s="6">
        <v>1.0268293E-2</v>
      </c>
    </row>
    <row r="718" spans="1:3" x14ac:dyDescent="0.25">
      <c r="A718" s="6" t="s">
        <v>703</v>
      </c>
      <c r="B718" s="6">
        <v>0.115482618</v>
      </c>
      <c r="C718" s="6">
        <v>0.38848301400000002</v>
      </c>
    </row>
    <row r="719" spans="1:3" x14ac:dyDescent="0.25">
      <c r="A719" s="6" t="s">
        <v>492</v>
      </c>
      <c r="B719" s="6">
        <v>5.8089104000000003E-2</v>
      </c>
      <c r="C719" s="6">
        <v>0.35209613699999998</v>
      </c>
    </row>
    <row r="720" spans="1:3" x14ac:dyDescent="0.25">
      <c r="A720" s="6" t="s">
        <v>608</v>
      </c>
      <c r="B720" s="6">
        <v>4.7951821999999998E-2</v>
      </c>
      <c r="C720" s="6">
        <v>6.9958143E-2</v>
      </c>
    </row>
    <row r="721" spans="1:3" x14ac:dyDescent="0.25">
      <c r="A721" s="6" t="s">
        <v>57</v>
      </c>
      <c r="B721" s="6">
        <v>0.80370465899999999</v>
      </c>
      <c r="C721" s="6">
        <v>5.9959650829999998</v>
      </c>
    </row>
    <row r="722" spans="1:3" x14ac:dyDescent="0.25">
      <c r="A722" s="6" t="s">
        <v>347</v>
      </c>
      <c r="B722" s="6">
        <v>7.3202033E-2</v>
      </c>
      <c r="C722" s="6">
        <v>0.17217819000000001</v>
      </c>
    </row>
    <row r="723" spans="1:3" x14ac:dyDescent="0.25">
      <c r="A723" s="6" t="s">
        <v>970</v>
      </c>
      <c r="B723" s="6">
        <v>0.239816899</v>
      </c>
      <c r="C723" s="6">
        <v>1.068413944</v>
      </c>
    </row>
    <row r="724" spans="1:3" x14ac:dyDescent="0.25">
      <c r="A724" s="6" t="s">
        <v>598</v>
      </c>
      <c r="B724" s="6">
        <v>2.8520035999999999E-2</v>
      </c>
      <c r="C724" s="6">
        <v>0.12537965000000001</v>
      </c>
    </row>
    <row r="725" spans="1:3" x14ac:dyDescent="0.25">
      <c r="A725" s="6" t="s">
        <v>403</v>
      </c>
      <c r="B725" s="6">
        <v>1.821920043</v>
      </c>
      <c r="C725" s="6">
        <v>0.70786684</v>
      </c>
    </row>
    <row r="726" spans="1:3" x14ac:dyDescent="0.25">
      <c r="A726" s="6" t="s">
        <v>646</v>
      </c>
      <c r="B726" s="6">
        <v>3.5671584999999999E-2</v>
      </c>
      <c r="C726" s="6">
        <v>0.63542951800000003</v>
      </c>
    </row>
    <row r="727" spans="1:3" x14ac:dyDescent="0.25">
      <c r="A727" s="6" t="s">
        <v>971</v>
      </c>
      <c r="B727" s="6">
        <v>0.75606970100000004</v>
      </c>
      <c r="C727" s="6">
        <v>1.4435199729999999</v>
      </c>
    </row>
    <row r="728" spans="1:3" x14ac:dyDescent="0.25">
      <c r="A728" s="6" t="s">
        <v>89</v>
      </c>
      <c r="B728" s="6">
        <v>0.36408670399999998</v>
      </c>
      <c r="C728" s="6">
        <v>0.155565763</v>
      </c>
    </row>
    <row r="729" spans="1:3" x14ac:dyDescent="0.25">
      <c r="A729" s="6" t="s">
        <v>251</v>
      </c>
      <c r="B729" s="6">
        <v>3.1510264000000003E-2</v>
      </c>
      <c r="C729" s="6">
        <v>0.23680045299999999</v>
      </c>
    </row>
    <row r="730" spans="1:3" x14ac:dyDescent="0.25">
      <c r="A730" s="6" t="s">
        <v>423</v>
      </c>
      <c r="B730" s="6">
        <v>5.8998974000000003E-2</v>
      </c>
      <c r="C730" s="6">
        <v>0.49123448199999997</v>
      </c>
    </row>
    <row r="731" spans="1:3" x14ac:dyDescent="0.25">
      <c r="A731" s="6" t="s">
        <v>704</v>
      </c>
      <c r="B731" s="6">
        <v>2.7023401999999998E-2</v>
      </c>
      <c r="C731" s="6">
        <v>0.46226088300000001</v>
      </c>
    </row>
    <row r="732" spans="1:3" x14ac:dyDescent="0.25">
      <c r="A732" s="6" t="s">
        <v>260</v>
      </c>
      <c r="B732" s="6">
        <v>0.497535856</v>
      </c>
      <c r="C732" s="6">
        <v>0.254849718</v>
      </c>
    </row>
    <row r="733" spans="1:3" x14ac:dyDescent="0.25">
      <c r="A733" s="6" t="s">
        <v>11</v>
      </c>
      <c r="B733" s="6">
        <v>1.8615652999999999E-2</v>
      </c>
      <c r="C733" s="6">
        <v>0.22226974599999999</v>
      </c>
    </row>
    <row r="734" spans="1:3" x14ac:dyDescent="0.25">
      <c r="A734" s="6" t="s">
        <v>463</v>
      </c>
      <c r="B734" s="6">
        <v>2.8044491000000001E-2</v>
      </c>
      <c r="C734" s="6">
        <v>0.10846518099999999</v>
      </c>
    </row>
    <row r="735" spans="1:3" x14ac:dyDescent="0.25">
      <c r="A735" s="6" t="s">
        <v>396</v>
      </c>
      <c r="B735" s="6">
        <v>0.59723270100000003</v>
      </c>
      <c r="C735" s="6">
        <v>0.75368175000000004</v>
      </c>
    </row>
    <row r="736" spans="1:3" x14ac:dyDescent="0.25">
      <c r="A736" s="6" t="s">
        <v>537</v>
      </c>
      <c r="B736" s="6">
        <v>3.6607793999999999E-2</v>
      </c>
      <c r="C736" s="6">
        <v>0.71083814300000003</v>
      </c>
    </row>
    <row r="737" spans="1:3" x14ac:dyDescent="0.25">
      <c r="A737" s="6" t="s">
        <v>481</v>
      </c>
      <c r="B737" s="6">
        <v>3.8460530999999999E-2</v>
      </c>
      <c r="C737" s="6">
        <v>1.42274024</v>
      </c>
    </row>
    <row r="738" spans="1:3" x14ac:dyDescent="0.25">
      <c r="A738" s="6" t="s">
        <v>676</v>
      </c>
      <c r="B738" s="6">
        <v>1.110664884</v>
      </c>
      <c r="C738" s="6">
        <v>2.7658374459999999</v>
      </c>
    </row>
    <row r="739" spans="1:3" x14ac:dyDescent="0.25">
      <c r="A739" s="6" t="s">
        <v>104</v>
      </c>
      <c r="B739" s="6">
        <v>8.4357588999999997E-2</v>
      </c>
      <c r="C739" s="6">
        <v>7.1746954000000002E-2</v>
      </c>
    </row>
    <row r="740" spans="1:3" x14ac:dyDescent="0.25">
      <c r="A740" s="6" t="s">
        <v>585</v>
      </c>
      <c r="B740" s="6">
        <v>0.14476566599999999</v>
      </c>
      <c r="C740" s="6">
        <v>0.72029694099999997</v>
      </c>
    </row>
    <row r="741" spans="1:3" x14ac:dyDescent="0.25">
      <c r="A741" s="6" t="s">
        <v>647</v>
      </c>
      <c r="B741" s="6">
        <v>6.0879706999999998E-2</v>
      </c>
      <c r="C741" s="6">
        <v>0.35375848799999998</v>
      </c>
    </row>
    <row r="742" spans="1:3" x14ac:dyDescent="0.25">
      <c r="A742" s="6" t="s">
        <v>63</v>
      </c>
      <c r="B742" s="6">
        <v>0.77511747499999994</v>
      </c>
      <c r="C742" s="6">
        <v>1.5002580599999999</v>
      </c>
    </row>
    <row r="743" spans="1:3" x14ac:dyDescent="0.25">
      <c r="A743" s="6" t="s">
        <v>419</v>
      </c>
      <c r="B743" s="6">
        <v>4.2411048E-2</v>
      </c>
      <c r="C743" s="6">
        <v>0.27795293399999998</v>
      </c>
    </row>
    <row r="744" spans="1:3" x14ac:dyDescent="0.25">
      <c r="A744" s="6" t="s">
        <v>299</v>
      </c>
      <c r="B744" s="6">
        <v>1.5888505000000001E-2</v>
      </c>
      <c r="C744" s="6">
        <v>8.3825521E-2</v>
      </c>
    </row>
    <row r="745" spans="1:3" x14ac:dyDescent="0.25">
      <c r="A745" s="6" t="s">
        <v>700</v>
      </c>
      <c r="B745" s="6">
        <v>0.101615445</v>
      </c>
      <c r="C745" s="6">
        <v>0.31965448899999999</v>
      </c>
    </row>
    <row r="746" spans="1:3" x14ac:dyDescent="0.25">
      <c r="A746" s="6" t="s">
        <v>456</v>
      </c>
      <c r="B746" s="6">
        <v>9.3912808E-2</v>
      </c>
      <c r="C746" s="6">
        <v>4.0985973000000002E-2</v>
      </c>
    </row>
    <row r="747" spans="1:3" x14ac:dyDescent="0.25">
      <c r="A747" s="6" t="s">
        <v>972</v>
      </c>
      <c r="B747" s="6">
        <v>0.81203036799999995</v>
      </c>
      <c r="C747" s="6">
        <v>5.6261341549999999</v>
      </c>
    </row>
    <row r="748" spans="1:3" x14ac:dyDescent="0.25">
      <c r="A748" s="6" t="s">
        <v>973</v>
      </c>
      <c r="B748" s="6">
        <v>1.3498809000000001E-2</v>
      </c>
      <c r="C748" s="6">
        <v>0.53611148099999995</v>
      </c>
    </row>
    <row r="749" spans="1:3" x14ac:dyDescent="0.25">
      <c r="A749" s="6" t="s">
        <v>487</v>
      </c>
      <c r="B749" s="6">
        <v>5.2052560999999997E-2</v>
      </c>
      <c r="C749" s="6">
        <v>0.34725724099999999</v>
      </c>
    </row>
    <row r="750" spans="1:3" x14ac:dyDescent="0.25">
      <c r="A750" s="6" t="s">
        <v>208</v>
      </c>
      <c r="B750" s="6">
        <v>8.0747500999999999E-2</v>
      </c>
      <c r="C750" s="6">
        <v>0.229216524</v>
      </c>
    </row>
    <row r="751" spans="1:3" x14ac:dyDescent="0.25">
      <c r="A751" s="6" t="s">
        <v>731</v>
      </c>
      <c r="B751" s="6">
        <v>6.2886453999999994E-2</v>
      </c>
      <c r="C751" s="6">
        <v>1.1727017769999999</v>
      </c>
    </row>
    <row r="752" spans="1:3" x14ac:dyDescent="0.25">
      <c r="A752" s="6" t="s">
        <v>560</v>
      </c>
      <c r="B752" s="6">
        <v>0.112739178</v>
      </c>
      <c r="C752" s="6">
        <v>4.6617028710000001</v>
      </c>
    </row>
    <row r="753" spans="1:3" x14ac:dyDescent="0.25">
      <c r="A753" s="6" t="s">
        <v>539</v>
      </c>
      <c r="B753" s="6">
        <v>3.8470758000000001E-2</v>
      </c>
      <c r="C753" s="6">
        <v>7.6610784000000001E-2</v>
      </c>
    </row>
    <row r="754" spans="1:3" x14ac:dyDescent="0.25">
      <c r="A754" s="6" t="s">
        <v>974</v>
      </c>
      <c r="B754" s="6">
        <v>4.1865221000000001E-2</v>
      </c>
      <c r="C754" s="6">
        <v>1.7138383260000001</v>
      </c>
    </row>
    <row r="755" spans="1:3" x14ac:dyDescent="0.25">
      <c r="A755" s="6" t="s">
        <v>340</v>
      </c>
      <c r="B755" s="6">
        <v>0.240048922</v>
      </c>
      <c r="C755" s="6">
        <v>4.1089072099999999</v>
      </c>
    </row>
    <row r="756" spans="1:3" x14ac:dyDescent="0.25">
      <c r="A756" s="6" t="s">
        <v>309</v>
      </c>
      <c r="B756" s="6">
        <v>0.10244829799999999</v>
      </c>
      <c r="C756" s="6">
        <v>2.309651187</v>
      </c>
    </row>
    <row r="757" spans="1:3" x14ac:dyDescent="0.25">
      <c r="A757" s="6" t="s">
        <v>746</v>
      </c>
      <c r="B757" s="6">
        <v>0.30705874100000002</v>
      </c>
      <c r="C757" s="6">
        <v>0.87505903600000001</v>
      </c>
    </row>
    <row r="758" spans="1:3" x14ac:dyDescent="0.25">
      <c r="A758" s="6" t="s">
        <v>530</v>
      </c>
      <c r="B758" s="6">
        <v>2.6380971E-2</v>
      </c>
      <c r="C758" s="6">
        <v>0.20621067300000001</v>
      </c>
    </row>
    <row r="759" spans="1:3" x14ac:dyDescent="0.25">
      <c r="A759" s="6" t="s">
        <v>701</v>
      </c>
      <c r="B759" s="6">
        <v>1.2781740999999999E-2</v>
      </c>
      <c r="C759" s="6">
        <v>0.34405771400000001</v>
      </c>
    </row>
    <row r="760" spans="1:3" x14ac:dyDescent="0.25">
      <c r="A760" s="6" t="s">
        <v>239</v>
      </c>
      <c r="B760" s="6">
        <v>0.248037429</v>
      </c>
      <c r="C760" s="6">
        <v>0.50935587900000001</v>
      </c>
    </row>
    <row r="761" spans="1:3" x14ac:dyDescent="0.25">
      <c r="A761" s="6" t="s">
        <v>513</v>
      </c>
      <c r="B761" s="6">
        <v>5.0521521E-2</v>
      </c>
      <c r="C761" s="6">
        <v>6.4639293E-2</v>
      </c>
    </row>
    <row r="762" spans="1:3" x14ac:dyDescent="0.25">
      <c r="A762" s="6" t="s">
        <v>976</v>
      </c>
      <c r="B762" s="6">
        <v>9.4071047000000005E-2</v>
      </c>
      <c r="C762" s="6">
        <v>1.2082984859999999</v>
      </c>
    </row>
    <row r="763" spans="1:3" x14ac:dyDescent="0.25">
      <c r="A763" s="6" t="s">
        <v>977</v>
      </c>
      <c r="B763" s="6">
        <v>0.225064861</v>
      </c>
      <c r="C763" s="6">
        <v>2.5207352940000001</v>
      </c>
    </row>
    <row r="764" spans="1:3" x14ac:dyDescent="0.25">
      <c r="A764" s="6" t="s">
        <v>377</v>
      </c>
      <c r="B764" s="6">
        <v>0.12056978</v>
      </c>
      <c r="C764" s="6">
        <v>9.3654239E-2</v>
      </c>
    </row>
    <row r="765" spans="1:3" x14ac:dyDescent="0.25">
      <c r="A765" s="6" t="s">
        <v>660</v>
      </c>
      <c r="B765" s="6">
        <v>0.162010927</v>
      </c>
      <c r="C765" s="6">
        <v>0.26357473100000001</v>
      </c>
    </row>
    <row r="766" spans="1:3" x14ac:dyDescent="0.25">
      <c r="A766" s="6" t="s">
        <v>5</v>
      </c>
      <c r="B766" s="6">
        <v>0.11193196599999999</v>
      </c>
      <c r="C766" s="6">
        <v>0.55484807199999997</v>
      </c>
    </row>
    <row r="767" spans="1:3" x14ac:dyDescent="0.25">
      <c r="A767" s="6" t="s">
        <v>143</v>
      </c>
      <c r="B767" s="6">
        <v>3.5894467999999999E-2</v>
      </c>
      <c r="C767" s="6">
        <v>0.182674745</v>
      </c>
    </row>
    <row r="768" spans="1:3" x14ac:dyDescent="0.25">
      <c r="A768" s="6" t="s">
        <v>527</v>
      </c>
      <c r="B768" s="6">
        <v>0.63950028999999997</v>
      </c>
      <c r="C768" s="6">
        <v>0.51656460699999995</v>
      </c>
    </row>
    <row r="769" spans="1:3" x14ac:dyDescent="0.25">
      <c r="A769" s="6" t="s">
        <v>669</v>
      </c>
      <c r="B769" s="6">
        <v>0.15781568600000001</v>
      </c>
      <c r="C769" s="6">
        <v>2.4816191000000001E-2</v>
      </c>
    </row>
    <row r="770" spans="1:3" x14ac:dyDescent="0.25">
      <c r="A770" s="6" t="s">
        <v>265</v>
      </c>
      <c r="B770" s="6">
        <v>0.21411970399999999</v>
      </c>
      <c r="C770" s="6">
        <v>0.59443593699999997</v>
      </c>
    </row>
    <row r="771" spans="1:3" x14ac:dyDescent="0.25">
      <c r="A771" s="6" t="s">
        <v>570</v>
      </c>
      <c r="B771" s="6">
        <v>0.15416449199999999</v>
      </c>
      <c r="C771" s="6">
        <v>0.65540862</v>
      </c>
    </row>
    <row r="772" spans="1:3" x14ac:dyDescent="0.25">
      <c r="A772" s="6" t="s">
        <v>452</v>
      </c>
      <c r="B772" s="6">
        <v>8.9722074999999998E-2</v>
      </c>
      <c r="C772" s="6">
        <v>1.5992076000000001E-2</v>
      </c>
    </row>
    <row r="773" spans="1:3" x14ac:dyDescent="0.25">
      <c r="A773" s="6" t="s">
        <v>705</v>
      </c>
      <c r="B773" s="6">
        <v>0.44990385300000002</v>
      </c>
      <c r="C773" s="6">
        <v>0.135448651</v>
      </c>
    </row>
    <row r="774" spans="1:3" x14ac:dyDescent="0.25">
      <c r="A774" s="6" t="s">
        <v>30</v>
      </c>
      <c r="B774" s="6">
        <v>8.8780331000000004E-2</v>
      </c>
      <c r="C774" s="6">
        <v>8.5615845999999995E-2</v>
      </c>
    </row>
    <row r="775" spans="1:3" x14ac:dyDescent="0.25">
      <c r="A775" s="6" t="s">
        <v>424</v>
      </c>
      <c r="B775" s="6">
        <v>4.8490091999999999E-2</v>
      </c>
      <c r="C775" s="6">
        <v>8.5521807000000005E-2</v>
      </c>
    </row>
    <row r="776" spans="1:3" x14ac:dyDescent="0.25">
      <c r="A776" s="6" t="s">
        <v>211</v>
      </c>
      <c r="B776" s="6">
        <v>0.40499040400000003</v>
      </c>
      <c r="C776" s="6">
        <v>1.721410697</v>
      </c>
    </row>
    <row r="777" spans="1:3" x14ac:dyDescent="0.25">
      <c r="A777" s="6" t="s">
        <v>378</v>
      </c>
      <c r="B777" s="6">
        <v>7.1230291000000001E-2</v>
      </c>
      <c r="C777" s="6">
        <v>0.14859109300000001</v>
      </c>
    </row>
    <row r="778" spans="1:3" x14ac:dyDescent="0.25">
      <c r="A778" s="6" t="s">
        <v>711</v>
      </c>
      <c r="B778" s="6">
        <v>0.125065445</v>
      </c>
      <c r="C778" s="6">
        <v>0.57238792100000002</v>
      </c>
    </row>
    <row r="779" spans="1:3" x14ac:dyDescent="0.25">
      <c r="A779" s="6" t="s">
        <v>379</v>
      </c>
      <c r="B779" s="6">
        <v>0.22625678099999999</v>
      </c>
      <c r="C779" s="6">
        <v>0.81969442000000003</v>
      </c>
    </row>
    <row r="780" spans="1:3" x14ac:dyDescent="0.25">
      <c r="A780" s="6" t="s">
        <v>281</v>
      </c>
      <c r="B780" s="6">
        <v>5.6988107000000003E-2</v>
      </c>
      <c r="C780" s="6">
        <v>9.1249223000000004E-2</v>
      </c>
    </row>
    <row r="781" spans="1:3" x14ac:dyDescent="0.25">
      <c r="A781" s="6" t="s">
        <v>515</v>
      </c>
      <c r="B781" s="6">
        <v>2.4128318999999999E-2</v>
      </c>
      <c r="C781" s="6">
        <v>1.2156821999999999E-2</v>
      </c>
    </row>
    <row r="782" spans="1:3" x14ac:dyDescent="0.25">
      <c r="A782" s="6" t="s">
        <v>341</v>
      </c>
      <c r="B782" s="6">
        <v>4.8739263999999997E-2</v>
      </c>
      <c r="C782" s="6">
        <v>0.227777377</v>
      </c>
    </row>
    <row r="783" spans="1:3" x14ac:dyDescent="0.25">
      <c r="A783" s="6" t="s">
        <v>384</v>
      </c>
      <c r="B783" s="6">
        <v>5.2557495000000003E-2</v>
      </c>
      <c r="C783" s="6">
        <v>0.51977436300000002</v>
      </c>
    </row>
    <row r="784" spans="1:3" x14ac:dyDescent="0.25">
      <c r="A784" s="6" t="s">
        <v>94</v>
      </c>
      <c r="B784" s="6">
        <v>9.0870955000000003E-2</v>
      </c>
      <c r="C784" s="6">
        <v>8.4040606000000004E-2</v>
      </c>
    </row>
    <row r="785" spans="1:3" x14ac:dyDescent="0.25">
      <c r="A785" s="6" t="s">
        <v>707</v>
      </c>
      <c r="B785" s="6">
        <v>6.5629262999999993E-2</v>
      </c>
      <c r="C785" s="6">
        <v>1.4863307690000001</v>
      </c>
    </row>
    <row r="786" spans="1:3" x14ac:dyDescent="0.25">
      <c r="A786" s="6" t="s">
        <v>615</v>
      </c>
      <c r="B786" s="6">
        <v>6.2838036E-2</v>
      </c>
      <c r="C786" s="6">
        <v>1.019870002</v>
      </c>
    </row>
    <row r="787" spans="1:3" x14ac:dyDescent="0.25">
      <c r="A787" s="6" t="s">
        <v>323</v>
      </c>
      <c r="B787" s="6">
        <v>8.2229012000000004E-2</v>
      </c>
      <c r="C787" s="6">
        <v>1.3976186E-2</v>
      </c>
    </row>
    <row r="788" spans="1:3" x14ac:dyDescent="0.25">
      <c r="A788" s="6" t="s">
        <v>589</v>
      </c>
      <c r="B788" s="6">
        <v>0.17906707499999999</v>
      </c>
      <c r="C788" s="6">
        <v>1.0294032999999999E-2</v>
      </c>
    </row>
    <row r="789" spans="1:3" x14ac:dyDescent="0.25">
      <c r="A789" s="6" t="s">
        <v>387</v>
      </c>
      <c r="B789" s="6">
        <v>4.5214965000000003E-2</v>
      </c>
      <c r="C789" s="6">
        <v>1.2716144469999999</v>
      </c>
    </row>
    <row r="790" spans="1:3" x14ac:dyDescent="0.25">
      <c r="A790" s="6" t="s">
        <v>982</v>
      </c>
      <c r="B790" s="6">
        <v>0.48916980599999998</v>
      </c>
      <c r="C790" s="6">
        <v>0.96978503500000002</v>
      </c>
    </row>
    <row r="791" spans="1:3" x14ac:dyDescent="0.25">
      <c r="A791" s="6" t="s">
        <v>983</v>
      </c>
      <c r="B791" s="6">
        <v>4.7434144999999997E-2</v>
      </c>
      <c r="C791" s="6">
        <v>2.8926737000000001E-2</v>
      </c>
    </row>
    <row r="792" spans="1:3" x14ac:dyDescent="0.25">
      <c r="A792" s="6" t="s">
        <v>630</v>
      </c>
      <c r="B792" s="6">
        <v>0.51461762300000002</v>
      </c>
      <c r="C792" s="6">
        <v>0.32796997500000002</v>
      </c>
    </row>
    <row r="793" spans="1:3" x14ac:dyDescent="0.25">
      <c r="A793" s="6" t="s">
        <v>317</v>
      </c>
      <c r="B793" s="6">
        <v>9.7560828000000002E-2</v>
      </c>
      <c r="C793" s="6">
        <v>1.2278306699999999</v>
      </c>
    </row>
    <row r="794" spans="1:3" x14ac:dyDescent="0.25">
      <c r="A794" s="6" t="s">
        <v>45</v>
      </c>
      <c r="B794" s="6">
        <v>5.4474645000000002E-2</v>
      </c>
      <c r="C794" s="6">
        <v>0.35294451799999998</v>
      </c>
    </row>
    <row r="795" spans="1:3" x14ac:dyDescent="0.25">
      <c r="A795" s="6" t="s">
        <v>985</v>
      </c>
      <c r="B795" s="6">
        <v>7.7901151000000002E-2</v>
      </c>
      <c r="C795" s="6">
        <v>1.14697932</v>
      </c>
    </row>
    <row r="796" spans="1:3" x14ac:dyDescent="0.25">
      <c r="A796" s="6" t="s">
        <v>257</v>
      </c>
      <c r="B796" s="6">
        <v>8.3190627000000003E-2</v>
      </c>
      <c r="C796" s="6">
        <v>0.89018383800000001</v>
      </c>
    </row>
    <row r="797" spans="1:3" x14ac:dyDescent="0.25">
      <c r="A797" s="6" t="s">
        <v>65</v>
      </c>
      <c r="B797" s="6">
        <v>0.25234183999999998</v>
      </c>
      <c r="C797" s="6">
        <v>0.35453635999999999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086B9-C5D3-42DF-98DC-5A8B370BADDC}">
  <dimension ref="A1:E861"/>
  <sheetViews>
    <sheetView workbookViewId="0">
      <selection sqref="A1:E1048576"/>
    </sheetView>
  </sheetViews>
  <sheetFormatPr defaultRowHeight="14.4" x14ac:dyDescent="0.25"/>
  <cols>
    <col min="1" max="1" width="27.109375" style="6" customWidth="1"/>
    <col min="2" max="5" width="8.88671875" style="6"/>
  </cols>
  <sheetData>
    <row r="1" spans="1:5" x14ac:dyDescent="0.25">
      <c r="A1" s="6" t="s">
        <v>748</v>
      </c>
      <c r="B1" s="6" t="s">
        <v>883</v>
      </c>
      <c r="C1" s="6" t="s">
        <v>749</v>
      </c>
      <c r="D1" s="6" t="s">
        <v>750</v>
      </c>
      <c r="E1" s="6" t="s">
        <v>751</v>
      </c>
    </row>
    <row r="2" spans="1:5" x14ac:dyDescent="0.25">
      <c r="A2" s="6" t="s">
        <v>395</v>
      </c>
      <c r="B2" s="6">
        <v>1.2</v>
      </c>
      <c r="C2" s="6">
        <v>20</v>
      </c>
      <c r="D2" s="6">
        <v>1.35</v>
      </c>
      <c r="E2" s="6">
        <v>42</v>
      </c>
    </row>
    <row r="3" spans="1:5" x14ac:dyDescent="0.25">
      <c r="A3" s="6" t="s">
        <v>82</v>
      </c>
      <c r="B3" s="6">
        <v>0.31</v>
      </c>
      <c r="C3" s="6">
        <v>0</v>
      </c>
      <c r="D3" s="6">
        <v>6.06</v>
      </c>
      <c r="E3" s="6">
        <v>211</v>
      </c>
    </row>
    <row r="4" spans="1:5" x14ac:dyDescent="0.25">
      <c r="A4" s="6" t="s">
        <v>698</v>
      </c>
      <c r="B4" s="6">
        <v>1.37</v>
      </c>
      <c r="C4" s="6">
        <v>21</v>
      </c>
      <c r="D4" s="6">
        <v>32.31</v>
      </c>
      <c r="E4" s="6">
        <v>892</v>
      </c>
    </row>
    <row r="5" spans="1:5" x14ac:dyDescent="0.25">
      <c r="A5" s="6" t="s">
        <v>417</v>
      </c>
      <c r="B5" s="6">
        <v>0.35</v>
      </c>
      <c r="C5" s="6">
        <v>0</v>
      </c>
      <c r="D5" s="6">
        <v>19.239999999999998</v>
      </c>
      <c r="E5" s="6">
        <v>408</v>
      </c>
    </row>
    <row r="6" spans="1:5" x14ac:dyDescent="0.25">
      <c r="A6" s="6" t="s">
        <v>534</v>
      </c>
      <c r="B6" s="6">
        <v>0.31</v>
      </c>
      <c r="C6" s="6">
        <v>0</v>
      </c>
      <c r="D6" s="6">
        <v>8.83</v>
      </c>
      <c r="E6" s="6">
        <v>248</v>
      </c>
    </row>
    <row r="7" spans="1:5" x14ac:dyDescent="0.25">
      <c r="A7" s="6" t="s">
        <v>752</v>
      </c>
      <c r="B7" s="6">
        <v>0.02</v>
      </c>
      <c r="C7" s="6">
        <v>0</v>
      </c>
      <c r="D7" s="6">
        <v>12.99</v>
      </c>
      <c r="E7" s="6">
        <v>290</v>
      </c>
    </row>
    <row r="8" spans="1:5" x14ac:dyDescent="0.25">
      <c r="A8" s="6" t="s">
        <v>517</v>
      </c>
      <c r="B8" s="6">
        <v>0.33</v>
      </c>
      <c r="C8" s="6">
        <v>0</v>
      </c>
      <c r="D8" s="6">
        <v>3.16</v>
      </c>
      <c r="E8" s="6">
        <v>113</v>
      </c>
    </row>
    <row r="9" spans="1:5" x14ac:dyDescent="0.25">
      <c r="A9" s="6" t="s">
        <v>40</v>
      </c>
      <c r="B9" s="6">
        <v>0.03</v>
      </c>
      <c r="C9" s="6">
        <v>0</v>
      </c>
      <c r="D9" s="6">
        <v>14.65</v>
      </c>
      <c r="E9" s="6">
        <v>331</v>
      </c>
    </row>
    <row r="10" spans="1:5" x14ac:dyDescent="0.25">
      <c r="A10" s="6" t="s">
        <v>472</v>
      </c>
      <c r="B10" s="6">
        <v>0.32</v>
      </c>
      <c r="C10" s="6">
        <v>0</v>
      </c>
      <c r="D10" s="6">
        <v>6.49</v>
      </c>
      <c r="E10" s="6">
        <v>228</v>
      </c>
    </row>
    <row r="11" spans="1:5" x14ac:dyDescent="0.25">
      <c r="A11" s="6" t="s">
        <v>100</v>
      </c>
      <c r="B11" s="6">
        <v>1.25</v>
      </c>
      <c r="C11" s="6">
        <v>22</v>
      </c>
      <c r="D11" s="6">
        <v>8.6</v>
      </c>
      <c r="E11" s="6">
        <v>393</v>
      </c>
    </row>
    <row r="12" spans="1:5" x14ac:dyDescent="0.25">
      <c r="A12" s="6" t="s">
        <v>508</v>
      </c>
      <c r="B12" s="6">
        <v>0.56999999999999995</v>
      </c>
      <c r="C12" s="6">
        <v>0</v>
      </c>
      <c r="D12" s="6">
        <v>9.1999999999999993</v>
      </c>
      <c r="E12" s="6">
        <v>219</v>
      </c>
    </row>
    <row r="13" spans="1:5" x14ac:dyDescent="0.25">
      <c r="A13" s="6" t="s">
        <v>884</v>
      </c>
      <c r="B13" s="6">
        <v>0.39</v>
      </c>
      <c r="C13" s="6">
        <v>0</v>
      </c>
      <c r="D13" s="6">
        <v>10.64</v>
      </c>
      <c r="E13" s="6">
        <v>367</v>
      </c>
    </row>
    <row r="14" spans="1:5" x14ac:dyDescent="0.25">
      <c r="A14" s="6" t="s">
        <v>473</v>
      </c>
      <c r="B14" s="6">
        <v>0.02</v>
      </c>
      <c r="C14" s="6">
        <v>0</v>
      </c>
      <c r="D14" s="6">
        <v>1.69</v>
      </c>
      <c r="E14" s="6">
        <v>54</v>
      </c>
    </row>
    <row r="15" spans="1:5" x14ac:dyDescent="0.25">
      <c r="A15" s="6" t="s">
        <v>546</v>
      </c>
      <c r="B15" s="6">
        <v>0.33</v>
      </c>
      <c r="C15" s="6">
        <v>0</v>
      </c>
      <c r="D15" s="6">
        <v>8.51</v>
      </c>
      <c r="E15" s="6">
        <v>244</v>
      </c>
    </row>
    <row r="16" spans="1:5" x14ac:dyDescent="0.25">
      <c r="A16" s="6" t="s">
        <v>270</v>
      </c>
      <c r="B16" s="6">
        <v>0.05</v>
      </c>
      <c r="C16" s="6">
        <v>0</v>
      </c>
      <c r="D16" s="6">
        <v>19.18</v>
      </c>
      <c r="E16" s="6">
        <v>350</v>
      </c>
    </row>
    <row r="17" spans="1:5" x14ac:dyDescent="0.25">
      <c r="A17" s="6" t="s">
        <v>62</v>
      </c>
      <c r="B17" s="6">
        <v>0.02</v>
      </c>
      <c r="C17" s="6">
        <v>0</v>
      </c>
      <c r="D17" s="6">
        <v>4.68</v>
      </c>
      <c r="E17" s="6">
        <v>150</v>
      </c>
    </row>
    <row r="18" spans="1:5" x14ac:dyDescent="0.25">
      <c r="A18" s="6" t="s">
        <v>636</v>
      </c>
      <c r="B18" s="6">
        <v>0.02</v>
      </c>
      <c r="C18" s="6">
        <v>0</v>
      </c>
      <c r="D18" s="6">
        <v>4.32</v>
      </c>
      <c r="E18" s="6">
        <v>186</v>
      </c>
    </row>
    <row r="19" spans="1:5" x14ac:dyDescent="0.25">
      <c r="A19" s="6" t="s">
        <v>413</v>
      </c>
      <c r="B19" s="6">
        <v>0.03</v>
      </c>
      <c r="C19" s="6">
        <v>0</v>
      </c>
      <c r="D19" s="6">
        <v>9.2799999999999994</v>
      </c>
      <c r="E19" s="6">
        <v>292</v>
      </c>
    </row>
    <row r="20" spans="1:5" x14ac:dyDescent="0.25">
      <c r="A20" s="6" t="s">
        <v>885</v>
      </c>
      <c r="B20" s="6">
        <v>1.4</v>
      </c>
      <c r="C20" s="6">
        <v>42</v>
      </c>
      <c r="D20" s="6">
        <v>9.9700000000000006</v>
      </c>
      <c r="E20" s="6">
        <v>312</v>
      </c>
    </row>
    <row r="21" spans="1:5" x14ac:dyDescent="0.25">
      <c r="A21" s="6" t="s">
        <v>683</v>
      </c>
      <c r="B21" s="6">
        <v>0.33</v>
      </c>
      <c r="C21" s="6">
        <v>0</v>
      </c>
      <c r="D21" s="6">
        <v>13.65</v>
      </c>
      <c r="E21" s="6">
        <v>247</v>
      </c>
    </row>
    <row r="22" spans="1:5" x14ac:dyDescent="0.25">
      <c r="A22" s="6" t="s">
        <v>171</v>
      </c>
      <c r="B22" s="6">
        <v>0.04</v>
      </c>
      <c r="C22" s="6">
        <v>0</v>
      </c>
      <c r="D22" s="6">
        <v>25.36</v>
      </c>
      <c r="E22" s="6">
        <v>518</v>
      </c>
    </row>
    <row r="23" spans="1:5" x14ac:dyDescent="0.25">
      <c r="A23" s="6" t="s">
        <v>753</v>
      </c>
      <c r="B23" s="6">
        <v>0.03</v>
      </c>
      <c r="C23" s="6">
        <v>0</v>
      </c>
      <c r="D23" s="6">
        <v>7.25</v>
      </c>
      <c r="E23" s="6">
        <v>295</v>
      </c>
    </row>
    <row r="24" spans="1:5" x14ac:dyDescent="0.25">
      <c r="A24" s="6" t="s">
        <v>590</v>
      </c>
      <c r="B24" s="6">
        <v>0.02</v>
      </c>
      <c r="C24" s="6">
        <v>0</v>
      </c>
      <c r="D24" s="6">
        <v>4.76</v>
      </c>
      <c r="E24" s="6">
        <v>198</v>
      </c>
    </row>
    <row r="25" spans="1:5" x14ac:dyDescent="0.25">
      <c r="A25" s="6" t="s">
        <v>886</v>
      </c>
      <c r="B25" s="6">
        <v>0.05</v>
      </c>
      <c r="C25" s="6">
        <v>0</v>
      </c>
      <c r="D25" s="6">
        <v>6.84</v>
      </c>
      <c r="E25" s="6">
        <v>241</v>
      </c>
    </row>
    <row r="26" spans="1:5" x14ac:dyDescent="0.25">
      <c r="A26" s="6" t="s">
        <v>462</v>
      </c>
      <c r="B26" s="6">
        <v>0.02</v>
      </c>
      <c r="C26" s="6">
        <v>0</v>
      </c>
      <c r="D26" s="6">
        <v>12.32</v>
      </c>
      <c r="E26" s="6">
        <v>387</v>
      </c>
    </row>
    <row r="27" spans="1:5" x14ac:dyDescent="0.25">
      <c r="A27" s="6" t="s">
        <v>887</v>
      </c>
      <c r="B27" s="6">
        <v>0.03</v>
      </c>
      <c r="C27" s="6">
        <v>0</v>
      </c>
      <c r="D27" s="6">
        <v>17.989999999999998</v>
      </c>
      <c r="E27" s="6">
        <v>546</v>
      </c>
    </row>
    <row r="28" spans="1:5" x14ac:dyDescent="0.25">
      <c r="A28" s="6" t="s">
        <v>380</v>
      </c>
      <c r="B28" s="6">
        <v>0.03</v>
      </c>
      <c r="C28" s="6">
        <v>0</v>
      </c>
      <c r="D28" s="6">
        <v>8.2100000000000009</v>
      </c>
      <c r="E28" s="6">
        <v>247</v>
      </c>
    </row>
    <row r="29" spans="1:5" x14ac:dyDescent="0.25">
      <c r="A29" s="6" t="s">
        <v>358</v>
      </c>
      <c r="B29" s="6">
        <v>0.03</v>
      </c>
      <c r="C29" s="6">
        <v>0</v>
      </c>
      <c r="D29" s="6">
        <v>9.15</v>
      </c>
      <c r="E29" s="6">
        <v>265</v>
      </c>
    </row>
    <row r="30" spans="1:5" x14ac:dyDescent="0.25">
      <c r="A30" s="6" t="s">
        <v>620</v>
      </c>
      <c r="B30" s="6">
        <v>0.33</v>
      </c>
      <c r="C30" s="6">
        <v>0</v>
      </c>
      <c r="D30" s="6">
        <v>4.8899999999999997</v>
      </c>
      <c r="E30" s="6">
        <v>87</v>
      </c>
    </row>
    <row r="31" spans="1:5" x14ac:dyDescent="0.25">
      <c r="A31" s="6" t="s">
        <v>232</v>
      </c>
      <c r="B31" s="6">
        <v>1.26</v>
      </c>
      <c r="C31" s="6">
        <v>15</v>
      </c>
      <c r="D31" s="6">
        <v>15.59</v>
      </c>
      <c r="E31" s="6">
        <v>390</v>
      </c>
    </row>
    <row r="32" spans="1:5" x14ac:dyDescent="0.25">
      <c r="A32" s="6" t="s">
        <v>389</v>
      </c>
      <c r="B32" s="6">
        <v>0.02</v>
      </c>
      <c r="C32" s="6">
        <v>0</v>
      </c>
      <c r="D32" s="6">
        <v>5.55</v>
      </c>
      <c r="E32" s="6">
        <v>189</v>
      </c>
    </row>
    <row r="33" spans="1:5" x14ac:dyDescent="0.25">
      <c r="A33" s="6" t="s">
        <v>207</v>
      </c>
      <c r="B33" s="6">
        <v>0.32</v>
      </c>
      <c r="C33" s="6">
        <v>0</v>
      </c>
      <c r="D33" s="6">
        <v>4.99</v>
      </c>
      <c r="E33" s="6">
        <v>194</v>
      </c>
    </row>
    <row r="34" spans="1:5" x14ac:dyDescent="0.25">
      <c r="A34" s="6" t="s">
        <v>651</v>
      </c>
      <c r="B34" s="6">
        <v>0.37</v>
      </c>
      <c r="C34" s="6">
        <v>0</v>
      </c>
      <c r="D34" s="6">
        <v>35.950000000000003</v>
      </c>
      <c r="E34" s="6">
        <v>662</v>
      </c>
    </row>
    <row r="35" spans="1:5" x14ac:dyDescent="0.25">
      <c r="A35" s="6" t="s">
        <v>754</v>
      </c>
      <c r="B35" s="6">
        <v>0.04</v>
      </c>
      <c r="C35" s="6">
        <v>0</v>
      </c>
      <c r="D35" s="6">
        <v>12.72</v>
      </c>
      <c r="E35" s="6">
        <v>336</v>
      </c>
    </row>
    <row r="36" spans="1:5" x14ac:dyDescent="0.25">
      <c r="A36" s="6" t="s">
        <v>755</v>
      </c>
      <c r="B36" s="6">
        <v>0.02</v>
      </c>
      <c r="C36" s="6">
        <v>0</v>
      </c>
      <c r="D36" s="6">
        <v>6.17</v>
      </c>
      <c r="E36" s="6">
        <v>261</v>
      </c>
    </row>
    <row r="37" spans="1:5" x14ac:dyDescent="0.25">
      <c r="A37" s="6" t="s">
        <v>668</v>
      </c>
      <c r="B37" s="6">
        <v>0.04</v>
      </c>
      <c r="C37" s="6">
        <v>0</v>
      </c>
      <c r="D37" s="6">
        <v>2.37</v>
      </c>
      <c r="E37" s="6">
        <v>46</v>
      </c>
    </row>
    <row r="38" spans="1:5" x14ac:dyDescent="0.25">
      <c r="A38" s="6" t="s">
        <v>167</v>
      </c>
      <c r="B38" s="6">
        <v>0.03</v>
      </c>
      <c r="C38" s="6">
        <v>0</v>
      </c>
      <c r="D38" s="6">
        <v>7.3</v>
      </c>
      <c r="E38" s="6">
        <v>241</v>
      </c>
    </row>
    <row r="39" spans="1:5" x14ac:dyDescent="0.25">
      <c r="A39" s="6" t="s">
        <v>756</v>
      </c>
      <c r="B39" s="6">
        <v>0.32</v>
      </c>
      <c r="C39" s="6">
        <v>0</v>
      </c>
      <c r="D39" s="6">
        <v>4.99</v>
      </c>
      <c r="E39" s="6">
        <v>194</v>
      </c>
    </row>
    <row r="40" spans="1:5" x14ac:dyDescent="0.25">
      <c r="A40" s="6" t="s">
        <v>343</v>
      </c>
      <c r="B40" s="6">
        <v>0.04</v>
      </c>
      <c r="C40" s="6">
        <v>0</v>
      </c>
      <c r="D40" s="6">
        <v>12.36</v>
      </c>
      <c r="E40" s="6">
        <v>277</v>
      </c>
    </row>
    <row r="41" spans="1:5" x14ac:dyDescent="0.25">
      <c r="A41" s="6" t="s">
        <v>334</v>
      </c>
      <c r="B41" s="6">
        <v>0.3</v>
      </c>
      <c r="C41" s="6">
        <v>0</v>
      </c>
      <c r="D41" s="6">
        <v>5.4</v>
      </c>
      <c r="E41" s="6">
        <v>189</v>
      </c>
    </row>
    <row r="42" spans="1:5" x14ac:dyDescent="0.25">
      <c r="A42" s="6" t="s">
        <v>725</v>
      </c>
      <c r="B42" s="6">
        <v>0.72</v>
      </c>
      <c r="C42" s="6">
        <v>14</v>
      </c>
      <c r="D42" s="6">
        <v>5.96</v>
      </c>
      <c r="E42" s="6">
        <v>223</v>
      </c>
    </row>
    <row r="43" spans="1:5" x14ac:dyDescent="0.25">
      <c r="A43" s="6" t="s">
        <v>72</v>
      </c>
      <c r="B43" s="6">
        <v>0.03</v>
      </c>
      <c r="C43" s="6">
        <v>0</v>
      </c>
      <c r="D43" s="6">
        <v>13.54</v>
      </c>
      <c r="E43" s="6">
        <v>271</v>
      </c>
    </row>
    <row r="44" spans="1:5" x14ac:dyDescent="0.25">
      <c r="A44" s="6" t="s">
        <v>248</v>
      </c>
      <c r="B44" s="6">
        <v>0.03</v>
      </c>
      <c r="C44" s="6">
        <v>0</v>
      </c>
      <c r="D44" s="6">
        <v>6.92</v>
      </c>
      <c r="E44" s="6">
        <v>224</v>
      </c>
    </row>
    <row r="45" spans="1:5" x14ac:dyDescent="0.25">
      <c r="A45" s="6" t="s">
        <v>721</v>
      </c>
      <c r="B45" s="6">
        <v>0.02</v>
      </c>
      <c r="C45" s="6">
        <v>0</v>
      </c>
      <c r="D45" s="6">
        <v>5.83</v>
      </c>
      <c r="E45" s="6">
        <v>203</v>
      </c>
    </row>
    <row r="46" spans="1:5" x14ac:dyDescent="0.25">
      <c r="A46" s="6" t="s">
        <v>453</v>
      </c>
      <c r="B46" s="6">
        <v>0.04</v>
      </c>
      <c r="C46" s="6">
        <v>0</v>
      </c>
      <c r="D46" s="6">
        <v>5.66</v>
      </c>
      <c r="E46" s="6">
        <v>268</v>
      </c>
    </row>
    <row r="47" spans="1:5" x14ac:dyDescent="0.25">
      <c r="A47" s="6" t="s">
        <v>407</v>
      </c>
      <c r="B47" s="6">
        <v>0.03</v>
      </c>
      <c r="C47" s="6">
        <v>0</v>
      </c>
      <c r="D47" s="6">
        <v>10.4</v>
      </c>
      <c r="E47" s="6">
        <v>312</v>
      </c>
    </row>
    <row r="48" spans="1:5" x14ac:dyDescent="0.25">
      <c r="A48" s="6" t="s">
        <v>992</v>
      </c>
      <c r="B48" s="6">
        <v>0.03</v>
      </c>
      <c r="C48" s="6">
        <v>0</v>
      </c>
      <c r="D48" s="6">
        <v>2.92</v>
      </c>
      <c r="E48" s="6">
        <v>78</v>
      </c>
    </row>
    <row r="49" spans="1:5" x14ac:dyDescent="0.25">
      <c r="A49" s="6" t="s">
        <v>694</v>
      </c>
      <c r="B49" s="6">
        <v>0.02</v>
      </c>
      <c r="C49" s="6">
        <v>0</v>
      </c>
      <c r="D49" s="6">
        <v>8.9</v>
      </c>
      <c r="E49" s="6">
        <v>270</v>
      </c>
    </row>
    <row r="50" spans="1:5" x14ac:dyDescent="0.25">
      <c r="A50" s="6" t="s">
        <v>757</v>
      </c>
      <c r="B50" s="6">
        <v>1.07</v>
      </c>
      <c r="C50" s="6">
        <v>21</v>
      </c>
      <c r="D50" s="6">
        <v>13.85</v>
      </c>
      <c r="E50" s="6">
        <v>352</v>
      </c>
    </row>
    <row r="51" spans="1:5" x14ac:dyDescent="0.25">
      <c r="A51" s="6" t="s">
        <v>697</v>
      </c>
      <c r="B51" s="6">
        <v>0.02</v>
      </c>
      <c r="C51" s="6">
        <v>0</v>
      </c>
      <c r="D51" s="6">
        <v>2.2400000000000002</v>
      </c>
      <c r="E51" s="6">
        <v>92</v>
      </c>
    </row>
    <row r="52" spans="1:5" x14ac:dyDescent="0.25">
      <c r="A52" s="6" t="s">
        <v>401</v>
      </c>
      <c r="B52" s="6">
        <v>0.03</v>
      </c>
      <c r="C52" s="6">
        <v>0</v>
      </c>
      <c r="D52" s="6">
        <v>8.32</v>
      </c>
      <c r="E52" s="6">
        <v>228</v>
      </c>
    </row>
    <row r="53" spans="1:5" x14ac:dyDescent="0.25">
      <c r="A53" s="6" t="s">
        <v>267</v>
      </c>
      <c r="B53" s="6">
        <v>0.37</v>
      </c>
      <c r="C53" s="6">
        <v>0</v>
      </c>
      <c r="D53" s="6">
        <v>12.55</v>
      </c>
      <c r="E53" s="6">
        <v>327</v>
      </c>
    </row>
    <row r="54" spans="1:5" x14ac:dyDescent="0.25">
      <c r="A54" s="6" t="s">
        <v>888</v>
      </c>
      <c r="B54" s="6">
        <v>0.99</v>
      </c>
      <c r="C54" s="6">
        <v>17</v>
      </c>
      <c r="D54" s="6">
        <v>8.6199999999999992</v>
      </c>
      <c r="E54" s="6">
        <v>365</v>
      </c>
    </row>
    <row r="55" spans="1:5" x14ac:dyDescent="0.25">
      <c r="A55" s="6" t="s">
        <v>61</v>
      </c>
      <c r="B55" s="6">
        <v>0.04</v>
      </c>
      <c r="C55" s="6">
        <v>0</v>
      </c>
      <c r="D55" s="6">
        <v>13.21</v>
      </c>
      <c r="E55" s="6">
        <v>378</v>
      </c>
    </row>
    <row r="56" spans="1:5" x14ac:dyDescent="0.25">
      <c r="A56" s="6" t="s">
        <v>986</v>
      </c>
      <c r="B56" s="6">
        <v>7.0000000000000007E-2</v>
      </c>
      <c r="C56" s="6">
        <v>0</v>
      </c>
      <c r="D56" s="6">
        <v>15.14</v>
      </c>
      <c r="E56" s="6">
        <v>431</v>
      </c>
    </row>
    <row r="57" spans="1:5" x14ac:dyDescent="0.25">
      <c r="A57" s="6" t="s">
        <v>119</v>
      </c>
      <c r="B57" s="6">
        <v>0.35</v>
      </c>
      <c r="C57" s="6">
        <v>0</v>
      </c>
      <c r="D57" s="6">
        <v>3.6</v>
      </c>
      <c r="E57" s="6">
        <v>151</v>
      </c>
    </row>
    <row r="58" spans="1:5" x14ac:dyDescent="0.25">
      <c r="A58" s="6" t="s">
        <v>759</v>
      </c>
      <c r="B58" s="6">
        <v>0.55000000000000004</v>
      </c>
      <c r="C58" s="6">
        <v>37</v>
      </c>
      <c r="D58" s="6">
        <v>5.33</v>
      </c>
      <c r="E58" s="6">
        <v>173</v>
      </c>
    </row>
    <row r="59" spans="1:5" x14ac:dyDescent="0.25">
      <c r="A59" s="6" t="s">
        <v>616</v>
      </c>
      <c r="B59" s="6">
        <v>0.03</v>
      </c>
      <c r="C59" s="6">
        <v>0</v>
      </c>
      <c r="D59" s="6">
        <v>6.28</v>
      </c>
      <c r="E59" s="6">
        <v>172</v>
      </c>
    </row>
    <row r="60" spans="1:5" x14ac:dyDescent="0.25">
      <c r="A60" s="6" t="s">
        <v>744</v>
      </c>
      <c r="B60" s="6">
        <v>0.03</v>
      </c>
      <c r="C60" s="6">
        <v>0</v>
      </c>
      <c r="D60" s="6">
        <v>12.61</v>
      </c>
      <c r="E60" s="6">
        <v>357</v>
      </c>
    </row>
    <row r="61" spans="1:5" x14ac:dyDescent="0.25">
      <c r="A61" s="6" t="s">
        <v>32</v>
      </c>
      <c r="B61" s="6">
        <v>0.75</v>
      </c>
      <c r="C61" s="6">
        <v>14</v>
      </c>
      <c r="D61" s="6">
        <v>6.84</v>
      </c>
      <c r="E61" s="6">
        <v>162</v>
      </c>
    </row>
    <row r="62" spans="1:5" x14ac:dyDescent="0.25">
      <c r="A62" s="6" t="s">
        <v>118</v>
      </c>
      <c r="B62" s="6">
        <v>0.36</v>
      </c>
      <c r="C62" s="6">
        <v>0</v>
      </c>
      <c r="D62" s="6">
        <v>25.77</v>
      </c>
      <c r="E62" s="6">
        <v>381</v>
      </c>
    </row>
    <row r="63" spans="1:5" x14ac:dyDescent="0.25">
      <c r="A63" s="6" t="s">
        <v>889</v>
      </c>
      <c r="B63" s="6">
        <v>0.05</v>
      </c>
      <c r="C63" s="6">
        <v>0</v>
      </c>
      <c r="D63" s="6">
        <v>11.72</v>
      </c>
      <c r="E63" s="6">
        <v>284</v>
      </c>
    </row>
    <row r="64" spans="1:5" x14ac:dyDescent="0.25">
      <c r="A64" s="6" t="s">
        <v>52</v>
      </c>
      <c r="B64" s="6">
        <v>0.03</v>
      </c>
      <c r="C64" s="6">
        <v>0</v>
      </c>
      <c r="D64" s="6">
        <v>13.86</v>
      </c>
      <c r="E64" s="6">
        <v>408</v>
      </c>
    </row>
    <row r="65" spans="1:5" x14ac:dyDescent="0.25">
      <c r="A65" s="6" t="s">
        <v>245</v>
      </c>
      <c r="B65" s="6">
        <v>0.03</v>
      </c>
      <c r="C65" s="6">
        <v>0</v>
      </c>
      <c r="D65" s="6">
        <v>7.35</v>
      </c>
      <c r="E65" s="6">
        <v>176</v>
      </c>
    </row>
    <row r="66" spans="1:5" x14ac:dyDescent="0.25">
      <c r="A66" s="6" t="s">
        <v>544</v>
      </c>
      <c r="B66" s="6">
        <v>0.02</v>
      </c>
      <c r="C66" s="6">
        <v>0</v>
      </c>
      <c r="D66" s="6">
        <v>10.23</v>
      </c>
      <c r="E66" s="6">
        <v>390</v>
      </c>
    </row>
    <row r="67" spans="1:5" x14ac:dyDescent="0.25">
      <c r="A67" s="6" t="s">
        <v>164</v>
      </c>
      <c r="B67" s="6">
        <v>0.03</v>
      </c>
      <c r="C67" s="6">
        <v>0</v>
      </c>
      <c r="D67" s="6">
        <v>19.489999999999998</v>
      </c>
      <c r="E67" s="6">
        <v>561</v>
      </c>
    </row>
    <row r="68" spans="1:5" x14ac:dyDescent="0.25">
      <c r="A68" s="6" t="s">
        <v>381</v>
      </c>
      <c r="B68" s="6">
        <v>0.04</v>
      </c>
      <c r="C68" s="6">
        <v>0</v>
      </c>
      <c r="D68" s="6">
        <v>21.81</v>
      </c>
      <c r="E68" s="6">
        <v>519</v>
      </c>
    </row>
    <row r="69" spans="1:5" x14ac:dyDescent="0.25">
      <c r="A69" s="6" t="s">
        <v>155</v>
      </c>
      <c r="B69" s="6">
        <v>0.03</v>
      </c>
      <c r="C69" s="6">
        <v>0</v>
      </c>
      <c r="D69" s="6">
        <v>29.04</v>
      </c>
      <c r="E69" s="6">
        <v>636</v>
      </c>
    </row>
    <row r="70" spans="1:5" x14ac:dyDescent="0.25">
      <c r="A70" s="6" t="s">
        <v>573</v>
      </c>
      <c r="B70" s="6">
        <v>0.02</v>
      </c>
      <c r="C70" s="6">
        <v>0</v>
      </c>
      <c r="D70" s="6">
        <v>3.4</v>
      </c>
      <c r="E70" s="6">
        <v>156</v>
      </c>
    </row>
    <row r="71" spans="1:5" x14ac:dyDescent="0.25">
      <c r="A71" s="6" t="s">
        <v>22</v>
      </c>
      <c r="B71" s="6">
        <v>0.35</v>
      </c>
      <c r="C71" s="6">
        <v>0</v>
      </c>
      <c r="D71" s="6">
        <v>4.78</v>
      </c>
      <c r="E71" s="6">
        <v>118</v>
      </c>
    </row>
    <row r="72" spans="1:5" x14ac:dyDescent="0.25">
      <c r="A72" s="6" t="s">
        <v>372</v>
      </c>
      <c r="B72" s="6">
        <v>0.04</v>
      </c>
      <c r="C72" s="6">
        <v>0</v>
      </c>
      <c r="D72" s="6">
        <v>7.14</v>
      </c>
      <c r="E72" s="6">
        <v>119</v>
      </c>
    </row>
    <row r="73" spans="1:5" x14ac:dyDescent="0.25">
      <c r="A73" s="6" t="s">
        <v>409</v>
      </c>
      <c r="B73" s="6">
        <v>0.05</v>
      </c>
      <c r="C73" s="6">
        <v>0</v>
      </c>
      <c r="D73" s="6">
        <v>12.51</v>
      </c>
      <c r="E73" s="6">
        <v>255</v>
      </c>
    </row>
    <row r="74" spans="1:5" x14ac:dyDescent="0.25">
      <c r="A74" s="6" t="s">
        <v>16</v>
      </c>
      <c r="B74" s="6">
        <v>0.03</v>
      </c>
      <c r="C74" s="6">
        <v>0</v>
      </c>
      <c r="D74" s="6">
        <v>8.31</v>
      </c>
      <c r="E74" s="6">
        <v>224</v>
      </c>
    </row>
    <row r="75" spans="1:5" x14ac:dyDescent="0.25">
      <c r="A75" s="6" t="s">
        <v>890</v>
      </c>
      <c r="B75" s="6">
        <v>0.03</v>
      </c>
      <c r="C75" s="6">
        <v>0</v>
      </c>
      <c r="D75" s="6">
        <v>13.83</v>
      </c>
      <c r="E75" s="6">
        <v>319</v>
      </c>
    </row>
    <row r="76" spans="1:5" x14ac:dyDescent="0.25">
      <c r="A76" s="6" t="s">
        <v>512</v>
      </c>
      <c r="B76" s="6">
        <v>0.04</v>
      </c>
      <c r="C76" s="6">
        <v>0</v>
      </c>
      <c r="D76" s="6">
        <v>19.14</v>
      </c>
      <c r="E76" s="6">
        <v>398</v>
      </c>
    </row>
    <row r="77" spans="1:5" x14ac:dyDescent="0.25">
      <c r="A77" s="6" t="s">
        <v>233</v>
      </c>
      <c r="B77" s="6">
        <v>0.04</v>
      </c>
      <c r="C77" s="6">
        <v>0</v>
      </c>
      <c r="D77" s="6">
        <v>16.09</v>
      </c>
      <c r="E77" s="6">
        <v>351</v>
      </c>
    </row>
    <row r="78" spans="1:5" x14ac:dyDescent="0.25">
      <c r="A78" s="6" t="s">
        <v>891</v>
      </c>
      <c r="B78" s="6">
        <v>0.06</v>
      </c>
      <c r="C78" s="6">
        <v>0</v>
      </c>
      <c r="D78" s="6">
        <v>18.579999999999998</v>
      </c>
      <c r="E78" s="6">
        <v>584</v>
      </c>
    </row>
    <row r="79" spans="1:5" x14ac:dyDescent="0.25">
      <c r="A79" s="6" t="s">
        <v>382</v>
      </c>
      <c r="B79" s="6">
        <v>0.03</v>
      </c>
      <c r="C79" s="6">
        <v>0</v>
      </c>
      <c r="D79" s="6">
        <v>10.39</v>
      </c>
      <c r="E79" s="6">
        <v>332</v>
      </c>
    </row>
    <row r="80" spans="1:5" x14ac:dyDescent="0.25">
      <c r="A80" s="6" t="s">
        <v>482</v>
      </c>
      <c r="B80" s="6">
        <v>0.02</v>
      </c>
      <c r="C80" s="6">
        <v>0</v>
      </c>
      <c r="D80" s="6">
        <v>6.05</v>
      </c>
      <c r="E80" s="6">
        <v>255</v>
      </c>
    </row>
    <row r="81" spans="1:5" x14ac:dyDescent="0.25">
      <c r="A81" s="6" t="s">
        <v>680</v>
      </c>
      <c r="B81" s="6">
        <v>0.37</v>
      </c>
      <c r="C81" s="6">
        <v>0</v>
      </c>
      <c r="D81" s="6">
        <v>14.77</v>
      </c>
      <c r="E81" s="6">
        <v>292</v>
      </c>
    </row>
    <row r="82" spans="1:5" x14ac:dyDescent="0.25">
      <c r="A82" s="6" t="s">
        <v>581</v>
      </c>
      <c r="B82" s="6">
        <v>0.02</v>
      </c>
      <c r="C82" s="6">
        <v>0</v>
      </c>
      <c r="D82" s="6">
        <v>8.91</v>
      </c>
      <c r="E82" s="6">
        <v>405</v>
      </c>
    </row>
    <row r="83" spans="1:5" x14ac:dyDescent="0.25">
      <c r="A83" s="6" t="s">
        <v>760</v>
      </c>
      <c r="B83" s="6">
        <v>0.03</v>
      </c>
      <c r="C83" s="6">
        <v>0</v>
      </c>
      <c r="D83" s="6">
        <v>11.71</v>
      </c>
      <c r="E83" s="6">
        <v>341</v>
      </c>
    </row>
    <row r="84" spans="1:5" x14ac:dyDescent="0.25">
      <c r="A84" s="6" t="s">
        <v>761</v>
      </c>
      <c r="B84" s="6">
        <v>0.87</v>
      </c>
      <c r="C84" s="6">
        <v>22</v>
      </c>
      <c r="D84" s="6">
        <v>11.89</v>
      </c>
      <c r="E84" s="6">
        <v>418</v>
      </c>
    </row>
    <row r="85" spans="1:5" x14ac:dyDescent="0.25">
      <c r="A85" s="6" t="s">
        <v>892</v>
      </c>
      <c r="B85" s="6">
        <v>0.03</v>
      </c>
      <c r="C85" s="6">
        <v>0</v>
      </c>
      <c r="D85" s="6">
        <v>13.84</v>
      </c>
      <c r="E85" s="6">
        <v>445</v>
      </c>
    </row>
    <row r="86" spans="1:5" x14ac:dyDescent="0.25">
      <c r="A86" s="6" t="s">
        <v>304</v>
      </c>
      <c r="B86" s="6">
        <v>0.03</v>
      </c>
      <c r="C86" s="6">
        <v>0</v>
      </c>
      <c r="D86" s="6">
        <v>10.71</v>
      </c>
      <c r="E86" s="6">
        <v>298</v>
      </c>
    </row>
    <row r="87" spans="1:5" x14ac:dyDescent="0.25">
      <c r="A87" s="6" t="s">
        <v>179</v>
      </c>
      <c r="B87" s="6">
        <v>0.03</v>
      </c>
      <c r="C87" s="6">
        <v>0</v>
      </c>
      <c r="D87" s="6">
        <v>13.27</v>
      </c>
      <c r="E87" s="6">
        <v>366</v>
      </c>
    </row>
    <row r="88" spans="1:5" x14ac:dyDescent="0.25">
      <c r="A88" s="6" t="s">
        <v>316</v>
      </c>
      <c r="B88" s="6">
        <v>0.04</v>
      </c>
      <c r="C88" s="6">
        <v>0</v>
      </c>
      <c r="D88" s="6">
        <v>10.96</v>
      </c>
      <c r="E88" s="6">
        <v>283</v>
      </c>
    </row>
    <row r="89" spans="1:5" x14ac:dyDescent="0.25">
      <c r="A89" s="6" t="s">
        <v>762</v>
      </c>
      <c r="B89" s="6">
        <v>0.03</v>
      </c>
      <c r="C89" s="6">
        <v>0</v>
      </c>
      <c r="D89" s="6">
        <v>18.760000000000002</v>
      </c>
      <c r="E89" s="6">
        <v>505</v>
      </c>
    </row>
    <row r="90" spans="1:5" x14ac:dyDescent="0.25">
      <c r="A90" s="6" t="s">
        <v>502</v>
      </c>
      <c r="B90" s="6">
        <v>0.02</v>
      </c>
      <c r="C90" s="6">
        <v>0</v>
      </c>
      <c r="D90" s="6">
        <v>1.8</v>
      </c>
      <c r="E90" s="6">
        <v>57</v>
      </c>
    </row>
    <row r="91" spans="1:5" x14ac:dyDescent="0.25">
      <c r="A91" s="6" t="s">
        <v>763</v>
      </c>
      <c r="B91" s="6">
        <v>0.04</v>
      </c>
      <c r="C91" s="6">
        <v>0</v>
      </c>
      <c r="D91" s="6">
        <v>10.9</v>
      </c>
      <c r="E91" s="6">
        <v>245</v>
      </c>
    </row>
    <row r="92" spans="1:5" x14ac:dyDescent="0.25">
      <c r="A92" s="6" t="s">
        <v>575</v>
      </c>
      <c r="B92" s="6">
        <v>0.03</v>
      </c>
      <c r="C92" s="6">
        <v>0</v>
      </c>
      <c r="D92" s="6">
        <v>11.56</v>
      </c>
      <c r="E92" s="6">
        <v>186</v>
      </c>
    </row>
    <row r="93" spans="1:5" x14ac:dyDescent="0.25">
      <c r="A93" s="6" t="s">
        <v>320</v>
      </c>
      <c r="B93" s="6">
        <v>0.03</v>
      </c>
      <c r="C93" s="6">
        <v>0</v>
      </c>
      <c r="D93" s="6">
        <v>15.13</v>
      </c>
      <c r="E93" s="6">
        <v>299</v>
      </c>
    </row>
    <row r="94" spans="1:5" x14ac:dyDescent="0.25">
      <c r="A94" s="6" t="s">
        <v>629</v>
      </c>
      <c r="B94" s="6">
        <v>0.03</v>
      </c>
      <c r="C94" s="6">
        <v>0</v>
      </c>
      <c r="D94" s="6">
        <v>16.82</v>
      </c>
      <c r="E94" s="6">
        <v>436</v>
      </c>
    </row>
    <row r="95" spans="1:5" x14ac:dyDescent="0.25">
      <c r="A95" s="6" t="s">
        <v>187</v>
      </c>
      <c r="B95" s="6">
        <v>0.02</v>
      </c>
      <c r="C95" s="6">
        <v>0</v>
      </c>
      <c r="D95" s="6">
        <v>4.8499999999999996</v>
      </c>
      <c r="E95" s="6">
        <v>160</v>
      </c>
    </row>
    <row r="96" spans="1:5" x14ac:dyDescent="0.25">
      <c r="A96" s="6" t="s">
        <v>326</v>
      </c>
      <c r="B96" s="6">
        <v>0.38</v>
      </c>
      <c r="C96" s="6">
        <v>0</v>
      </c>
      <c r="D96" s="6">
        <v>31.21</v>
      </c>
      <c r="E96" s="6">
        <v>740</v>
      </c>
    </row>
    <row r="97" spans="1:5" x14ac:dyDescent="0.25">
      <c r="A97" s="6" t="s">
        <v>501</v>
      </c>
      <c r="B97" s="6">
        <v>0.03</v>
      </c>
      <c r="C97" s="6">
        <v>0</v>
      </c>
      <c r="D97" s="6">
        <v>6.25</v>
      </c>
      <c r="E97" s="6">
        <v>93</v>
      </c>
    </row>
    <row r="98" spans="1:5" x14ac:dyDescent="0.25">
      <c r="A98" s="6" t="s">
        <v>418</v>
      </c>
      <c r="B98" s="6">
        <v>0.02</v>
      </c>
      <c r="C98" s="6">
        <v>0</v>
      </c>
      <c r="D98" s="6">
        <v>9.2799999999999994</v>
      </c>
      <c r="E98" s="6">
        <v>345</v>
      </c>
    </row>
    <row r="99" spans="1:5" x14ac:dyDescent="0.25">
      <c r="A99" s="6" t="s">
        <v>765</v>
      </c>
      <c r="B99" s="6">
        <v>0.03</v>
      </c>
      <c r="C99" s="6">
        <v>0</v>
      </c>
      <c r="D99" s="6">
        <v>14.67</v>
      </c>
      <c r="E99" s="6">
        <v>373</v>
      </c>
    </row>
    <row r="100" spans="1:5" x14ac:dyDescent="0.25">
      <c r="A100" s="6" t="s">
        <v>174</v>
      </c>
      <c r="B100" s="6">
        <v>0.03</v>
      </c>
      <c r="C100" s="6">
        <v>0</v>
      </c>
      <c r="D100" s="6">
        <v>17.850000000000001</v>
      </c>
      <c r="E100" s="6">
        <v>422</v>
      </c>
    </row>
    <row r="101" spans="1:5" x14ac:dyDescent="0.25">
      <c r="A101" s="6" t="s">
        <v>690</v>
      </c>
      <c r="B101" s="6">
        <v>0.03</v>
      </c>
      <c r="C101" s="6">
        <v>0</v>
      </c>
      <c r="D101" s="6">
        <v>5.19</v>
      </c>
      <c r="E101" s="6">
        <v>206</v>
      </c>
    </row>
    <row r="102" spans="1:5" x14ac:dyDescent="0.25">
      <c r="A102" s="6" t="s">
        <v>536</v>
      </c>
      <c r="B102" s="6">
        <v>0.75</v>
      </c>
      <c r="C102" s="6">
        <v>15</v>
      </c>
      <c r="D102" s="6">
        <v>10.34</v>
      </c>
      <c r="E102" s="6">
        <v>318</v>
      </c>
    </row>
    <row r="103" spans="1:5" x14ac:dyDescent="0.25">
      <c r="A103" s="6" t="s">
        <v>893</v>
      </c>
      <c r="B103" s="6">
        <v>0.04</v>
      </c>
      <c r="C103" s="6">
        <v>0</v>
      </c>
      <c r="D103" s="6">
        <v>16.100000000000001</v>
      </c>
      <c r="E103" s="6">
        <v>326</v>
      </c>
    </row>
    <row r="104" spans="1:5" x14ac:dyDescent="0.25">
      <c r="A104" s="6" t="s">
        <v>450</v>
      </c>
      <c r="B104" s="6">
        <v>0.03</v>
      </c>
      <c r="C104" s="6">
        <v>0</v>
      </c>
      <c r="D104" s="6">
        <v>6.08</v>
      </c>
      <c r="E104" s="6">
        <v>215</v>
      </c>
    </row>
    <row r="105" spans="1:5" x14ac:dyDescent="0.25">
      <c r="A105" s="6" t="s">
        <v>238</v>
      </c>
      <c r="B105" s="6">
        <v>0.02</v>
      </c>
      <c r="C105" s="6">
        <v>0</v>
      </c>
      <c r="D105" s="6">
        <v>2.54</v>
      </c>
      <c r="E105" s="6">
        <v>86</v>
      </c>
    </row>
    <row r="106" spans="1:5" x14ac:dyDescent="0.25">
      <c r="A106" s="6" t="s">
        <v>535</v>
      </c>
      <c r="B106" s="6">
        <v>0.03</v>
      </c>
      <c r="C106" s="6">
        <v>0</v>
      </c>
      <c r="D106" s="6">
        <v>9.06</v>
      </c>
      <c r="E106" s="6">
        <v>262</v>
      </c>
    </row>
    <row r="107" spans="1:5" x14ac:dyDescent="0.25">
      <c r="A107" s="6" t="s">
        <v>29</v>
      </c>
      <c r="B107" s="6">
        <v>0.04</v>
      </c>
      <c r="C107" s="6">
        <v>0</v>
      </c>
      <c r="D107" s="6">
        <v>19.04</v>
      </c>
      <c r="E107" s="6">
        <v>385</v>
      </c>
    </row>
    <row r="108" spans="1:5" x14ac:dyDescent="0.25">
      <c r="A108" s="6" t="s">
        <v>766</v>
      </c>
      <c r="B108" s="6">
        <v>0.04</v>
      </c>
      <c r="C108" s="6">
        <v>0</v>
      </c>
      <c r="D108" s="6">
        <v>25.71</v>
      </c>
      <c r="E108" s="6">
        <v>551</v>
      </c>
    </row>
    <row r="109" spans="1:5" x14ac:dyDescent="0.25">
      <c r="A109" s="6" t="s">
        <v>988</v>
      </c>
      <c r="B109" s="6">
        <v>0.03</v>
      </c>
      <c r="C109" s="6">
        <v>0</v>
      </c>
      <c r="D109" s="6">
        <v>12.01</v>
      </c>
      <c r="E109" s="6">
        <v>281</v>
      </c>
    </row>
    <row r="110" spans="1:5" x14ac:dyDescent="0.25">
      <c r="A110" s="6" t="s">
        <v>643</v>
      </c>
      <c r="B110" s="6">
        <v>0.02</v>
      </c>
      <c r="C110" s="6">
        <v>0</v>
      </c>
      <c r="D110" s="6">
        <v>10.27</v>
      </c>
      <c r="E110" s="6">
        <v>358</v>
      </c>
    </row>
    <row r="111" spans="1:5" x14ac:dyDescent="0.25">
      <c r="A111" s="6" t="s">
        <v>291</v>
      </c>
      <c r="B111" s="6">
        <v>0.03</v>
      </c>
      <c r="C111" s="6">
        <v>0</v>
      </c>
      <c r="D111" s="6">
        <v>12.42</v>
      </c>
      <c r="E111" s="6">
        <v>405</v>
      </c>
    </row>
    <row r="112" spans="1:5" x14ac:dyDescent="0.25">
      <c r="A112" s="6" t="s">
        <v>520</v>
      </c>
      <c r="B112" s="6">
        <v>0.04</v>
      </c>
      <c r="C112" s="6">
        <v>0</v>
      </c>
      <c r="D112" s="6">
        <v>11.87</v>
      </c>
      <c r="E112" s="6">
        <v>257</v>
      </c>
    </row>
    <row r="113" spans="1:5" x14ac:dyDescent="0.25">
      <c r="A113" s="6" t="s">
        <v>745</v>
      </c>
      <c r="B113" s="6">
        <v>0.04</v>
      </c>
      <c r="C113" s="6">
        <v>0</v>
      </c>
      <c r="D113" s="6">
        <v>13.83</v>
      </c>
      <c r="E113" s="6">
        <v>292</v>
      </c>
    </row>
    <row r="114" spans="1:5" x14ac:dyDescent="0.25">
      <c r="A114" s="6" t="s">
        <v>226</v>
      </c>
      <c r="B114" s="6">
        <v>0.71</v>
      </c>
      <c r="C114" s="6">
        <v>0</v>
      </c>
      <c r="D114" s="6">
        <v>9.74</v>
      </c>
      <c r="E114" s="6">
        <v>197</v>
      </c>
    </row>
    <row r="115" spans="1:5" x14ac:dyDescent="0.25">
      <c r="A115" s="6" t="s">
        <v>84</v>
      </c>
      <c r="B115" s="6">
        <v>0.37</v>
      </c>
      <c r="C115" s="6">
        <v>0</v>
      </c>
      <c r="D115" s="6">
        <v>2.0499999999999998</v>
      </c>
      <c r="E115" s="6">
        <v>68</v>
      </c>
    </row>
    <row r="116" spans="1:5" x14ac:dyDescent="0.25">
      <c r="A116" s="6" t="s">
        <v>34</v>
      </c>
      <c r="B116" s="6">
        <v>0.03</v>
      </c>
      <c r="C116" s="6">
        <v>0</v>
      </c>
      <c r="D116" s="6">
        <v>5.63</v>
      </c>
      <c r="E116" s="6">
        <v>160</v>
      </c>
    </row>
    <row r="117" spans="1:5" x14ac:dyDescent="0.25">
      <c r="A117" s="6" t="s">
        <v>319</v>
      </c>
      <c r="B117" s="6">
        <v>0.02</v>
      </c>
      <c r="C117" s="6">
        <v>0</v>
      </c>
      <c r="D117" s="6">
        <v>6.76</v>
      </c>
      <c r="E117" s="6">
        <v>230</v>
      </c>
    </row>
    <row r="118" spans="1:5" x14ac:dyDescent="0.25">
      <c r="A118" s="6" t="s">
        <v>168</v>
      </c>
      <c r="B118" s="6">
        <v>0.03</v>
      </c>
      <c r="C118" s="6">
        <v>0</v>
      </c>
      <c r="D118" s="6">
        <v>14.65</v>
      </c>
      <c r="E118" s="6">
        <v>420</v>
      </c>
    </row>
    <row r="119" spans="1:5" x14ac:dyDescent="0.25">
      <c r="A119" s="6" t="s">
        <v>240</v>
      </c>
      <c r="B119" s="6">
        <v>0.03</v>
      </c>
      <c r="C119" s="6">
        <v>0</v>
      </c>
      <c r="D119" s="6">
        <v>16.38</v>
      </c>
      <c r="E119" s="6">
        <v>531</v>
      </c>
    </row>
    <row r="120" spans="1:5" x14ac:dyDescent="0.25">
      <c r="A120" s="6" t="s">
        <v>895</v>
      </c>
      <c r="B120" s="6">
        <v>0.03</v>
      </c>
      <c r="C120" s="6">
        <v>0</v>
      </c>
      <c r="D120" s="6">
        <v>12.46</v>
      </c>
      <c r="E120" s="6">
        <v>361</v>
      </c>
    </row>
    <row r="121" spans="1:5" x14ac:dyDescent="0.25">
      <c r="A121" s="6" t="s">
        <v>767</v>
      </c>
      <c r="B121" s="6">
        <v>0.37</v>
      </c>
      <c r="C121" s="6">
        <v>0</v>
      </c>
      <c r="D121" s="6">
        <v>18.329999999999998</v>
      </c>
      <c r="E121" s="6">
        <v>416</v>
      </c>
    </row>
    <row r="122" spans="1:5" x14ac:dyDescent="0.25">
      <c r="A122" s="6" t="s">
        <v>768</v>
      </c>
      <c r="B122" s="6">
        <v>0.03</v>
      </c>
      <c r="C122" s="6">
        <v>0</v>
      </c>
      <c r="D122" s="6">
        <v>13.51</v>
      </c>
      <c r="E122" s="6">
        <v>327</v>
      </c>
    </row>
    <row r="123" spans="1:5" x14ac:dyDescent="0.25">
      <c r="A123" s="6" t="s">
        <v>896</v>
      </c>
      <c r="B123" s="6">
        <v>0.06</v>
      </c>
      <c r="C123" s="6">
        <v>0</v>
      </c>
      <c r="D123" s="6">
        <v>18.27</v>
      </c>
      <c r="E123" s="6">
        <v>444</v>
      </c>
    </row>
    <row r="124" spans="1:5" x14ac:dyDescent="0.25">
      <c r="A124" s="6" t="s">
        <v>571</v>
      </c>
      <c r="B124" s="6">
        <v>0.31</v>
      </c>
      <c r="C124" s="6">
        <v>17</v>
      </c>
      <c r="D124" s="6">
        <v>2.78</v>
      </c>
      <c r="E124" s="6">
        <v>74</v>
      </c>
    </row>
    <row r="125" spans="1:5" x14ac:dyDescent="0.25">
      <c r="A125" s="6" t="s">
        <v>252</v>
      </c>
      <c r="B125" s="6">
        <v>0.03</v>
      </c>
      <c r="C125" s="6">
        <v>0</v>
      </c>
      <c r="D125" s="6">
        <v>25.35</v>
      </c>
      <c r="E125" s="6">
        <v>538</v>
      </c>
    </row>
    <row r="126" spans="1:5" x14ac:dyDescent="0.25">
      <c r="A126" s="6" t="s">
        <v>376</v>
      </c>
      <c r="B126" s="6">
        <v>0.43</v>
      </c>
      <c r="C126" s="6">
        <v>21</v>
      </c>
      <c r="D126" s="6">
        <v>12.46</v>
      </c>
      <c r="E126" s="6">
        <v>303</v>
      </c>
    </row>
    <row r="127" spans="1:5" x14ac:dyDescent="0.25">
      <c r="A127" s="6" t="s">
        <v>742</v>
      </c>
      <c r="B127" s="6">
        <v>0.03</v>
      </c>
      <c r="C127" s="6">
        <v>0</v>
      </c>
      <c r="D127" s="6">
        <v>21.34</v>
      </c>
      <c r="E127" s="6">
        <v>473</v>
      </c>
    </row>
    <row r="128" spans="1:5" x14ac:dyDescent="0.25">
      <c r="A128" s="6" t="s">
        <v>218</v>
      </c>
      <c r="B128" s="6">
        <v>0.03</v>
      </c>
      <c r="C128" s="6">
        <v>0</v>
      </c>
      <c r="D128" s="6">
        <v>11.89</v>
      </c>
      <c r="E128" s="6">
        <v>510</v>
      </c>
    </row>
    <row r="129" spans="1:5" x14ac:dyDescent="0.25">
      <c r="A129" s="6" t="s">
        <v>639</v>
      </c>
      <c r="B129" s="6">
        <v>1.06</v>
      </c>
      <c r="C129" s="6">
        <v>21</v>
      </c>
      <c r="D129" s="6">
        <v>20.67</v>
      </c>
      <c r="E129" s="6">
        <v>491</v>
      </c>
    </row>
    <row r="130" spans="1:5" x14ac:dyDescent="0.25">
      <c r="A130" s="6" t="s">
        <v>531</v>
      </c>
      <c r="B130" s="6">
        <v>0.02</v>
      </c>
      <c r="C130" s="6">
        <v>0</v>
      </c>
      <c r="D130" s="6">
        <v>6.47</v>
      </c>
      <c r="E130" s="6">
        <v>275</v>
      </c>
    </row>
    <row r="131" spans="1:5" x14ac:dyDescent="0.25">
      <c r="A131" s="6" t="s">
        <v>428</v>
      </c>
      <c r="B131" s="6">
        <v>0.02</v>
      </c>
      <c r="C131" s="6">
        <v>0</v>
      </c>
      <c r="D131" s="6">
        <v>5.34</v>
      </c>
      <c r="E131" s="6">
        <v>209</v>
      </c>
    </row>
    <row r="132" spans="1:5" x14ac:dyDescent="0.25">
      <c r="A132" s="6" t="s">
        <v>769</v>
      </c>
      <c r="B132" s="6">
        <v>0.04</v>
      </c>
      <c r="C132" s="6">
        <v>0</v>
      </c>
      <c r="D132" s="6">
        <v>20.86</v>
      </c>
      <c r="E132" s="6">
        <v>470</v>
      </c>
    </row>
    <row r="133" spans="1:5" x14ac:dyDescent="0.25">
      <c r="A133" s="6" t="s">
        <v>897</v>
      </c>
      <c r="B133" s="6">
        <v>0.03</v>
      </c>
      <c r="C133" s="6">
        <v>0</v>
      </c>
      <c r="D133" s="6">
        <v>8.5</v>
      </c>
      <c r="E133" s="6">
        <v>323</v>
      </c>
    </row>
    <row r="134" spans="1:5" x14ac:dyDescent="0.25">
      <c r="A134" s="6" t="s">
        <v>670</v>
      </c>
      <c r="B134" s="6">
        <v>0.02</v>
      </c>
      <c r="C134" s="6">
        <v>0</v>
      </c>
      <c r="D134" s="6">
        <v>6.38</v>
      </c>
      <c r="E134" s="6">
        <v>213</v>
      </c>
    </row>
    <row r="135" spans="1:5" x14ac:dyDescent="0.25">
      <c r="A135" s="6" t="s">
        <v>258</v>
      </c>
      <c r="B135" s="6">
        <v>0.02</v>
      </c>
      <c r="C135" s="6">
        <v>0</v>
      </c>
      <c r="D135" s="6">
        <v>3.08</v>
      </c>
      <c r="E135" s="6">
        <v>119</v>
      </c>
    </row>
    <row r="136" spans="1:5" x14ac:dyDescent="0.25">
      <c r="A136" s="6" t="s">
        <v>727</v>
      </c>
      <c r="B136" s="6">
        <v>0.03</v>
      </c>
      <c r="C136" s="6">
        <v>0</v>
      </c>
      <c r="D136" s="6">
        <v>10.79</v>
      </c>
      <c r="E136" s="6">
        <v>277</v>
      </c>
    </row>
    <row r="137" spans="1:5" x14ac:dyDescent="0.25">
      <c r="A137" s="6" t="s">
        <v>632</v>
      </c>
      <c r="B137" s="6">
        <v>0.03</v>
      </c>
      <c r="C137" s="6">
        <v>0</v>
      </c>
      <c r="D137" s="6">
        <v>12.88</v>
      </c>
      <c r="E137" s="6">
        <v>529</v>
      </c>
    </row>
    <row r="138" spans="1:5" x14ac:dyDescent="0.25">
      <c r="A138" s="6" t="s">
        <v>728</v>
      </c>
      <c r="B138" s="6">
        <v>0.04</v>
      </c>
      <c r="C138" s="6">
        <v>0</v>
      </c>
      <c r="D138" s="6">
        <v>18.079999999999998</v>
      </c>
      <c r="E138" s="6">
        <v>303</v>
      </c>
    </row>
    <row r="139" spans="1:5" x14ac:dyDescent="0.25">
      <c r="A139" s="6" t="s">
        <v>770</v>
      </c>
      <c r="B139" s="6">
        <v>0.94</v>
      </c>
      <c r="C139" s="6">
        <v>20</v>
      </c>
      <c r="D139" s="6">
        <v>17.38</v>
      </c>
      <c r="E139" s="6">
        <v>376</v>
      </c>
    </row>
    <row r="140" spans="1:5" x14ac:dyDescent="0.25">
      <c r="A140" s="6" t="s">
        <v>898</v>
      </c>
      <c r="B140" s="6">
        <v>0.02</v>
      </c>
      <c r="C140" s="6">
        <v>0</v>
      </c>
      <c r="D140" s="6">
        <v>7.05</v>
      </c>
      <c r="E140" s="6">
        <v>317</v>
      </c>
    </row>
    <row r="141" spans="1:5" x14ac:dyDescent="0.25">
      <c r="A141" s="6" t="s">
        <v>301</v>
      </c>
      <c r="B141" s="6">
        <v>0.03</v>
      </c>
      <c r="C141" s="6">
        <v>0</v>
      </c>
      <c r="D141" s="6">
        <v>15.41</v>
      </c>
      <c r="E141" s="6">
        <v>442</v>
      </c>
    </row>
    <row r="142" spans="1:5" x14ac:dyDescent="0.25">
      <c r="A142" s="6" t="s">
        <v>145</v>
      </c>
      <c r="B142" s="6">
        <v>0.03</v>
      </c>
      <c r="C142" s="6">
        <v>0</v>
      </c>
      <c r="D142" s="6">
        <v>10.74</v>
      </c>
      <c r="E142" s="6">
        <v>242</v>
      </c>
    </row>
    <row r="143" spans="1:5" x14ac:dyDescent="0.25">
      <c r="A143" s="6" t="s">
        <v>716</v>
      </c>
      <c r="B143" s="6">
        <v>0.04</v>
      </c>
      <c r="C143" s="6">
        <v>0</v>
      </c>
      <c r="D143" s="6">
        <v>2.72</v>
      </c>
      <c r="E143" s="6">
        <v>65</v>
      </c>
    </row>
    <row r="144" spans="1:5" x14ac:dyDescent="0.25">
      <c r="A144" s="6" t="s">
        <v>217</v>
      </c>
      <c r="B144" s="6">
        <v>0.02</v>
      </c>
      <c r="C144" s="6">
        <v>0</v>
      </c>
      <c r="D144" s="6">
        <v>3.85</v>
      </c>
      <c r="E144" s="6">
        <v>111</v>
      </c>
    </row>
    <row r="145" spans="1:5" x14ac:dyDescent="0.25">
      <c r="A145" s="6" t="s">
        <v>375</v>
      </c>
      <c r="B145" s="6">
        <v>0.03</v>
      </c>
      <c r="C145" s="6">
        <v>0</v>
      </c>
      <c r="D145" s="6">
        <v>8.6199999999999992</v>
      </c>
      <c r="E145" s="6">
        <v>299</v>
      </c>
    </row>
    <row r="146" spans="1:5" x14ac:dyDescent="0.25">
      <c r="A146" s="6" t="s">
        <v>723</v>
      </c>
      <c r="B146" s="6">
        <v>0.02</v>
      </c>
      <c r="C146" s="6">
        <v>0</v>
      </c>
      <c r="D146" s="6">
        <v>6.11</v>
      </c>
      <c r="E146" s="6">
        <v>183</v>
      </c>
    </row>
    <row r="147" spans="1:5" x14ac:dyDescent="0.25">
      <c r="A147" s="6" t="s">
        <v>108</v>
      </c>
      <c r="B147" s="6">
        <v>0.03</v>
      </c>
      <c r="C147" s="6">
        <v>0</v>
      </c>
      <c r="D147" s="6">
        <v>19.7</v>
      </c>
      <c r="E147" s="6">
        <v>462</v>
      </c>
    </row>
    <row r="148" spans="1:5" x14ac:dyDescent="0.25">
      <c r="A148" s="6" t="s">
        <v>504</v>
      </c>
      <c r="B148" s="6">
        <v>0.94</v>
      </c>
      <c r="C148" s="6">
        <v>34</v>
      </c>
      <c r="D148" s="6">
        <v>15.68</v>
      </c>
      <c r="E148" s="6">
        <v>524</v>
      </c>
    </row>
    <row r="149" spans="1:5" x14ac:dyDescent="0.25">
      <c r="A149" s="6" t="s">
        <v>68</v>
      </c>
      <c r="B149" s="6">
        <v>0.03</v>
      </c>
      <c r="C149" s="6">
        <v>0</v>
      </c>
      <c r="D149" s="6">
        <v>24.62</v>
      </c>
      <c r="E149" s="6">
        <v>609</v>
      </c>
    </row>
    <row r="150" spans="1:5" x14ac:dyDescent="0.25">
      <c r="A150" s="6" t="s">
        <v>175</v>
      </c>
      <c r="B150" s="6">
        <v>0.03</v>
      </c>
      <c r="C150" s="6">
        <v>0</v>
      </c>
      <c r="D150" s="6">
        <v>10.47</v>
      </c>
      <c r="E150" s="6">
        <v>378</v>
      </c>
    </row>
    <row r="151" spans="1:5" x14ac:dyDescent="0.25">
      <c r="A151" s="6" t="s">
        <v>332</v>
      </c>
      <c r="B151" s="6">
        <v>0.03</v>
      </c>
      <c r="C151" s="6">
        <v>0</v>
      </c>
      <c r="D151" s="6">
        <v>12.18</v>
      </c>
      <c r="E151" s="6">
        <v>422</v>
      </c>
    </row>
    <row r="152" spans="1:5" x14ac:dyDescent="0.25">
      <c r="A152" s="6" t="s">
        <v>256</v>
      </c>
      <c r="B152" s="6">
        <v>0.37</v>
      </c>
      <c r="C152" s="6">
        <v>16</v>
      </c>
      <c r="D152" s="6">
        <v>9.7799999999999994</v>
      </c>
      <c r="E152" s="6">
        <v>212</v>
      </c>
    </row>
    <row r="153" spans="1:5" x14ac:dyDescent="0.25">
      <c r="A153" s="6" t="s">
        <v>408</v>
      </c>
      <c r="B153" s="6">
        <v>0.04</v>
      </c>
      <c r="C153" s="6">
        <v>0</v>
      </c>
      <c r="D153" s="6">
        <v>11.06</v>
      </c>
      <c r="E153" s="6">
        <v>225</v>
      </c>
    </row>
    <row r="154" spans="1:5" x14ac:dyDescent="0.25">
      <c r="A154" s="6" t="s">
        <v>123</v>
      </c>
      <c r="B154" s="6">
        <v>0.03</v>
      </c>
      <c r="C154" s="6">
        <v>0</v>
      </c>
      <c r="D154" s="6">
        <v>13.14</v>
      </c>
      <c r="E154" s="6">
        <v>410</v>
      </c>
    </row>
    <row r="155" spans="1:5" x14ac:dyDescent="0.25">
      <c r="A155" s="6" t="s">
        <v>618</v>
      </c>
      <c r="B155" s="6">
        <v>0.03</v>
      </c>
      <c r="C155" s="6">
        <v>0</v>
      </c>
      <c r="D155" s="6">
        <v>6.88</v>
      </c>
      <c r="E155" s="6">
        <v>212</v>
      </c>
    </row>
    <row r="156" spans="1:5" x14ac:dyDescent="0.25">
      <c r="A156" s="6" t="s">
        <v>158</v>
      </c>
      <c r="B156" s="6">
        <v>0.02</v>
      </c>
      <c r="C156" s="6">
        <v>0</v>
      </c>
      <c r="D156" s="6">
        <v>6.69</v>
      </c>
      <c r="E156" s="6">
        <v>221</v>
      </c>
    </row>
    <row r="157" spans="1:5" x14ac:dyDescent="0.25">
      <c r="A157" s="6" t="s">
        <v>330</v>
      </c>
      <c r="B157" s="6">
        <v>0.04</v>
      </c>
      <c r="C157" s="6">
        <v>0</v>
      </c>
      <c r="D157" s="6">
        <v>11.38</v>
      </c>
      <c r="E157" s="6">
        <v>233</v>
      </c>
    </row>
    <row r="158" spans="1:5" x14ac:dyDescent="0.25">
      <c r="A158" s="6" t="s">
        <v>180</v>
      </c>
      <c r="B158" s="6">
        <v>0.04</v>
      </c>
      <c r="C158" s="6">
        <v>0</v>
      </c>
      <c r="D158" s="6">
        <v>20.12</v>
      </c>
      <c r="E158" s="6">
        <v>421</v>
      </c>
    </row>
    <row r="159" spans="1:5" x14ac:dyDescent="0.25">
      <c r="A159" s="6" t="s">
        <v>199</v>
      </c>
      <c r="B159" s="6">
        <v>0.81</v>
      </c>
      <c r="C159" s="6">
        <v>17</v>
      </c>
      <c r="D159" s="6">
        <v>10.19</v>
      </c>
      <c r="E159" s="6">
        <v>281</v>
      </c>
    </row>
    <row r="160" spans="1:5" x14ac:dyDescent="0.25">
      <c r="A160" s="6" t="s">
        <v>337</v>
      </c>
      <c r="B160" s="6">
        <v>0.04</v>
      </c>
      <c r="C160" s="6">
        <v>0</v>
      </c>
      <c r="D160" s="6">
        <v>14.64</v>
      </c>
      <c r="E160" s="6">
        <v>352</v>
      </c>
    </row>
    <row r="161" spans="1:5" x14ac:dyDescent="0.25">
      <c r="A161" s="6" t="s">
        <v>771</v>
      </c>
      <c r="B161" s="6">
        <v>0.02</v>
      </c>
      <c r="C161" s="6">
        <v>0</v>
      </c>
      <c r="D161" s="6">
        <v>11.05</v>
      </c>
      <c r="E161" s="6">
        <v>393</v>
      </c>
    </row>
    <row r="162" spans="1:5" x14ac:dyDescent="0.25">
      <c r="A162" s="6" t="s">
        <v>900</v>
      </c>
      <c r="B162" s="6">
        <v>0.02</v>
      </c>
      <c r="C162" s="6">
        <v>0</v>
      </c>
      <c r="D162" s="6">
        <v>4.13</v>
      </c>
      <c r="E162" s="6">
        <v>87</v>
      </c>
    </row>
    <row r="163" spans="1:5" x14ac:dyDescent="0.25">
      <c r="A163" s="6" t="s">
        <v>466</v>
      </c>
      <c r="B163" s="6">
        <v>0.24</v>
      </c>
      <c r="C163" s="6">
        <v>11</v>
      </c>
      <c r="D163" s="6">
        <v>11.68</v>
      </c>
      <c r="E163" s="6">
        <v>281</v>
      </c>
    </row>
    <row r="164" spans="1:5" x14ac:dyDescent="0.25">
      <c r="A164" s="6" t="s">
        <v>602</v>
      </c>
      <c r="B164" s="6">
        <v>0.02</v>
      </c>
      <c r="C164" s="6">
        <v>0</v>
      </c>
      <c r="D164" s="6">
        <v>2.69</v>
      </c>
      <c r="E164" s="6">
        <v>72</v>
      </c>
    </row>
    <row r="165" spans="1:5" x14ac:dyDescent="0.25">
      <c r="A165" s="6" t="s">
        <v>599</v>
      </c>
      <c r="B165" s="6">
        <v>0.02</v>
      </c>
      <c r="C165" s="6">
        <v>0</v>
      </c>
      <c r="D165" s="6">
        <v>6.59</v>
      </c>
      <c r="E165" s="6">
        <v>188</v>
      </c>
    </row>
    <row r="166" spans="1:5" x14ac:dyDescent="0.25">
      <c r="A166" s="6" t="s">
        <v>772</v>
      </c>
      <c r="B166" s="6">
        <v>0.04</v>
      </c>
      <c r="C166" s="6">
        <v>0</v>
      </c>
      <c r="D166" s="6">
        <v>26.08</v>
      </c>
      <c r="E166" s="6">
        <v>526</v>
      </c>
    </row>
    <row r="167" spans="1:5" x14ac:dyDescent="0.25">
      <c r="A167" s="6" t="s">
        <v>902</v>
      </c>
      <c r="B167" s="6">
        <v>0.03</v>
      </c>
      <c r="C167" s="6">
        <v>0</v>
      </c>
      <c r="D167" s="6">
        <v>7.95</v>
      </c>
      <c r="E167" s="6">
        <v>252</v>
      </c>
    </row>
    <row r="168" spans="1:5" x14ac:dyDescent="0.25">
      <c r="A168" s="6" t="s">
        <v>46</v>
      </c>
      <c r="B168" s="6">
        <v>0.03</v>
      </c>
      <c r="C168" s="6">
        <v>0</v>
      </c>
      <c r="D168" s="6">
        <v>11.73</v>
      </c>
      <c r="E168" s="6">
        <v>242</v>
      </c>
    </row>
    <row r="169" spans="1:5" x14ac:dyDescent="0.25">
      <c r="A169" s="6" t="s">
        <v>605</v>
      </c>
      <c r="B169" s="6">
        <v>0.04</v>
      </c>
      <c r="C169" s="6">
        <v>0</v>
      </c>
      <c r="D169" s="6">
        <v>19.64</v>
      </c>
      <c r="E169" s="6">
        <v>327</v>
      </c>
    </row>
    <row r="170" spans="1:5" x14ac:dyDescent="0.25">
      <c r="A170" s="6" t="s">
        <v>773</v>
      </c>
      <c r="B170" s="6">
        <v>0.04</v>
      </c>
      <c r="C170" s="6">
        <v>0</v>
      </c>
      <c r="D170" s="6">
        <v>14.26</v>
      </c>
      <c r="E170" s="6">
        <v>211</v>
      </c>
    </row>
    <row r="171" spans="1:5" x14ac:dyDescent="0.25">
      <c r="A171" s="6" t="s">
        <v>533</v>
      </c>
      <c r="B171" s="6">
        <v>0.02</v>
      </c>
      <c r="C171" s="6">
        <v>0</v>
      </c>
      <c r="D171" s="6">
        <v>6.96</v>
      </c>
      <c r="E171" s="6">
        <v>212</v>
      </c>
    </row>
    <row r="172" spans="1:5" x14ac:dyDescent="0.25">
      <c r="A172" s="6" t="s">
        <v>13</v>
      </c>
      <c r="B172" s="6">
        <v>0.06</v>
      </c>
      <c r="C172" s="6">
        <v>0</v>
      </c>
      <c r="D172" s="6">
        <v>25.45</v>
      </c>
      <c r="E172" s="6">
        <v>579</v>
      </c>
    </row>
    <row r="173" spans="1:5" x14ac:dyDescent="0.25">
      <c r="A173" s="6" t="s">
        <v>774</v>
      </c>
      <c r="B173" s="6">
        <v>0.04</v>
      </c>
      <c r="C173" s="6">
        <v>0</v>
      </c>
      <c r="D173" s="6">
        <v>26.85</v>
      </c>
      <c r="E173" s="6">
        <v>567</v>
      </c>
    </row>
    <row r="174" spans="1:5" x14ac:dyDescent="0.25">
      <c r="A174" s="6" t="s">
        <v>406</v>
      </c>
      <c r="B174" s="6">
        <v>0.03</v>
      </c>
      <c r="C174" s="6">
        <v>0</v>
      </c>
      <c r="D174" s="6">
        <v>16.47</v>
      </c>
      <c r="E174" s="6">
        <v>409</v>
      </c>
    </row>
    <row r="175" spans="1:5" x14ac:dyDescent="0.25">
      <c r="A175" s="6" t="s">
        <v>212</v>
      </c>
      <c r="B175" s="6">
        <v>0.02</v>
      </c>
      <c r="C175" s="6">
        <v>0</v>
      </c>
      <c r="D175" s="6">
        <v>3.1</v>
      </c>
      <c r="E175" s="6">
        <v>64</v>
      </c>
    </row>
    <row r="176" spans="1:5" x14ac:dyDescent="0.25">
      <c r="A176" s="6" t="s">
        <v>775</v>
      </c>
      <c r="B176" s="6">
        <v>0.03</v>
      </c>
      <c r="C176" s="6">
        <v>0</v>
      </c>
      <c r="D176" s="6">
        <v>16.64</v>
      </c>
      <c r="E176" s="6">
        <v>471</v>
      </c>
    </row>
    <row r="177" spans="1:5" x14ac:dyDescent="0.25">
      <c r="A177" s="6" t="s">
        <v>776</v>
      </c>
      <c r="B177" s="6">
        <v>0.03</v>
      </c>
      <c r="C177" s="6">
        <v>0</v>
      </c>
      <c r="D177" s="6">
        <v>9.4700000000000006</v>
      </c>
      <c r="E177" s="6">
        <v>273</v>
      </c>
    </row>
    <row r="178" spans="1:5" x14ac:dyDescent="0.25">
      <c r="A178" s="6" t="s">
        <v>6</v>
      </c>
      <c r="B178" s="6">
        <v>0.03</v>
      </c>
      <c r="C178" s="6">
        <v>0</v>
      </c>
      <c r="D178" s="6">
        <v>8.68</v>
      </c>
      <c r="E178" s="6">
        <v>175</v>
      </c>
    </row>
    <row r="179" spans="1:5" x14ac:dyDescent="0.25">
      <c r="A179" s="6" t="s">
        <v>307</v>
      </c>
      <c r="B179" s="6">
        <v>0.02</v>
      </c>
      <c r="C179" s="6">
        <v>0</v>
      </c>
      <c r="D179" s="6">
        <v>3.54</v>
      </c>
      <c r="E179" s="6">
        <v>102</v>
      </c>
    </row>
    <row r="180" spans="1:5" x14ac:dyDescent="0.25">
      <c r="A180" s="6" t="s">
        <v>385</v>
      </c>
      <c r="B180" s="6">
        <v>0.04</v>
      </c>
      <c r="C180" s="6">
        <v>0</v>
      </c>
      <c r="D180" s="6">
        <v>23.61</v>
      </c>
      <c r="E180" s="6">
        <v>524</v>
      </c>
    </row>
    <row r="181" spans="1:5" x14ac:dyDescent="0.25">
      <c r="A181" s="6" t="s">
        <v>101</v>
      </c>
      <c r="B181" s="6">
        <v>0.03</v>
      </c>
      <c r="C181" s="6">
        <v>0</v>
      </c>
      <c r="D181" s="6">
        <v>15.59</v>
      </c>
      <c r="E181" s="6">
        <v>437</v>
      </c>
    </row>
    <row r="182" spans="1:5" x14ac:dyDescent="0.25">
      <c r="A182" s="6" t="s">
        <v>719</v>
      </c>
      <c r="B182" s="6">
        <v>0.03</v>
      </c>
      <c r="C182" s="6">
        <v>0</v>
      </c>
      <c r="D182" s="6">
        <v>3.98</v>
      </c>
      <c r="E182" s="6">
        <v>148</v>
      </c>
    </row>
    <row r="183" spans="1:5" x14ac:dyDescent="0.25">
      <c r="A183" s="6" t="s">
        <v>484</v>
      </c>
      <c r="B183" s="6">
        <v>0.03</v>
      </c>
      <c r="C183" s="6">
        <v>0</v>
      </c>
      <c r="D183" s="6">
        <v>11</v>
      </c>
      <c r="E183" s="6">
        <v>230</v>
      </c>
    </row>
    <row r="184" spans="1:5" x14ac:dyDescent="0.25">
      <c r="A184" s="6" t="s">
        <v>576</v>
      </c>
      <c r="B184" s="6">
        <v>0.03</v>
      </c>
      <c r="C184" s="6">
        <v>0</v>
      </c>
      <c r="D184" s="6">
        <v>8.2200000000000006</v>
      </c>
      <c r="E184" s="6">
        <v>203</v>
      </c>
    </row>
    <row r="185" spans="1:5" x14ac:dyDescent="0.25">
      <c r="A185" s="6" t="s">
        <v>611</v>
      </c>
      <c r="B185" s="6">
        <v>0.02</v>
      </c>
      <c r="C185" s="6">
        <v>0</v>
      </c>
      <c r="D185" s="6">
        <v>7.6</v>
      </c>
      <c r="E185" s="6">
        <v>267</v>
      </c>
    </row>
    <row r="186" spans="1:5" x14ac:dyDescent="0.25">
      <c r="A186" s="6" t="s">
        <v>186</v>
      </c>
      <c r="B186" s="6">
        <v>0.03</v>
      </c>
      <c r="C186" s="6">
        <v>0</v>
      </c>
      <c r="D186" s="6">
        <v>8.18</v>
      </c>
      <c r="E186" s="6">
        <v>302</v>
      </c>
    </row>
    <row r="187" spans="1:5" x14ac:dyDescent="0.25">
      <c r="A187" s="6" t="s">
        <v>86</v>
      </c>
      <c r="B187" s="6">
        <v>0.05</v>
      </c>
      <c r="C187" s="6">
        <v>0</v>
      </c>
      <c r="D187" s="6">
        <v>12.42</v>
      </c>
      <c r="E187" s="6">
        <v>324</v>
      </c>
    </row>
    <row r="188" spans="1:5" x14ac:dyDescent="0.25">
      <c r="A188" s="6" t="s">
        <v>558</v>
      </c>
      <c r="B188" s="6">
        <v>0.04</v>
      </c>
      <c r="C188" s="6">
        <v>0</v>
      </c>
      <c r="D188" s="6">
        <v>8.9499999999999993</v>
      </c>
      <c r="E188" s="6">
        <v>193</v>
      </c>
    </row>
    <row r="189" spans="1:5" x14ac:dyDescent="0.25">
      <c r="A189" s="6" t="s">
        <v>447</v>
      </c>
      <c r="B189" s="6">
        <v>0.03</v>
      </c>
      <c r="C189" s="6">
        <v>0</v>
      </c>
      <c r="D189" s="6">
        <v>7.32</v>
      </c>
      <c r="E189" s="6">
        <v>218</v>
      </c>
    </row>
    <row r="190" spans="1:5" x14ac:dyDescent="0.25">
      <c r="A190" s="6" t="s">
        <v>465</v>
      </c>
      <c r="B190" s="6">
        <v>0.03</v>
      </c>
      <c r="C190" s="6">
        <v>0</v>
      </c>
      <c r="D190" s="6">
        <v>8.85</v>
      </c>
      <c r="E190" s="6">
        <v>225</v>
      </c>
    </row>
    <row r="191" spans="1:5" x14ac:dyDescent="0.25">
      <c r="A191" s="6" t="s">
        <v>457</v>
      </c>
      <c r="B191" s="6">
        <v>0.03</v>
      </c>
      <c r="C191" s="6">
        <v>0</v>
      </c>
      <c r="D191" s="6">
        <v>5.51</v>
      </c>
      <c r="E191" s="6">
        <v>164</v>
      </c>
    </row>
    <row r="192" spans="1:5" x14ac:dyDescent="0.25">
      <c r="A192" s="6" t="s">
        <v>904</v>
      </c>
      <c r="B192" s="6">
        <v>0.04</v>
      </c>
      <c r="C192" s="6">
        <v>0</v>
      </c>
      <c r="D192" s="6">
        <v>20.47</v>
      </c>
      <c r="E192" s="6">
        <v>612</v>
      </c>
    </row>
    <row r="193" spans="1:5" x14ac:dyDescent="0.25">
      <c r="A193" s="6" t="s">
        <v>8</v>
      </c>
      <c r="B193" s="6">
        <v>0.03</v>
      </c>
      <c r="C193" s="6">
        <v>0</v>
      </c>
      <c r="D193" s="6">
        <v>16.739999999999998</v>
      </c>
      <c r="E193" s="6">
        <v>455</v>
      </c>
    </row>
    <row r="194" spans="1:5" x14ac:dyDescent="0.25">
      <c r="A194" s="6" t="s">
        <v>44</v>
      </c>
      <c r="B194" s="6">
        <v>0.03</v>
      </c>
      <c r="C194" s="6">
        <v>0</v>
      </c>
      <c r="D194" s="6">
        <v>11.66</v>
      </c>
      <c r="E194" s="6">
        <v>333</v>
      </c>
    </row>
    <row r="195" spans="1:5" x14ac:dyDescent="0.25">
      <c r="A195" s="6" t="s">
        <v>206</v>
      </c>
      <c r="B195" s="6">
        <v>0.03</v>
      </c>
      <c r="C195" s="6">
        <v>0</v>
      </c>
      <c r="D195" s="6">
        <v>15.5</v>
      </c>
      <c r="E195" s="6">
        <v>420</v>
      </c>
    </row>
    <row r="196" spans="1:5" x14ac:dyDescent="0.25">
      <c r="A196" s="6" t="s">
        <v>71</v>
      </c>
      <c r="B196" s="6">
        <v>0.02</v>
      </c>
      <c r="C196" s="6">
        <v>0</v>
      </c>
      <c r="D196" s="6">
        <v>7.25</v>
      </c>
      <c r="E196" s="6">
        <v>244</v>
      </c>
    </row>
    <row r="197" spans="1:5" x14ac:dyDescent="0.25">
      <c r="A197" s="6" t="s">
        <v>722</v>
      </c>
      <c r="B197" s="6">
        <v>0.02</v>
      </c>
      <c r="C197" s="6">
        <v>0</v>
      </c>
      <c r="D197" s="6">
        <v>7.78</v>
      </c>
      <c r="E197" s="6">
        <v>272</v>
      </c>
    </row>
    <row r="198" spans="1:5" x14ac:dyDescent="0.25">
      <c r="A198" s="6" t="s">
        <v>203</v>
      </c>
      <c r="B198" s="6">
        <v>0.03</v>
      </c>
      <c r="C198" s="6">
        <v>0</v>
      </c>
      <c r="D198" s="6">
        <v>13.38</v>
      </c>
      <c r="E198" s="6">
        <v>357</v>
      </c>
    </row>
    <row r="199" spans="1:5" x14ac:dyDescent="0.25">
      <c r="A199" s="6" t="s">
        <v>777</v>
      </c>
      <c r="B199" s="6">
        <v>0.04</v>
      </c>
      <c r="C199" s="6">
        <v>0</v>
      </c>
      <c r="D199" s="6">
        <v>12.69</v>
      </c>
      <c r="E199" s="6">
        <v>243</v>
      </c>
    </row>
    <row r="200" spans="1:5" x14ac:dyDescent="0.25">
      <c r="A200" s="6" t="s">
        <v>451</v>
      </c>
      <c r="B200" s="6">
        <v>0.04</v>
      </c>
      <c r="C200" s="6">
        <v>0</v>
      </c>
      <c r="D200" s="6">
        <v>25.22</v>
      </c>
      <c r="E200" s="6">
        <v>417</v>
      </c>
    </row>
    <row r="201" spans="1:5" x14ac:dyDescent="0.25">
      <c r="A201" s="6" t="s">
        <v>210</v>
      </c>
      <c r="B201" s="6">
        <v>1.1499999999999999</v>
      </c>
      <c r="C201" s="6">
        <v>17</v>
      </c>
      <c r="D201" s="6">
        <v>5.88</v>
      </c>
      <c r="E201" s="6">
        <v>182</v>
      </c>
    </row>
    <row r="202" spans="1:5" x14ac:dyDescent="0.25">
      <c r="A202" s="6" t="s">
        <v>778</v>
      </c>
      <c r="B202" s="6">
        <v>0.46</v>
      </c>
      <c r="C202" s="6">
        <v>24</v>
      </c>
      <c r="D202" s="6">
        <v>14.98</v>
      </c>
      <c r="E202" s="6">
        <v>419</v>
      </c>
    </row>
    <row r="203" spans="1:5" x14ac:dyDescent="0.25">
      <c r="A203" s="6" t="s">
        <v>91</v>
      </c>
      <c r="B203" s="6">
        <v>0.03</v>
      </c>
      <c r="C203" s="6">
        <v>0</v>
      </c>
      <c r="D203" s="6">
        <v>10.34</v>
      </c>
      <c r="E203" s="6">
        <v>355</v>
      </c>
    </row>
    <row r="204" spans="1:5" x14ac:dyDescent="0.25">
      <c r="A204" s="6" t="s">
        <v>152</v>
      </c>
      <c r="B204" s="6">
        <v>0.03</v>
      </c>
      <c r="C204" s="6">
        <v>0</v>
      </c>
      <c r="D204" s="6">
        <v>7.35</v>
      </c>
      <c r="E204" s="6">
        <v>248</v>
      </c>
    </row>
    <row r="205" spans="1:5" x14ac:dyDescent="0.25">
      <c r="A205" s="6" t="s">
        <v>672</v>
      </c>
      <c r="B205" s="6">
        <v>0.43</v>
      </c>
      <c r="C205" s="6">
        <v>23</v>
      </c>
      <c r="D205" s="6">
        <v>4.7</v>
      </c>
      <c r="E205" s="6">
        <v>167</v>
      </c>
    </row>
    <row r="206" spans="1:5" x14ac:dyDescent="0.25">
      <c r="A206" s="6" t="s">
        <v>70</v>
      </c>
      <c r="B206" s="6">
        <v>0.05</v>
      </c>
      <c r="C206" s="6">
        <v>0</v>
      </c>
      <c r="D206" s="6">
        <v>16.95</v>
      </c>
      <c r="E206" s="6">
        <v>227</v>
      </c>
    </row>
    <row r="207" spans="1:5" x14ac:dyDescent="0.25">
      <c r="A207" s="6" t="s">
        <v>907</v>
      </c>
      <c r="B207" s="6">
        <v>0.42</v>
      </c>
      <c r="C207" s="6">
        <v>23</v>
      </c>
      <c r="D207" s="6">
        <v>7.73</v>
      </c>
      <c r="E207" s="6">
        <v>251</v>
      </c>
    </row>
    <row r="208" spans="1:5" x14ac:dyDescent="0.25">
      <c r="A208" s="6" t="s">
        <v>779</v>
      </c>
      <c r="B208" s="6">
        <v>0.71</v>
      </c>
      <c r="C208" s="6">
        <v>38</v>
      </c>
      <c r="D208" s="6">
        <v>15.87</v>
      </c>
      <c r="E208" s="6">
        <v>588</v>
      </c>
    </row>
    <row r="209" spans="1:5" x14ac:dyDescent="0.25">
      <c r="A209" s="6" t="s">
        <v>656</v>
      </c>
      <c r="B209" s="6">
        <v>0.41</v>
      </c>
      <c r="C209" s="6">
        <v>0</v>
      </c>
      <c r="D209" s="6">
        <v>26.34</v>
      </c>
      <c r="E209" s="6">
        <v>414</v>
      </c>
    </row>
    <row r="210" spans="1:5" x14ac:dyDescent="0.25">
      <c r="A210" s="6" t="s">
        <v>780</v>
      </c>
      <c r="B210" s="6">
        <v>0.04</v>
      </c>
      <c r="C210" s="6">
        <v>0</v>
      </c>
      <c r="D210" s="6">
        <v>30.16</v>
      </c>
      <c r="E210" s="6">
        <v>590</v>
      </c>
    </row>
    <row r="211" spans="1:5" x14ac:dyDescent="0.25">
      <c r="A211" s="6" t="s">
        <v>388</v>
      </c>
      <c r="B211" s="6">
        <v>0.04</v>
      </c>
      <c r="C211" s="6">
        <v>0</v>
      </c>
      <c r="D211" s="6">
        <v>6.02</v>
      </c>
      <c r="E211" s="6">
        <v>196</v>
      </c>
    </row>
    <row r="212" spans="1:5" x14ac:dyDescent="0.25">
      <c r="A212" s="6" t="s">
        <v>110</v>
      </c>
      <c r="B212" s="6">
        <v>0.03</v>
      </c>
      <c r="C212" s="6">
        <v>0</v>
      </c>
      <c r="D212" s="6">
        <v>12.58</v>
      </c>
      <c r="E212" s="6">
        <v>365</v>
      </c>
    </row>
    <row r="213" spans="1:5" x14ac:dyDescent="0.25">
      <c r="A213" s="6" t="s">
        <v>292</v>
      </c>
      <c r="B213" s="6">
        <v>0.05</v>
      </c>
      <c r="C213" s="6">
        <v>0</v>
      </c>
      <c r="D213" s="6">
        <v>47.56</v>
      </c>
      <c r="E213" s="6">
        <v>1080</v>
      </c>
    </row>
    <row r="214" spans="1:5" x14ac:dyDescent="0.25">
      <c r="A214" s="6" t="s">
        <v>781</v>
      </c>
      <c r="B214" s="6">
        <v>0.49</v>
      </c>
      <c r="C214" s="6">
        <v>25</v>
      </c>
      <c r="D214" s="6">
        <v>10.33</v>
      </c>
      <c r="E214" s="6">
        <v>320</v>
      </c>
    </row>
    <row r="215" spans="1:5" x14ac:dyDescent="0.25">
      <c r="A215" s="6" t="s">
        <v>663</v>
      </c>
      <c r="B215" s="6">
        <v>0.04</v>
      </c>
      <c r="C215" s="6">
        <v>0</v>
      </c>
      <c r="D215" s="6">
        <v>13.32</v>
      </c>
      <c r="E215" s="6">
        <v>275</v>
      </c>
    </row>
    <row r="216" spans="1:5" x14ac:dyDescent="0.25">
      <c r="A216" s="6" t="s">
        <v>734</v>
      </c>
      <c r="B216" s="6">
        <v>0.02</v>
      </c>
      <c r="C216" s="6">
        <v>0</v>
      </c>
      <c r="D216" s="6">
        <v>11.01</v>
      </c>
      <c r="E216" s="6">
        <v>344</v>
      </c>
    </row>
    <row r="217" spans="1:5" x14ac:dyDescent="0.25">
      <c r="A217" s="6" t="s">
        <v>613</v>
      </c>
      <c r="B217" s="6">
        <v>0.46</v>
      </c>
      <c r="C217" s="6">
        <v>22</v>
      </c>
      <c r="D217" s="6">
        <v>8.23</v>
      </c>
      <c r="E217" s="6">
        <v>273</v>
      </c>
    </row>
    <row r="218" spans="1:5" x14ac:dyDescent="0.25">
      <c r="A218" s="6" t="s">
        <v>569</v>
      </c>
      <c r="B218" s="6">
        <v>0.02</v>
      </c>
      <c r="C218" s="6">
        <v>0</v>
      </c>
      <c r="D218" s="6">
        <v>6.07</v>
      </c>
      <c r="E218" s="6">
        <v>225</v>
      </c>
    </row>
    <row r="219" spans="1:5" x14ac:dyDescent="0.25">
      <c r="A219" s="6" t="s">
        <v>671</v>
      </c>
      <c r="B219" s="6">
        <v>0.03</v>
      </c>
      <c r="C219" s="6">
        <v>0</v>
      </c>
      <c r="D219" s="6">
        <v>14.53</v>
      </c>
      <c r="E219" s="6">
        <v>411</v>
      </c>
    </row>
    <row r="220" spans="1:5" x14ac:dyDescent="0.25">
      <c r="A220" s="6" t="s">
        <v>255</v>
      </c>
      <c r="B220" s="6">
        <v>0.04</v>
      </c>
      <c r="C220" s="6">
        <v>0</v>
      </c>
      <c r="D220" s="6">
        <v>14.19</v>
      </c>
      <c r="E220" s="6">
        <v>274</v>
      </c>
    </row>
    <row r="221" spans="1:5" x14ac:dyDescent="0.25">
      <c r="A221" s="6" t="s">
        <v>432</v>
      </c>
      <c r="B221" s="6">
        <v>0.03</v>
      </c>
      <c r="C221" s="6">
        <v>0</v>
      </c>
      <c r="D221" s="6">
        <v>6.26</v>
      </c>
      <c r="E221" s="6">
        <v>179</v>
      </c>
    </row>
    <row r="222" spans="1:5" x14ac:dyDescent="0.25">
      <c r="A222" s="6" t="s">
        <v>782</v>
      </c>
      <c r="B222" s="6">
        <v>0.03</v>
      </c>
      <c r="C222" s="6">
        <v>0</v>
      </c>
      <c r="D222" s="6">
        <v>12.3</v>
      </c>
      <c r="E222" s="6">
        <v>328</v>
      </c>
    </row>
    <row r="223" spans="1:5" x14ac:dyDescent="0.25">
      <c r="A223" s="6" t="s">
        <v>223</v>
      </c>
      <c r="B223" s="6">
        <v>0.04</v>
      </c>
      <c r="C223" s="6">
        <v>0</v>
      </c>
      <c r="D223" s="6">
        <v>7.25</v>
      </c>
      <c r="E223" s="6">
        <v>102</v>
      </c>
    </row>
    <row r="224" spans="1:5" x14ac:dyDescent="0.25">
      <c r="A224" s="6" t="s">
        <v>294</v>
      </c>
      <c r="B224" s="6">
        <v>0.04</v>
      </c>
      <c r="C224" s="6">
        <v>0</v>
      </c>
      <c r="D224" s="6">
        <v>14.55</v>
      </c>
      <c r="E224" s="6">
        <v>272</v>
      </c>
    </row>
    <row r="225" spans="1:5" x14ac:dyDescent="0.25">
      <c r="A225" s="6" t="s">
        <v>783</v>
      </c>
      <c r="B225" s="6">
        <v>0.03</v>
      </c>
      <c r="C225" s="6">
        <v>0</v>
      </c>
      <c r="D225" s="6">
        <v>10.56</v>
      </c>
      <c r="E225" s="6">
        <v>308</v>
      </c>
    </row>
    <row r="226" spans="1:5" x14ac:dyDescent="0.25">
      <c r="A226" s="6" t="s">
        <v>726</v>
      </c>
      <c r="B226" s="6">
        <v>0.04</v>
      </c>
      <c r="C226" s="6">
        <v>0</v>
      </c>
      <c r="D226" s="6">
        <v>12.21</v>
      </c>
      <c r="E226" s="6">
        <v>274</v>
      </c>
    </row>
    <row r="227" spans="1:5" x14ac:dyDescent="0.25">
      <c r="A227" s="6" t="s">
        <v>303</v>
      </c>
      <c r="B227" s="6">
        <v>0.68</v>
      </c>
      <c r="C227" s="6">
        <v>23</v>
      </c>
      <c r="D227" s="6">
        <v>18.13</v>
      </c>
      <c r="E227" s="6">
        <v>347</v>
      </c>
    </row>
    <row r="228" spans="1:5" x14ac:dyDescent="0.25">
      <c r="A228" s="6" t="s">
        <v>657</v>
      </c>
      <c r="B228" s="6">
        <v>0.03</v>
      </c>
      <c r="C228" s="6">
        <v>0</v>
      </c>
      <c r="D228" s="6">
        <v>9.5500000000000007</v>
      </c>
      <c r="E228" s="6">
        <v>257</v>
      </c>
    </row>
    <row r="229" spans="1:5" x14ac:dyDescent="0.25">
      <c r="A229" s="6" t="s">
        <v>365</v>
      </c>
      <c r="B229" s="6">
        <v>0.33</v>
      </c>
      <c r="C229" s="6">
        <v>15</v>
      </c>
      <c r="D229" s="6">
        <v>10.95</v>
      </c>
      <c r="E229" s="6">
        <v>295</v>
      </c>
    </row>
    <row r="230" spans="1:5" x14ac:dyDescent="0.25">
      <c r="A230" s="6" t="s">
        <v>298</v>
      </c>
      <c r="B230" s="6">
        <v>0.03</v>
      </c>
      <c r="C230" s="6">
        <v>0</v>
      </c>
      <c r="D230" s="6">
        <v>12.8</v>
      </c>
      <c r="E230" s="6">
        <v>293</v>
      </c>
    </row>
    <row r="231" spans="1:5" x14ac:dyDescent="0.25">
      <c r="A231" s="6" t="s">
        <v>154</v>
      </c>
      <c r="B231" s="6">
        <v>0.03</v>
      </c>
      <c r="C231" s="6">
        <v>0</v>
      </c>
      <c r="D231" s="6">
        <v>12.55</v>
      </c>
      <c r="E231" s="6">
        <v>406</v>
      </c>
    </row>
    <row r="232" spans="1:5" x14ac:dyDescent="0.25">
      <c r="A232" s="6" t="s">
        <v>910</v>
      </c>
      <c r="B232" s="6">
        <v>0.06</v>
      </c>
      <c r="C232" s="6">
        <v>0</v>
      </c>
      <c r="D232" s="6">
        <v>5.71</v>
      </c>
      <c r="E232" s="6">
        <v>223</v>
      </c>
    </row>
    <row r="233" spans="1:5" x14ac:dyDescent="0.25">
      <c r="A233" s="6" t="s">
        <v>542</v>
      </c>
      <c r="B233" s="6">
        <v>0.03</v>
      </c>
      <c r="C233" s="6">
        <v>0</v>
      </c>
      <c r="D233" s="6">
        <v>9.52</v>
      </c>
      <c r="E233" s="6">
        <v>389</v>
      </c>
    </row>
    <row r="234" spans="1:5" x14ac:dyDescent="0.25">
      <c r="A234" s="6" t="s">
        <v>784</v>
      </c>
      <c r="B234" s="6">
        <v>0.03</v>
      </c>
      <c r="C234" s="6">
        <v>0</v>
      </c>
      <c r="D234" s="6">
        <v>14.37</v>
      </c>
      <c r="E234" s="6">
        <v>386</v>
      </c>
    </row>
    <row r="235" spans="1:5" x14ac:dyDescent="0.25">
      <c r="A235" s="6" t="s">
        <v>10</v>
      </c>
      <c r="B235" s="6">
        <v>0.03</v>
      </c>
      <c r="C235" s="6">
        <v>0</v>
      </c>
      <c r="D235" s="6">
        <v>6.76</v>
      </c>
      <c r="E235" s="6">
        <v>213</v>
      </c>
    </row>
    <row r="236" spans="1:5" x14ac:dyDescent="0.25">
      <c r="A236" s="6" t="s">
        <v>594</v>
      </c>
      <c r="B236" s="6">
        <v>0.05</v>
      </c>
      <c r="C236" s="6">
        <v>0</v>
      </c>
      <c r="D236" s="6">
        <v>16.079999999999998</v>
      </c>
      <c r="E236" s="6">
        <v>383</v>
      </c>
    </row>
    <row r="237" spans="1:5" x14ac:dyDescent="0.25">
      <c r="A237" s="6" t="s">
        <v>627</v>
      </c>
      <c r="B237" s="6">
        <v>0.02</v>
      </c>
      <c r="C237" s="6">
        <v>0</v>
      </c>
      <c r="D237" s="6">
        <v>8.64</v>
      </c>
      <c r="E237" s="6">
        <v>315</v>
      </c>
    </row>
    <row r="238" spans="1:5" x14ac:dyDescent="0.25">
      <c r="A238" s="6" t="s">
        <v>353</v>
      </c>
      <c r="B238" s="6">
        <v>0.02</v>
      </c>
      <c r="C238" s="6">
        <v>0</v>
      </c>
      <c r="D238" s="6">
        <v>4.2</v>
      </c>
      <c r="E238" s="6">
        <v>158</v>
      </c>
    </row>
    <row r="239" spans="1:5" x14ac:dyDescent="0.25">
      <c r="A239" s="6" t="s">
        <v>785</v>
      </c>
      <c r="B239" s="6">
        <v>0.05</v>
      </c>
      <c r="C239" s="6">
        <v>0</v>
      </c>
      <c r="D239" s="6">
        <v>32.33</v>
      </c>
      <c r="E239" s="6">
        <v>594</v>
      </c>
    </row>
    <row r="240" spans="1:5" x14ac:dyDescent="0.25">
      <c r="A240" s="6" t="s">
        <v>434</v>
      </c>
      <c r="B240" s="6">
        <v>0.02</v>
      </c>
      <c r="C240" s="6">
        <v>0</v>
      </c>
      <c r="D240" s="6">
        <v>5.27</v>
      </c>
      <c r="E240" s="6">
        <v>197</v>
      </c>
    </row>
    <row r="241" spans="1:5" x14ac:dyDescent="0.25">
      <c r="A241" s="6" t="s">
        <v>139</v>
      </c>
      <c r="B241" s="6">
        <v>0.03</v>
      </c>
      <c r="C241" s="6">
        <v>0</v>
      </c>
      <c r="D241" s="6">
        <v>11.88</v>
      </c>
      <c r="E241" s="6">
        <v>355</v>
      </c>
    </row>
    <row r="242" spans="1:5" x14ac:dyDescent="0.25">
      <c r="A242" s="6" t="s">
        <v>913</v>
      </c>
      <c r="B242" s="6">
        <v>0.03</v>
      </c>
      <c r="C242" s="6">
        <v>0</v>
      </c>
      <c r="D242" s="6">
        <v>24.32</v>
      </c>
      <c r="E242" s="6">
        <v>538</v>
      </c>
    </row>
    <row r="243" spans="1:5" x14ac:dyDescent="0.25">
      <c r="A243" s="6" t="s">
        <v>631</v>
      </c>
      <c r="B243" s="6">
        <v>0.06</v>
      </c>
      <c r="C243" s="6">
        <v>0</v>
      </c>
      <c r="D243" s="6">
        <v>11.78</v>
      </c>
      <c r="E243" s="6">
        <v>273</v>
      </c>
    </row>
    <row r="244" spans="1:5" x14ac:dyDescent="0.25">
      <c r="A244" s="6" t="s">
        <v>321</v>
      </c>
      <c r="B244" s="6">
        <v>0.04</v>
      </c>
      <c r="C244" s="6">
        <v>0</v>
      </c>
      <c r="D244" s="6">
        <v>24.5</v>
      </c>
      <c r="E244" s="6">
        <v>390</v>
      </c>
    </row>
    <row r="245" spans="1:5" x14ac:dyDescent="0.25">
      <c r="A245" s="6" t="s">
        <v>296</v>
      </c>
      <c r="B245" s="6">
        <v>0.04</v>
      </c>
      <c r="C245" s="6">
        <v>0</v>
      </c>
      <c r="D245" s="6">
        <v>26.06</v>
      </c>
      <c r="E245" s="6">
        <v>659</v>
      </c>
    </row>
    <row r="246" spans="1:5" x14ac:dyDescent="0.25">
      <c r="A246" s="6" t="s">
        <v>786</v>
      </c>
      <c r="B246" s="6">
        <v>0.03</v>
      </c>
      <c r="C246" s="6">
        <v>0</v>
      </c>
      <c r="D246" s="6">
        <v>9.1300000000000008</v>
      </c>
      <c r="E246" s="6">
        <v>318</v>
      </c>
    </row>
    <row r="247" spans="1:5" x14ac:dyDescent="0.25">
      <c r="A247" s="6" t="s">
        <v>649</v>
      </c>
      <c r="B247" s="6">
        <v>0.02</v>
      </c>
      <c r="C247" s="6">
        <v>0</v>
      </c>
      <c r="D247" s="6">
        <v>4.3</v>
      </c>
      <c r="E247" s="6">
        <v>93</v>
      </c>
    </row>
    <row r="248" spans="1:5" x14ac:dyDescent="0.25">
      <c r="A248" s="6" t="s">
        <v>693</v>
      </c>
      <c r="B248" s="6">
        <v>0.44</v>
      </c>
      <c r="C248" s="6">
        <v>20</v>
      </c>
      <c r="D248" s="6">
        <v>10.95</v>
      </c>
      <c r="E248" s="6">
        <v>318</v>
      </c>
    </row>
    <row r="249" spans="1:5" x14ac:dyDescent="0.25">
      <c r="A249" s="6" t="s">
        <v>494</v>
      </c>
      <c r="B249" s="6">
        <v>0.03</v>
      </c>
      <c r="C249" s="6">
        <v>0</v>
      </c>
      <c r="D249" s="6">
        <v>4.83</v>
      </c>
      <c r="E249" s="6">
        <v>164</v>
      </c>
    </row>
    <row r="250" spans="1:5" x14ac:dyDescent="0.25">
      <c r="A250" s="6" t="s">
        <v>7</v>
      </c>
      <c r="B250" s="6">
        <v>0.03</v>
      </c>
      <c r="C250" s="6">
        <v>0</v>
      </c>
      <c r="D250" s="6">
        <v>8.2899999999999991</v>
      </c>
      <c r="E250" s="6">
        <v>241</v>
      </c>
    </row>
    <row r="251" spans="1:5" x14ac:dyDescent="0.25">
      <c r="A251" s="6" t="s">
        <v>493</v>
      </c>
      <c r="B251" s="6">
        <v>7.0000000000000007E-2</v>
      </c>
      <c r="C251" s="6">
        <v>0</v>
      </c>
      <c r="D251" s="6">
        <v>23.62</v>
      </c>
      <c r="E251" s="6">
        <v>440</v>
      </c>
    </row>
    <row r="252" spans="1:5" x14ac:dyDescent="0.25">
      <c r="A252" s="6" t="s">
        <v>460</v>
      </c>
      <c r="B252" s="6">
        <v>0.02</v>
      </c>
      <c r="C252" s="6">
        <v>0</v>
      </c>
      <c r="D252" s="6">
        <v>6.55</v>
      </c>
      <c r="E252" s="6">
        <v>206</v>
      </c>
    </row>
    <row r="253" spans="1:5" x14ac:dyDescent="0.25">
      <c r="A253" s="6" t="s">
        <v>318</v>
      </c>
      <c r="B253" s="6">
        <v>0.03</v>
      </c>
      <c r="C253" s="6">
        <v>0</v>
      </c>
      <c r="D253" s="6">
        <v>9.52</v>
      </c>
      <c r="E253" s="6">
        <v>298</v>
      </c>
    </row>
    <row r="254" spans="1:5" x14ac:dyDescent="0.25">
      <c r="A254" s="6" t="s">
        <v>150</v>
      </c>
      <c r="B254" s="6">
        <v>0.03</v>
      </c>
      <c r="C254" s="6">
        <v>0</v>
      </c>
      <c r="D254" s="6">
        <v>10.31</v>
      </c>
      <c r="E254" s="6">
        <v>349</v>
      </c>
    </row>
    <row r="255" spans="1:5" x14ac:dyDescent="0.25">
      <c r="A255" s="6" t="s">
        <v>147</v>
      </c>
      <c r="B255" s="6">
        <v>0.04</v>
      </c>
      <c r="C255" s="6">
        <v>0</v>
      </c>
      <c r="D255" s="6">
        <v>15.33</v>
      </c>
      <c r="E255" s="6">
        <v>360</v>
      </c>
    </row>
    <row r="256" spans="1:5" x14ac:dyDescent="0.25">
      <c r="A256" s="6" t="s">
        <v>483</v>
      </c>
      <c r="B256" s="6">
        <v>0.59</v>
      </c>
      <c r="C256" s="6">
        <v>23</v>
      </c>
      <c r="D256" s="6">
        <v>12.77</v>
      </c>
      <c r="E256" s="6">
        <v>282</v>
      </c>
    </row>
    <row r="257" spans="1:5" x14ac:dyDescent="0.25">
      <c r="A257" s="6" t="s">
        <v>308</v>
      </c>
      <c r="B257" s="6">
        <v>0.03</v>
      </c>
      <c r="C257" s="6">
        <v>0</v>
      </c>
      <c r="D257" s="6">
        <v>7.13</v>
      </c>
      <c r="E257" s="6">
        <v>172</v>
      </c>
    </row>
    <row r="258" spans="1:5" x14ac:dyDescent="0.25">
      <c r="A258" s="6" t="s">
        <v>788</v>
      </c>
      <c r="B258" s="6">
        <v>0.03</v>
      </c>
      <c r="C258" s="6">
        <v>0</v>
      </c>
      <c r="D258" s="6">
        <v>21.83</v>
      </c>
      <c r="E258" s="6">
        <v>495</v>
      </c>
    </row>
    <row r="259" spans="1:5" x14ac:dyDescent="0.25">
      <c r="A259" s="6" t="s">
        <v>664</v>
      </c>
      <c r="B259" s="6">
        <v>0.02</v>
      </c>
      <c r="C259" s="6">
        <v>0</v>
      </c>
      <c r="D259" s="6">
        <v>4.72</v>
      </c>
      <c r="E259" s="6">
        <v>152</v>
      </c>
    </row>
    <row r="260" spans="1:5" x14ac:dyDescent="0.25">
      <c r="A260" s="6" t="s">
        <v>214</v>
      </c>
      <c r="B260" s="6">
        <v>0.03</v>
      </c>
      <c r="C260" s="6">
        <v>0</v>
      </c>
      <c r="D260" s="6">
        <v>14.28</v>
      </c>
      <c r="E260" s="6">
        <v>443</v>
      </c>
    </row>
    <row r="261" spans="1:5" x14ac:dyDescent="0.25">
      <c r="A261" s="6" t="s">
        <v>404</v>
      </c>
      <c r="B261" s="6">
        <v>0.03</v>
      </c>
      <c r="C261" s="6">
        <v>0</v>
      </c>
      <c r="D261" s="6">
        <v>5.58</v>
      </c>
      <c r="E261" s="6">
        <v>191</v>
      </c>
    </row>
    <row r="262" spans="1:5" x14ac:dyDescent="0.25">
      <c r="A262" s="6" t="s">
        <v>117</v>
      </c>
      <c r="B262" s="6">
        <v>0.02</v>
      </c>
      <c r="C262" s="6">
        <v>0</v>
      </c>
      <c r="D262" s="6">
        <v>4.07</v>
      </c>
      <c r="E262" s="6">
        <v>170</v>
      </c>
    </row>
    <row r="263" spans="1:5" x14ac:dyDescent="0.25">
      <c r="A263" s="6" t="s">
        <v>789</v>
      </c>
      <c r="B263" s="6">
        <v>0.02</v>
      </c>
      <c r="C263" s="6">
        <v>0</v>
      </c>
      <c r="D263" s="6">
        <v>3.99</v>
      </c>
      <c r="E263" s="6">
        <v>128</v>
      </c>
    </row>
    <row r="264" spans="1:5" x14ac:dyDescent="0.25">
      <c r="A264" s="6" t="s">
        <v>90</v>
      </c>
      <c r="B264" s="6">
        <v>0.04</v>
      </c>
      <c r="C264" s="6">
        <v>0</v>
      </c>
      <c r="D264" s="6">
        <v>15.28</v>
      </c>
      <c r="E264" s="6">
        <v>310</v>
      </c>
    </row>
    <row r="265" spans="1:5" x14ac:dyDescent="0.25">
      <c r="A265" s="6" t="s">
        <v>286</v>
      </c>
      <c r="B265" s="6">
        <v>0.05</v>
      </c>
      <c r="C265" s="6">
        <v>0</v>
      </c>
      <c r="D265" s="6">
        <v>35.5</v>
      </c>
      <c r="E265" s="6">
        <v>787</v>
      </c>
    </row>
    <row r="266" spans="1:5" x14ac:dyDescent="0.25">
      <c r="A266" s="6" t="s">
        <v>290</v>
      </c>
      <c r="B266" s="6">
        <v>0.03</v>
      </c>
      <c r="C266" s="6">
        <v>0</v>
      </c>
      <c r="D266" s="6">
        <v>7.98</v>
      </c>
      <c r="E266" s="6">
        <v>326</v>
      </c>
    </row>
    <row r="267" spans="1:5" x14ac:dyDescent="0.25">
      <c r="A267" s="6" t="s">
        <v>993</v>
      </c>
      <c r="B267" s="6">
        <v>0.03</v>
      </c>
      <c r="C267" s="6">
        <v>0</v>
      </c>
      <c r="D267" s="6">
        <v>13.29</v>
      </c>
      <c r="E267" s="6">
        <v>369</v>
      </c>
    </row>
    <row r="268" spans="1:5" x14ac:dyDescent="0.25">
      <c r="A268" s="6" t="s">
        <v>790</v>
      </c>
      <c r="B268" s="6">
        <v>0.02</v>
      </c>
      <c r="C268" s="6">
        <v>0</v>
      </c>
      <c r="D268" s="6">
        <v>7.15</v>
      </c>
      <c r="E268" s="6">
        <v>237</v>
      </c>
    </row>
    <row r="269" spans="1:5" x14ac:dyDescent="0.25">
      <c r="A269" s="6" t="s">
        <v>266</v>
      </c>
      <c r="B269" s="6">
        <v>0.02</v>
      </c>
      <c r="C269" s="6">
        <v>0</v>
      </c>
      <c r="D269" s="6">
        <v>12.1</v>
      </c>
      <c r="E269" s="6">
        <v>345</v>
      </c>
    </row>
    <row r="270" spans="1:5" x14ac:dyDescent="0.25">
      <c r="A270" s="6" t="s">
        <v>730</v>
      </c>
      <c r="B270" s="6">
        <v>0.33</v>
      </c>
      <c r="C270" s="6">
        <v>0</v>
      </c>
      <c r="D270" s="6">
        <v>1.75</v>
      </c>
      <c r="E270" s="6">
        <v>72</v>
      </c>
    </row>
    <row r="271" spans="1:5" x14ac:dyDescent="0.25">
      <c r="A271" s="6" t="s">
        <v>9</v>
      </c>
      <c r="B271" s="6">
        <v>0.02</v>
      </c>
      <c r="C271" s="6">
        <v>0</v>
      </c>
      <c r="D271" s="6">
        <v>3.87</v>
      </c>
      <c r="E271" s="6">
        <v>119</v>
      </c>
    </row>
    <row r="272" spans="1:5" x14ac:dyDescent="0.25">
      <c r="A272" s="6" t="s">
        <v>249</v>
      </c>
      <c r="B272" s="6">
        <v>0.04</v>
      </c>
      <c r="C272" s="6">
        <v>0</v>
      </c>
      <c r="D272" s="6">
        <v>8.61</v>
      </c>
      <c r="E272" s="6">
        <v>149</v>
      </c>
    </row>
    <row r="273" spans="1:5" x14ac:dyDescent="0.25">
      <c r="A273" s="6" t="s">
        <v>287</v>
      </c>
      <c r="B273" s="6">
        <v>0.03</v>
      </c>
      <c r="C273" s="6">
        <v>0</v>
      </c>
      <c r="D273" s="6">
        <v>10.84</v>
      </c>
      <c r="E273" s="6">
        <v>249</v>
      </c>
    </row>
    <row r="274" spans="1:5" x14ac:dyDescent="0.25">
      <c r="A274" s="6" t="s">
        <v>477</v>
      </c>
      <c r="B274" s="6">
        <v>0.04</v>
      </c>
      <c r="C274" s="6">
        <v>0</v>
      </c>
      <c r="D274" s="6">
        <v>11.46</v>
      </c>
      <c r="E274" s="6">
        <v>282</v>
      </c>
    </row>
    <row r="275" spans="1:5" x14ac:dyDescent="0.25">
      <c r="A275" s="6" t="s">
        <v>234</v>
      </c>
      <c r="B275" s="6">
        <v>0.03</v>
      </c>
      <c r="C275" s="6">
        <v>0</v>
      </c>
      <c r="D275" s="6">
        <v>5.16</v>
      </c>
      <c r="E275" s="6">
        <v>113</v>
      </c>
    </row>
    <row r="276" spans="1:5" x14ac:dyDescent="0.25">
      <c r="A276" s="6" t="s">
        <v>276</v>
      </c>
      <c r="B276" s="6">
        <v>0.02</v>
      </c>
      <c r="C276" s="6">
        <v>0</v>
      </c>
      <c r="D276" s="6">
        <v>4.7</v>
      </c>
      <c r="E276" s="6">
        <v>166</v>
      </c>
    </row>
    <row r="277" spans="1:5" x14ac:dyDescent="0.25">
      <c r="A277" s="6" t="s">
        <v>792</v>
      </c>
      <c r="B277" s="6">
        <v>0.04</v>
      </c>
      <c r="C277" s="6">
        <v>0</v>
      </c>
      <c r="D277" s="6">
        <v>21.54</v>
      </c>
      <c r="E277" s="6">
        <v>492</v>
      </c>
    </row>
    <row r="278" spans="1:5" x14ac:dyDescent="0.25">
      <c r="A278" s="6" t="s">
        <v>609</v>
      </c>
      <c r="B278" s="6">
        <v>0.03</v>
      </c>
      <c r="C278" s="6">
        <v>0</v>
      </c>
      <c r="D278" s="6">
        <v>8.73</v>
      </c>
      <c r="E278" s="6">
        <v>325</v>
      </c>
    </row>
    <row r="279" spans="1:5" x14ac:dyDescent="0.25">
      <c r="A279" s="6" t="s">
        <v>109</v>
      </c>
      <c r="B279" s="6">
        <v>0.02</v>
      </c>
      <c r="C279" s="6">
        <v>0</v>
      </c>
      <c r="D279" s="6">
        <v>7.97</v>
      </c>
      <c r="E279" s="6">
        <v>295</v>
      </c>
    </row>
    <row r="280" spans="1:5" x14ac:dyDescent="0.25">
      <c r="A280" s="6" t="s">
        <v>692</v>
      </c>
      <c r="B280" s="6">
        <v>0.78</v>
      </c>
      <c r="C280" s="6">
        <v>17</v>
      </c>
      <c r="D280" s="6">
        <v>4.6900000000000004</v>
      </c>
      <c r="E280" s="6">
        <v>208</v>
      </c>
    </row>
    <row r="281" spans="1:5" x14ac:dyDescent="0.25">
      <c r="A281" s="6" t="s">
        <v>160</v>
      </c>
      <c r="B281" s="6">
        <v>1.01</v>
      </c>
      <c r="C281" s="6">
        <v>16</v>
      </c>
      <c r="D281" s="6">
        <v>3.45</v>
      </c>
      <c r="E281" s="6">
        <v>165</v>
      </c>
    </row>
    <row r="282" spans="1:5" x14ac:dyDescent="0.25">
      <c r="A282" s="6" t="s">
        <v>666</v>
      </c>
      <c r="B282" s="6">
        <v>0.02</v>
      </c>
      <c r="C282" s="6">
        <v>0</v>
      </c>
      <c r="D282" s="6">
        <v>1.92</v>
      </c>
      <c r="E282" s="6">
        <v>65</v>
      </c>
    </row>
    <row r="283" spans="1:5" x14ac:dyDescent="0.25">
      <c r="A283" s="6" t="s">
        <v>200</v>
      </c>
      <c r="B283" s="6">
        <v>0.03</v>
      </c>
      <c r="C283" s="6">
        <v>0</v>
      </c>
      <c r="D283" s="6">
        <v>16.940000000000001</v>
      </c>
      <c r="E283" s="6">
        <v>491</v>
      </c>
    </row>
    <row r="284" spans="1:5" x14ac:dyDescent="0.25">
      <c r="A284" s="6" t="s">
        <v>336</v>
      </c>
      <c r="B284" s="6">
        <v>0.03</v>
      </c>
      <c r="C284" s="6">
        <v>0</v>
      </c>
      <c r="D284" s="6">
        <v>12.3</v>
      </c>
      <c r="E284" s="6">
        <v>387</v>
      </c>
    </row>
    <row r="285" spans="1:5" x14ac:dyDescent="0.25">
      <c r="A285" s="6" t="s">
        <v>614</v>
      </c>
      <c r="B285" s="6">
        <v>0.84</v>
      </c>
      <c r="C285" s="6">
        <v>23</v>
      </c>
      <c r="D285" s="6">
        <v>4.92</v>
      </c>
      <c r="E285" s="6">
        <v>190</v>
      </c>
    </row>
    <row r="286" spans="1:5" x14ac:dyDescent="0.25">
      <c r="A286" s="6" t="s">
        <v>994</v>
      </c>
      <c r="B286" s="6">
        <v>0.04</v>
      </c>
      <c r="C286" s="6">
        <v>0</v>
      </c>
      <c r="D286" s="6">
        <v>19.420000000000002</v>
      </c>
      <c r="E286" s="6">
        <v>432</v>
      </c>
    </row>
    <row r="287" spans="1:5" x14ac:dyDescent="0.25">
      <c r="A287" s="6" t="s">
        <v>392</v>
      </c>
      <c r="B287" s="6">
        <v>0.03</v>
      </c>
      <c r="C287" s="6">
        <v>0</v>
      </c>
      <c r="D287" s="6">
        <v>14.48</v>
      </c>
      <c r="E287" s="6">
        <v>314</v>
      </c>
    </row>
    <row r="288" spans="1:5" x14ac:dyDescent="0.25">
      <c r="A288" s="6" t="s">
        <v>102</v>
      </c>
      <c r="B288" s="6">
        <v>0.03</v>
      </c>
      <c r="C288" s="6">
        <v>0</v>
      </c>
      <c r="D288" s="6">
        <v>6.58</v>
      </c>
      <c r="E288" s="6">
        <v>114</v>
      </c>
    </row>
    <row r="289" spans="1:5" x14ac:dyDescent="0.25">
      <c r="A289" s="6" t="s">
        <v>915</v>
      </c>
      <c r="B289" s="6">
        <v>0.04</v>
      </c>
      <c r="C289" s="6">
        <v>0</v>
      </c>
      <c r="D289" s="6">
        <v>8.89</v>
      </c>
      <c r="E289" s="6">
        <v>158</v>
      </c>
    </row>
    <row r="290" spans="1:5" x14ac:dyDescent="0.25">
      <c r="A290" s="6" t="s">
        <v>519</v>
      </c>
      <c r="B290" s="6">
        <v>0.02</v>
      </c>
      <c r="C290" s="6">
        <v>0</v>
      </c>
      <c r="D290" s="6">
        <v>2.33</v>
      </c>
      <c r="E290" s="6">
        <v>63</v>
      </c>
    </row>
    <row r="291" spans="1:5" x14ac:dyDescent="0.25">
      <c r="A291" s="6" t="s">
        <v>793</v>
      </c>
      <c r="B291" s="6">
        <v>0.03</v>
      </c>
      <c r="C291" s="6">
        <v>0</v>
      </c>
      <c r="D291" s="6">
        <v>14.52</v>
      </c>
      <c r="E291" s="6">
        <v>316</v>
      </c>
    </row>
    <row r="292" spans="1:5" x14ac:dyDescent="0.25">
      <c r="A292" s="6" t="s">
        <v>77</v>
      </c>
      <c r="B292" s="6">
        <v>0.03</v>
      </c>
      <c r="C292" s="6">
        <v>0</v>
      </c>
      <c r="D292" s="6">
        <v>9.93</v>
      </c>
      <c r="E292" s="6">
        <v>283</v>
      </c>
    </row>
    <row r="293" spans="1:5" x14ac:dyDescent="0.25">
      <c r="A293" s="6" t="s">
        <v>325</v>
      </c>
      <c r="B293" s="6">
        <v>0.03</v>
      </c>
      <c r="C293" s="6">
        <v>0</v>
      </c>
      <c r="D293" s="6">
        <v>10.4</v>
      </c>
      <c r="E293" s="6">
        <v>249</v>
      </c>
    </row>
    <row r="294" spans="1:5" x14ac:dyDescent="0.25">
      <c r="A294" s="6" t="s">
        <v>592</v>
      </c>
      <c r="B294" s="6">
        <v>0.46</v>
      </c>
      <c r="C294" s="6">
        <v>19</v>
      </c>
      <c r="D294" s="6">
        <v>15.22</v>
      </c>
      <c r="E294" s="6">
        <v>384</v>
      </c>
    </row>
    <row r="295" spans="1:5" x14ac:dyDescent="0.25">
      <c r="A295" s="6" t="s">
        <v>429</v>
      </c>
      <c r="B295" s="6">
        <v>0.03</v>
      </c>
      <c r="C295" s="6">
        <v>0</v>
      </c>
      <c r="D295" s="6">
        <v>4.6399999999999997</v>
      </c>
      <c r="E295" s="6">
        <v>175</v>
      </c>
    </row>
    <row r="296" spans="1:5" x14ac:dyDescent="0.25">
      <c r="A296" s="6" t="s">
        <v>991</v>
      </c>
      <c r="B296" s="6">
        <v>0.04</v>
      </c>
      <c r="C296" s="6">
        <v>0</v>
      </c>
      <c r="D296" s="6">
        <v>20.73</v>
      </c>
      <c r="E296" s="6">
        <v>473</v>
      </c>
    </row>
    <row r="297" spans="1:5" x14ac:dyDescent="0.25">
      <c r="A297" s="6" t="s">
        <v>78</v>
      </c>
      <c r="B297" s="6">
        <v>1.39</v>
      </c>
      <c r="C297" s="6">
        <v>25</v>
      </c>
      <c r="D297" s="6">
        <v>27.19</v>
      </c>
      <c r="E297" s="6">
        <v>602</v>
      </c>
    </row>
    <row r="298" spans="1:5" x14ac:dyDescent="0.25">
      <c r="A298" s="6" t="s">
        <v>468</v>
      </c>
      <c r="B298" s="6">
        <v>0.03</v>
      </c>
      <c r="C298" s="6">
        <v>0</v>
      </c>
      <c r="D298" s="6">
        <v>8.31</v>
      </c>
      <c r="E298" s="6">
        <v>312</v>
      </c>
    </row>
    <row r="299" spans="1:5" x14ac:dyDescent="0.25">
      <c r="A299" s="6" t="s">
        <v>740</v>
      </c>
      <c r="B299" s="6">
        <v>0.48</v>
      </c>
      <c r="C299" s="6">
        <v>24</v>
      </c>
      <c r="D299" s="6">
        <v>14.03</v>
      </c>
      <c r="E299" s="6">
        <v>358</v>
      </c>
    </row>
    <row r="300" spans="1:5" x14ac:dyDescent="0.25">
      <c r="A300" s="6" t="s">
        <v>362</v>
      </c>
      <c r="B300" s="6">
        <v>0.04</v>
      </c>
      <c r="C300" s="6">
        <v>0</v>
      </c>
      <c r="D300" s="6">
        <v>19</v>
      </c>
      <c r="E300" s="6">
        <v>417</v>
      </c>
    </row>
    <row r="301" spans="1:5" x14ac:dyDescent="0.25">
      <c r="A301" s="6" t="s">
        <v>182</v>
      </c>
      <c r="B301" s="6">
        <v>0.02</v>
      </c>
      <c r="C301" s="6">
        <v>0</v>
      </c>
      <c r="D301" s="6">
        <v>3.17</v>
      </c>
      <c r="E301" s="6">
        <v>99</v>
      </c>
    </row>
    <row r="302" spans="1:5" x14ac:dyDescent="0.25">
      <c r="A302" s="6" t="s">
        <v>917</v>
      </c>
      <c r="B302" s="6">
        <v>0.02</v>
      </c>
      <c r="C302" s="6">
        <v>0</v>
      </c>
      <c r="D302" s="6">
        <v>14.41</v>
      </c>
      <c r="E302" s="6">
        <v>546</v>
      </c>
    </row>
    <row r="303" spans="1:5" x14ac:dyDescent="0.25">
      <c r="A303" s="6" t="s">
        <v>43</v>
      </c>
      <c r="B303" s="6">
        <v>0.03</v>
      </c>
      <c r="C303" s="6">
        <v>0</v>
      </c>
      <c r="D303" s="6">
        <v>10.45</v>
      </c>
      <c r="E303" s="6">
        <v>221</v>
      </c>
    </row>
    <row r="304" spans="1:5" x14ac:dyDescent="0.25">
      <c r="A304" s="6" t="s">
        <v>696</v>
      </c>
      <c r="B304" s="6">
        <v>0.03</v>
      </c>
      <c r="C304" s="6">
        <v>0</v>
      </c>
      <c r="D304" s="6">
        <v>9.91</v>
      </c>
      <c r="E304" s="6">
        <v>311</v>
      </c>
    </row>
    <row r="305" spans="1:5" x14ac:dyDescent="0.25">
      <c r="A305" s="6" t="s">
        <v>638</v>
      </c>
      <c r="B305" s="6">
        <v>0.97</v>
      </c>
      <c r="C305" s="6">
        <v>11</v>
      </c>
      <c r="D305" s="6">
        <v>3.94</v>
      </c>
      <c r="E305" s="6">
        <v>185</v>
      </c>
    </row>
    <row r="306" spans="1:5" x14ac:dyDescent="0.25">
      <c r="A306" s="6" t="s">
        <v>264</v>
      </c>
      <c r="B306" s="6">
        <v>0.02</v>
      </c>
      <c r="C306" s="6">
        <v>0</v>
      </c>
      <c r="D306" s="6">
        <v>3</v>
      </c>
      <c r="E306" s="6">
        <v>138</v>
      </c>
    </row>
    <row r="307" spans="1:5" x14ac:dyDescent="0.25">
      <c r="A307" s="6" t="s">
        <v>553</v>
      </c>
      <c r="B307" s="6">
        <v>0.03</v>
      </c>
      <c r="C307" s="6">
        <v>0</v>
      </c>
      <c r="D307" s="6">
        <v>5.73</v>
      </c>
      <c r="E307" s="6">
        <v>156</v>
      </c>
    </row>
    <row r="308" spans="1:5" x14ac:dyDescent="0.25">
      <c r="A308" s="6" t="s">
        <v>398</v>
      </c>
      <c r="B308" s="6">
        <v>0.02</v>
      </c>
      <c r="C308" s="6">
        <v>0</v>
      </c>
      <c r="D308" s="6">
        <v>15.46</v>
      </c>
      <c r="E308" s="6">
        <v>489</v>
      </c>
    </row>
    <row r="309" spans="1:5" x14ac:dyDescent="0.25">
      <c r="A309" s="6" t="s">
        <v>612</v>
      </c>
      <c r="B309" s="6">
        <v>0.03</v>
      </c>
      <c r="C309" s="6">
        <v>0</v>
      </c>
      <c r="D309" s="6">
        <v>5.01</v>
      </c>
      <c r="E309" s="6">
        <v>147</v>
      </c>
    </row>
    <row r="310" spans="1:5" x14ac:dyDescent="0.25">
      <c r="A310" s="6" t="s">
        <v>244</v>
      </c>
      <c r="B310" s="6">
        <v>0.26</v>
      </c>
      <c r="C310" s="6">
        <v>15</v>
      </c>
      <c r="D310" s="6">
        <v>9.8800000000000008</v>
      </c>
      <c r="E310" s="6">
        <v>394</v>
      </c>
    </row>
    <row r="311" spans="1:5" x14ac:dyDescent="0.25">
      <c r="A311" s="6" t="s">
        <v>794</v>
      </c>
      <c r="B311" s="6">
        <v>0.6</v>
      </c>
      <c r="C311" s="6">
        <v>36</v>
      </c>
      <c r="D311" s="6">
        <v>9.2799999999999994</v>
      </c>
      <c r="E311" s="6">
        <v>250</v>
      </c>
    </row>
    <row r="312" spans="1:5" x14ac:dyDescent="0.25">
      <c r="A312" s="6" t="s">
        <v>348</v>
      </c>
      <c r="B312" s="6">
        <v>0.06</v>
      </c>
      <c r="C312" s="6">
        <v>0</v>
      </c>
      <c r="D312" s="6">
        <v>49.83</v>
      </c>
      <c r="E312" s="6">
        <v>632</v>
      </c>
    </row>
    <row r="313" spans="1:5" x14ac:dyDescent="0.25">
      <c r="A313" s="6" t="s">
        <v>496</v>
      </c>
      <c r="B313" s="6">
        <v>0.04</v>
      </c>
      <c r="C313" s="6">
        <v>0</v>
      </c>
      <c r="D313" s="6">
        <v>14.57</v>
      </c>
      <c r="E313" s="6">
        <v>502</v>
      </c>
    </row>
    <row r="314" spans="1:5" x14ac:dyDescent="0.25">
      <c r="A314" s="6" t="s">
        <v>241</v>
      </c>
      <c r="B314" s="6">
        <v>0.42</v>
      </c>
      <c r="C314" s="6">
        <v>18</v>
      </c>
      <c r="D314" s="6">
        <v>4.54</v>
      </c>
      <c r="E314" s="6">
        <v>119</v>
      </c>
    </row>
    <row r="315" spans="1:5" x14ac:dyDescent="0.25">
      <c r="A315" s="6" t="s">
        <v>633</v>
      </c>
      <c r="B315" s="6">
        <v>0.03</v>
      </c>
      <c r="C315" s="6">
        <v>0</v>
      </c>
      <c r="D315" s="6">
        <v>27.22</v>
      </c>
      <c r="E315" s="6">
        <v>913</v>
      </c>
    </row>
    <row r="316" spans="1:5" x14ac:dyDescent="0.25">
      <c r="A316" s="6" t="s">
        <v>918</v>
      </c>
      <c r="B316" s="6">
        <v>0.02</v>
      </c>
      <c r="C316" s="6">
        <v>0</v>
      </c>
      <c r="D316" s="6">
        <v>4.38</v>
      </c>
      <c r="E316" s="6">
        <v>149</v>
      </c>
    </row>
    <row r="317" spans="1:5" x14ac:dyDescent="0.25">
      <c r="A317" s="6" t="s">
        <v>795</v>
      </c>
      <c r="B317" s="6">
        <v>0.02</v>
      </c>
      <c r="C317" s="6">
        <v>0</v>
      </c>
      <c r="D317" s="6">
        <v>8.42</v>
      </c>
      <c r="E317" s="6">
        <v>247</v>
      </c>
    </row>
    <row r="318" spans="1:5" x14ac:dyDescent="0.25">
      <c r="A318" s="6" t="s">
        <v>919</v>
      </c>
      <c r="B318" s="6">
        <v>0.02</v>
      </c>
      <c r="C318" s="6">
        <v>0</v>
      </c>
      <c r="D318" s="6">
        <v>5.34</v>
      </c>
      <c r="E318" s="6">
        <v>168</v>
      </c>
    </row>
    <row r="319" spans="1:5" x14ac:dyDescent="0.25">
      <c r="A319" s="6" t="s">
        <v>796</v>
      </c>
      <c r="B319" s="6">
        <v>0.03</v>
      </c>
      <c r="C319" s="6">
        <v>0</v>
      </c>
      <c r="D319" s="6">
        <v>18.04</v>
      </c>
      <c r="E319" s="6">
        <v>413</v>
      </c>
    </row>
    <row r="320" spans="1:5" x14ac:dyDescent="0.25">
      <c r="A320" s="6" t="s">
        <v>53</v>
      </c>
      <c r="B320" s="6">
        <v>0.43</v>
      </c>
      <c r="C320" s="6">
        <v>18</v>
      </c>
      <c r="D320" s="6">
        <v>10.89</v>
      </c>
      <c r="E320" s="6">
        <v>415</v>
      </c>
    </row>
    <row r="321" spans="1:5" x14ac:dyDescent="0.25">
      <c r="A321" s="6" t="s">
        <v>797</v>
      </c>
      <c r="B321" s="6">
        <v>7.0000000000000007E-2</v>
      </c>
      <c r="C321" s="6">
        <v>0</v>
      </c>
      <c r="D321" s="6">
        <v>9.23</v>
      </c>
      <c r="E321" s="6">
        <v>189</v>
      </c>
    </row>
    <row r="322" spans="1:5" x14ac:dyDescent="0.25">
      <c r="A322" s="6" t="s">
        <v>26</v>
      </c>
      <c r="B322" s="6">
        <v>0.48</v>
      </c>
      <c r="C322" s="6">
        <v>22</v>
      </c>
      <c r="D322" s="6">
        <v>7.01</v>
      </c>
      <c r="E322" s="6">
        <v>325</v>
      </c>
    </row>
    <row r="323" spans="1:5" x14ac:dyDescent="0.25">
      <c r="A323" s="6" t="s">
        <v>485</v>
      </c>
      <c r="B323" s="6">
        <v>0.36</v>
      </c>
      <c r="C323" s="6">
        <v>20</v>
      </c>
      <c r="D323" s="6">
        <v>10.76</v>
      </c>
      <c r="E323" s="6">
        <v>328</v>
      </c>
    </row>
    <row r="324" spans="1:5" x14ac:dyDescent="0.25">
      <c r="A324" s="6" t="s">
        <v>295</v>
      </c>
      <c r="B324" s="6">
        <v>0.04</v>
      </c>
      <c r="C324" s="6">
        <v>0</v>
      </c>
      <c r="D324" s="6">
        <v>18.579999999999998</v>
      </c>
      <c r="E324" s="6">
        <v>315</v>
      </c>
    </row>
    <row r="325" spans="1:5" x14ac:dyDescent="0.25">
      <c r="A325" s="6" t="s">
        <v>201</v>
      </c>
      <c r="B325" s="6">
        <v>0.03</v>
      </c>
      <c r="C325" s="6">
        <v>0</v>
      </c>
      <c r="D325" s="6">
        <v>8.99</v>
      </c>
      <c r="E325" s="6">
        <v>250</v>
      </c>
    </row>
    <row r="326" spans="1:5" x14ac:dyDescent="0.25">
      <c r="A326" s="6" t="s">
        <v>12</v>
      </c>
      <c r="B326" s="6">
        <v>0.05</v>
      </c>
      <c r="C326" s="6">
        <v>0</v>
      </c>
      <c r="D326" s="6">
        <v>27.01</v>
      </c>
      <c r="E326" s="6">
        <v>431</v>
      </c>
    </row>
    <row r="327" spans="1:5" x14ac:dyDescent="0.25">
      <c r="A327" s="6" t="s">
        <v>798</v>
      </c>
      <c r="B327" s="6">
        <v>0.02</v>
      </c>
      <c r="C327" s="6">
        <v>0</v>
      </c>
      <c r="D327" s="6">
        <v>8.32</v>
      </c>
      <c r="E327" s="6">
        <v>331</v>
      </c>
    </row>
    <row r="328" spans="1:5" x14ac:dyDescent="0.25">
      <c r="A328" s="6" t="s">
        <v>595</v>
      </c>
      <c r="B328" s="6">
        <v>0.04</v>
      </c>
      <c r="C328" s="6">
        <v>0</v>
      </c>
      <c r="D328" s="6">
        <v>19.54</v>
      </c>
      <c r="E328" s="6">
        <v>348</v>
      </c>
    </row>
    <row r="329" spans="1:5" x14ac:dyDescent="0.25">
      <c r="A329" s="6" t="s">
        <v>391</v>
      </c>
      <c r="B329" s="6">
        <v>0.03</v>
      </c>
      <c r="C329" s="6">
        <v>0</v>
      </c>
      <c r="D329" s="6">
        <v>8.3000000000000007</v>
      </c>
      <c r="E329" s="6">
        <v>239</v>
      </c>
    </row>
    <row r="330" spans="1:5" x14ac:dyDescent="0.25">
      <c r="A330" s="6" t="s">
        <v>488</v>
      </c>
      <c r="B330" s="6">
        <v>0.03</v>
      </c>
      <c r="C330" s="6">
        <v>0</v>
      </c>
      <c r="D330" s="6">
        <v>7.48</v>
      </c>
      <c r="E330" s="6">
        <v>165</v>
      </c>
    </row>
    <row r="331" spans="1:5" x14ac:dyDescent="0.25">
      <c r="A331" s="6" t="s">
        <v>565</v>
      </c>
      <c r="B331" s="6">
        <v>0.45</v>
      </c>
      <c r="C331" s="6">
        <v>19</v>
      </c>
      <c r="D331" s="6">
        <v>17.2</v>
      </c>
      <c r="E331" s="6">
        <v>505</v>
      </c>
    </row>
    <row r="332" spans="1:5" x14ac:dyDescent="0.25">
      <c r="A332" s="6" t="s">
        <v>412</v>
      </c>
      <c r="B332" s="6">
        <v>0.03</v>
      </c>
      <c r="C332" s="6">
        <v>0</v>
      </c>
      <c r="D332" s="6">
        <v>9.7100000000000009</v>
      </c>
      <c r="E332" s="6">
        <v>207</v>
      </c>
    </row>
    <row r="333" spans="1:5" x14ac:dyDescent="0.25">
      <c r="A333" s="6" t="s">
        <v>349</v>
      </c>
      <c r="B333" s="6">
        <v>0.03</v>
      </c>
      <c r="C333" s="6">
        <v>0</v>
      </c>
      <c r="D333" s="6">
        <v>5.14</v>
      </c>
      <c r="E333" s="6">
        <v>107</v>
      </c>
    </row>
    <row r="334" spans="1:5" x14ac:dyDescent="0.25">
      <c r="A334" s="6" t="s">
        <v>480</v>
      </c>
      <c r="B334" s="6">
        <v>0.02</v>
      </c>
      <c r="C334" s="6">
        <v>0</v>
      </c>
      <c r="D334" s="6">
        <v>7.88</v>
      </c>
      <c r="E334" s="6">
        <v>327</v>
      </c>
    </row>
    <row r="335" spans="1:5" x14ac:dyDescent="0.25">
      <c r="A335" s="6" t="s">
        <v>474</v>
      </c>
      <c r="B335" s="6">
        <v>0.06</v>
      </c>
      <c r="C335" s="6">
        <v>0</v>
      </c>
      <c r="D335" s="6">
        <v>7.26</v>
      </c>
      <c r="E335" s="6">
        <v>234</v>
      </c>
    </row>
    <row r="336" spans="1:5" x14ac:dyDescent="0.25">
      <c r="A336" s="6" t="s">
        <v>31</v>
      </c>
      <c r="B336" s="6">
        <v>0.02</v>
      </c>
      <c r="C336" s="6">
        <v>0</v>
      </c>
      <c r="D336" s="6">
        <v>9.08</v>
      </c>
      <c r="E336" s="6">
        <v>381</v>
      </c>
    </row>
    <row r="337" spans="1:5" x14ac:dyDescent="0.25">
      <c r="A337" s="6" t="s">
        <v>386</v>
      </c>
      <c r="B337" s="6">
        <v>0.03</v>
      </c>
      <c r="C337" s="6">
        <v>0</v>
      </c>
      <c r="D337" s="6">
        <v>12.09</v>
      </c>
      <c r="E337" s="6">
        <v>352</v>
      </c>
    </row>
    <row r="338" spans="1:5" x14ac:dyDescent="0.25">
      <c r="A338" s="6" t="s">
        <v>122</v>
      </c>
      <c r="B338" s="6">
        <v>0.02</v>
      </c>
      <c r="C338" s="6">
        <v>0</v>
      </c>
      <c r="D338" s="6">
        <v>4.91</v>
      </c>
      <c r="E338" s="6">
        <v>168</v>
      </c>
    </row>
    <row r="339" spans="1:5" x14ac:dyDescent="0.25">
      <c r="A339" s="6" t="s">
        <v>230</v>
      </c>
      <c r="B339" s="6">
        <v>0.03</v>
      </c>
      <c r="C339" s="6">
        <v>0</v>
      </c>
      <c r="D339" s="6">
        <v>11.55</v>
      </c>
      <c r="E339" s="6">
        <v>250</v>
      </c>
    </row>
    <row r="340" spans="1:5" x14ac:dyDescent="0.25">
      <c r="A340" s="6" t="s">
        <v>448</v>
      </c>
      <c r="B340" s="6">
        <v>0.02</v>
      </c>
      <c r="C340" s="6">
        <v>0</v>
      </c>
      <c r="D340" s="6">
        <v>2.34</v>
      </c>
      <c r="E340" s="6">
        <v>79</v>
      </c>
    </row>
    <row r="341" spans="1:5" x14ac:dyDescent="0.25">
      <c r="A341" s="6" t="s">
        <v>305</v>
      </c>
      <c r="B341" s="6">
        <v>0.03</v>
      </c>
      <c r="C341" s="6">
        <v>0</v>
      </c>
      <c r="D341" s="6">
        <v>18.239999999999998</v>
      </c>
      <c r="E341" s="6">
        <v>328</v>
      </c>
    </row>
    <row r="342" spans="1:5" x14ac:dyDescent="0.25">
      <c r="A342" s="6" t="s">
        <v>583</v>
      </c>
      <c r="B342" s="6">
        <v>0.04</v>
      </c>
      <c r="C342" s="6">
        <v>0</v>
      </c>
      <c r="D342" s="6">
        <v>11.82</v>
      </c>
      <c r="E342" s="6">
        <v>234</v>
      </c>
    </row>
    <row r="343" spans="1:5" x14ac:dyDescent="0.25">
      <c r="A343" s="6" t="s">
        <v>505</v>
      </c>
      <c r="B343" s="6">
        <v>0.03</v>
      </c>
      <c r="C343" s="6">
        <v>0</v>
      </c>
      <c r="D343" s="6">
        <v>6.22</v>
      </c>
      <c r="E343" s="6">
        <v>178</v>
      </c>
    </row>
    <row r="344" spans="1:5" x14ac:dyDescent="0.25">
      <c r="A344" s="6" t="s">
        <v>95</v>
      </c>
      <c r="B344" s="6">
        <v>0.03</v>
      </c>
      <c r="C344" s="6">
        <v>0</v>
      </c>
      <c r="D344" s="6">
        <v>12.19</v>
      </c>
      <c r="E344" s="6">
        <v>292</v>
      </c>
    </row>
    <row r="345" spans="1:5" x14ac:dyDescent="0.25">
      <c r="A345" s="6" t="s">
        <v>799</v>
      </c>
      <c r="B345" s="6">
        <v>0.31</v>
      </c>
      <c r="C345" s="6">
        <v>20</v>
      </c>
      <c r="D345" s="6">
        <v>12.16</v>
      </c>
      <c r="E345" s="6">
        <v>420</v>
      </c>
    </row>
    <row r="346" spans="1:5" x14ac:dyDescent="0.25">
      <c r="A346" s="6" t="s">
        <v>563</v>
      </c>
      <c r="B346" s="6">
        <v>0.03</v>
      </c>
      <c r="C346" s="6">
        <v>0</v>
      </c>
      <c r="D346" s="6">
        <v>23.34</v>
      </c>
      <c r="E346" s="6">
        <v>538</v>
      </c>
    </row>
    <row r="347" spans="1:5" x14ac:dyDescent="0.25">
      <c r="A347" s="6" t="s">
        <v>146</v>
      </c>
      <c r="B347" s="6">
        <v>0.03</v>
      </c>
      <c r="C347" s="6">
        <v>0</v>
      </c>
      <c r="D347" s="6">
        <v>11.93</v>
      </c>
      <c r="E347" s="6">
        <v>331</v>
      </c>
    </row>
    <row r="348" spans="1:5" x14ac:dyDescent="0.25">
      <c r="A348" s="6" t="s">
        <v>402</v>
      </c>
      <c r="B348" s="6">
        <v>0.04</v>
      </c>
      <c r="C348" s="6">
        <v>0</v>
      </c>
      <c r="D348" s="6">
        <v>10.78</v>
      </c>
      <c r="E348" s="6">
        <v>275</v>
      </c>
    </row>
    <row r="349" spans="1:5" x14ac:dyDescent="0.25">
      <c r="A349" s="6" t="s">
        <v>800</v>
      </c>
      <c r="B349" s="6">
        <v>0.03</v>
      </c>
      <c r="C349" s="6">
        <v>0</v>
      </c>
      <c r="D349" s="6">
        <v>16.809999999999999</v>
      </c>
      <c r="E349" s="6">
        <v>371</v>
      </c>
    </row>
    <row r="350" spans="1:5" x14ac:dyDescent="0.25">
      <c r="A350" s="6" t="s">
        <v>990</v>
      </c>
      <c r="B350" s="6">
        <v>0.04</v>
      </c>
      <c r="C350" s="6">
        <v>0</v>
      </c>
      <c r="D350" s="6">
        <v>12.18</v>
      </c>
      <c r="E350" s="6">
        <v>237</v>
      </c>
    </row>
    <row r="351" spans="1:5" x14ac:dyDescent="0.25">
      <c r="A351" s="6" t="s">
        <v>105</v>
      </c>
      <c r="B351" s="6">
        <v>0.25</v>
      </c>
      <c r="C351" s="6">
        <v>17</v>
      </c>
      <c r="D351" s="6">
        <v>3.72</v>
      </c>
      <c r="E351" s="6">
        <v>166</v>
      </c>
    </row>
    <row r="352" spans="1:5" x14ac:dyDescent="0.25">
      <c r="A352" s="6" t="s">
        <v>802</v>
      </c>
      <c r="B352" s="6">
        <v>0.04</v>
      </c>
      <c r="C352" s="6">
        <v>0</v>
      </c>
      <c r="D352" s="6">
        <v>19.510000000000002</v>
      </c>
      <c r="E352" s="6">
        <v>372</v>
      </c>
    </row>
    <row r="353" spans="1:5" x14ac:dyDescent="0.25">
      <c r="A353" s="6" t="s">
        <v>709</v>
      </c>
      <c r="B353" s="6">
        <v>0.04</v>
      </c>
      <c r="C353" s="6">
        <v>0</v>
      </c>
      <c r="D353" s="6">
        <v>5.51</v>
      </c>
      <c r="E353" s="6">
        <v>145</v>
      </c>
    </row>
    <row r="354" spans="1:5" x14ac:dyDescent="0.25">
      <c r="A354" s="6" t="s">
        <v>47</v>
      </c>
      <c r="B354" s="6">
        <v>0.02</v>
      </c>
      <c r="C354" s="6">
        <v>0</v>
      </c>
      <c r="D354" s="6">
        <v>2.08</v>
      </c>
      <c r="E354" s="6">
        <v>75</v>
      </c>
    </row>
    <row r="355" spans="1:5" x14ac:dyDescent="0.25">
      <c r="A355" s="6" t="s">
        <v>242</v>
      </c>
      <c r="B355" s="6">
        <v>0.22</v>
      </c>
      <c r="C355" s="6">
        <v>16</v>
      </c>
      <c r="D355" s="6">
        <v>6.59</v>
      </c>
      <c r="E355" s="6">
        <v>324</v>
      </c>
    </row>
    <row r="356" spans="1:5" x14ac:dyDescent="0.25">
      <c r="A356" s="6" t="s">
        <v>425</v>
      </c>
      <c r="B356" s="6">
        <v>0.03</v>
      </c>
      <c r="C356" s="6">
        <v>0</v>
      </c>
      <c r="D356" s="6">
        <v>5.8</v>
      </c>
      <c r="E356" s="6">
        <v>195</v>
      </c>
    </row>
    <row r="357" spans="1:5" x14ac:dyDescent="0.25">
      <c r="A357" s="6" t="s">
        <v>176</v>
      </c>
      <c r="B357" s="6">
        <v>0.03</v>
      </c>
      <c r="C357" s="6">
        <v>0</v>
      </c>
      <c r="D357" s="6">
        <v>11.19</v>
      </c>
      <c r="E357" s="6">
        <v>334</v>
      </c>
    </row>
    <row r="358" spans="1:5" x14ac:dyDescent="0.25">
      <c r="A358" s="6" t="s">
        <v>922</v>
      </c>
      <c r="B358" s="6">
        <v>0.05</v>
      </c>
      <c r="C358" s="6">
        <v>0</v>
      </c>
      <c r="D358" s="6">
        <v>11.3</v>
      </c>
      <c r="E358" s="6">
        <v>298</v>
      </c>
    </row>
    <row r="359" spans="1:5" x14ac:dyDescent="0.25">
      <c r="A359" s="6" t="s">
        <v>923</v>
      </c>
      <c r="B359" s="6">
        <v>0.02</v>
      </c>
      <c r="C359" s="6">
        <v>0</v>
      </c>
      <c r="D359" s="6">
        <v>1.47</v>
      </c>
      <c r="E359" s="6">
        <v>41</v>
      </c>
    </row>
    <row r="360" spans="1:5" x14ac:dyDescent="0.25">
      <c r="A360" s="6" t="s">
        <v>924</v>
      </c>
      <c r="B360" s="6">
        <v>0.02</v>
      </c>
      <c r="C360" s="6">
        <v>0</v>
      </c>
      <c r="D360" s="6">
        <v>4.7300000000000004</v>
      </c>
      <c r="E360" s="6">
        <v>130</v>
      </c>
    </row>
    <row r="361" spans="1:5" x14ac:dyDescent="0.25">
      <c r="A361" s="6" t="s">
        <v>712</v>
      </c>
      <c r="B361" s="6">
        <v>0.03</v>
      </c>
      <c r="C361" s="6">
        <v>0</v>
      </c>
      <c r="D361" s="6">
        <v>12.17</v>
      </c>
      <c r="E361" s="6">
        <v>477</v>
      </c>
    </row>
    <row r="362" spans="1:5" x14ac:dyDescent="0.25">
      <c r="A362" s="6" t="s">
        <v>366</v>
      </c>
      <c r="B362" s="6">
        <v>0.03</v>
      </c>
      <c r="C362" s="6">
        <v>0</v>
      </c>
      <c r="D362" s="6">
        <v>11.16</v>
      </c>
      <c r="E362" s="6">
        <v>336</v>
      </c>
    </row>
    <row r="363" spans="1:5" x14ac:dyDescent="0.25">
      <c r="A363" s="6" t="s">
        <v>804</v>
      </c>
      <c r="B363" s="6">
        <v>0.05</v>
      </c>
      <c r="C363" s="6">
        <v>0</v>
      </c>
      <c r="D363" s="6">
        <v>8.75</v>
      </c>
      <c r="E363" s="6">
        <v>236</v>
      </c>
    </row>
    <row r="364" spans="1:5" x14ac:dyDescent="0.25">
      <c r="A364" s="6" t="s">
        <v>467</v>
      </c>
      <c r="B364" s="6">
        <v>0.03</v>
      </c>
      <c r="C364" s="6">
        <v>0</v>
      </c>
      <c r="D364" s="6">
        <v>7.07</v>
      </c>
      <c r="E364" s="6">
        <v>230</v>
      </c>
    </row>
    <row r="365" spans="1:5" x14ac:dyDescent="0.25">
      <c r="A365" s="6" t="s">
        <v>300</v>
      </c>
      <c r="B365" s="6">
        <v>0.03</v>
      </c>
      <c r="C365" s="6">
        <v>0</v>
      </c>
      <c r="D365" s="6">
        <v>5.92</v>
      </c>
      <c r="E365" s="6">
        <v>207</v>
      </c>
    </row>
    <row r="366" spans="1:5" x14ac:dyDescent="0.25">
      <c r="A366" s="6" t="s">
        <v>165</v>
      </c>
      <c r="B366" s="6">
        <v>0.03</v>
      </c>
      <c r="C366" s="6">
        <v>0</v>
      </c>
      <c r="D366" s="6">
        <v>9.06</v>
      </c>
      <c r="E366" s="6">
        <v>155</v>
      </c>
    </row>
    <row r="367" spans="1:5" x14ac:dyDescent="0.25">
      <c r="A367" s="6" t="s">
        <v>327</v>
      </c>
      <c r="B367" s="6">
        <v>0.02</v>
      </c>
      <c r="C367" s="6">
        <v>0</v>
      </c>
      <c r="D367" s="6">
        <v>7.41</v>
      </c>
      <c r="E367" s="6">
        <v>254</v>
      </c>
    </row>
    <row r="368" spans="1:5" x14ac:dyDescent="0.25">
      <c r="A368" s="6" t="s">
        <v>464</v>
      </c>
      <c r="B368" s="6">
        <v>0.03</v>
      </c>
      <c r="C368" s="6">
        <v>0</v>
      </c>
      <c r="D368" s="6">
        <v>6.43</v>
      </c>
      <c r="E368" s="6">
        <v>221</v>
      </c>
    </row>
    <row r="369" spans="1:5" x14ac:dyDescent="0.25">
      <c r="A369" s="6" t="s">
        <v>805</v>
      </c>
      <c r="B369" s="6">
        <v>0.21</v>
      </c>
      <c r="C369" s="6">
        <v>15</v>
      </c>
      <c r="D369" s="6">
        <v>4.91</v>
      </c>
      <c r="E369" s="6">
        <v>197</v>
      </c>
    </row>
    <row r="370" spans="1:5" x14ac:dyDescent="0.25">
      <c r="A370" s="6" t="s">
        <v>806</v>
      </c>
      <c r="B370" s="6">
        <v>0.06</v>
      </c>
      <c r="C370" s="6">
        <v>0</v>
      </c>
      <c r="D370" s="6">
        <v>26.3</v>
      </c>
      <c r="E370" s="6">
        <v>417</v>
      </c>
    </row>
    <row r="371" spans="1:5" x14ac:dyDescent="0.25">
      <c r="A371" s="6" t="s">
        <v>310</v>
      </c>
      <c r="B371" s="6">
        <v>0.43</v>
      </c>
      <c r="C371" s="6">
        <v>16</v>
      </c>
      <c r="D371" s="6">
        <v>10.57</v>
      </c>
      <c r="E371" s="6">
        <v>233</v>
      </c>
    </row>
    <row r="372" spans="1:5" x14ac:dyDescent="0.25">
      <c r="A372" s="6" t="s">
        <v>807</v>
      </c>
      <c r="B372" s="6">
        <v>0.02</v>
      </c>
      <c r="C372" s="6">
        <v>0</v>
      </c>
      <c r="D372" s="6">
        <v>5.62</v>
      </c>
      <c r="E372" s="6">
        <v>257</v>
      </c>
    </row>
    <row r="373" spans="1:5" x14ac:dyDescent="0.25">
      <c r="A373" s="6" t="s">
        <v>498</v>
      </c>
      <c r="B373" s="6">
        <v>0.51</v>
      </c>
      <c r="C373" s="6">
        <v>21</v>
      </c>
      <c r="D373" s="6">
        <v>7.55</v>
      </c>
      <c r="E373" s="6">
        <v>210</v>
      </c>
    </row>
    <row r="374" spans="1:5" x14ac:dyDescent="0.25">
      <c r="A374" s="6" t="s">
        <v>808</v>
      </c>
      <c r="B374" s="6">
        <v>0.03</v>
      </c>
      <c r="C374" s="6">
        <v>0</v>
      </c>
      <c r="D374" s="6">
        <v>5.96</v>
      </c>
      <c r="E374" s="6">
        <v>196</v>
      </c>
    </row>
    <row r="375" spans="1:5" x14ac:dyDescent="0.25">
      <c r="A375" s="6" t="s">
        <v>673</v>
      </c>
      <c r="B375" s="6">
        <v>0.04</v>
      </c>
      <c r="C375" s="6">
        <v>0</v>
      </c>
      <c r="D375" s="6">
        <v>14.32</v>
      </c>
      <c r="E375" s="6">
        <v>268</v>
      </c>
    </row>
    <row r="376" spans="1:5" x14ac:dyDescent="0.25">
      <c r="A376" s="6" t="s">
        <v>644</v>
      </c>
      <c r="B376" s="6">
        <v>0.03</v>
      </c>
      <c r="C376" s="6">
        <v>0</v>
      </c>
      <c r="D376" s="6">
        <v>10.77</v>
      </c>
      <c r="E376" s="6">
        <v>307</v>
      </c>
    </row>
    <row r="377" spans="1:5" x14ac:dyDescent="0.25">
      <c r="A377" s="6" t="s">
        <v>597</v>
      </c>
      <c r="B377" s="6">
        <v>0.04</v>
      </c>
      <c r="C377" s="6">
        <v>0</v>
      </c>
      <c r="D377" s="6">
        <v>2.12</v>
      </c>
      <c r="E377" s="6">
        <v>88</v>
      </c>
    </row>
    <row r="378" spans="1:5" x14ac:dyDescent="0.25">
      <c r="A378" s="6" t="s">
        <v>685</v>
      </c>
      <c r="B378" s="6">
        <v>0.02</v>
      </c>
      <c r="C378" s="6">
        <v>0</v>
      </c>
      <c r="D378" s="6">
        <v>8.65</v>
      </c>
      <c r="E378" s="6">
        <v>238</v>
      </c>
    </row>
    <row r="379" spans="1:5" x14ac:dyDescent="0.25">
      <c r="A379" s="6" t="s">
        <v>729</v>
      </c>
      <c r="B379" s="6">
        <v>7.0000000000000007E-2</v>
      </c>
      <c r="C379" s="6">
        <v>0</v>
      </c>
      <c r="D379" s="6">
        <v>9.1199999999999992</v>
      </c>
      <c r="E379" s="6">
        <v>317</v>
      </c>
    </row>
    <row r="380" spans="1:5" x14ac:dyDescent="0.25">
      <c r="A380" s="6" t="s">
        <v>23</v>
      </c>
      <c r="B380" s="6">
        <v>0.03</v>
      </c>
      <c r="C380" s="6">
        <v>0</v>
      </c>
      <c r="D380" s="6">
        <v>6.1</v>
      </c>
      <c r="E380" s="6">
        <v>223</v>
      </c>
    </row>
    <row r="381" spans="1:5" x14ac:dyDescent="0.25">
      <c r="A381" s="6" t="s">
        <v>809</v>
      </c>
      <c r="B381" s="6">
        <v>0.02</v>
      </c>
      <c r="C381" s="6">
        <v>0</v>
      </c>
      <c r="D381" s="6">
        <v>10.54</v>
      </c>
      <c r="E381" s="6">
        <v>485</v>
      </c>
    </row>
    <row r="382" spans="1:5" x14ac:dyDescent="0.25">
      <c r="A382" s="6" t="s">
        <v>490</v>
      </c>
      <c r="B382" s="6">
        <v>0.02</v>
      </c>
      <c r="C382" s="6">
        <v>0</v>
      </c>
      <c r="D382" s="6">
        <v>4.57</v>
      </c>
      <c r="E382" s="6">
        <v>180</v>
      </c>
    </row>
    <row r="383" spans="1:5" x14ac:dyDescent="0.25">
      <c r="A383" s="6" t="s">
        <v>650</v>
      </c>
      <c r="B383" s="6">
        <v>0.02</v>
      </c>
      <c r="C383" s="6">
        <v>0</v>
      </c>
      <c r="D383" s="6">
        <v>7.96</v>
      </c>
      <c r="E383" s="6">
        <v>246</v>
      </c>
    </row>
    <row r="384" spans="1:5" x14ac:dyDescent="0.25">
      <c r="A384" s="6" t="s">
        <v>926</v>
      </c>
      <c r="B384" s="6">
        <v>0.04</v>
      </c>
      <c r="C384" s="6">
        <v>0</v>
      </c>
      <c r="D384" s="6">
        <v>18</v>
      </c>
      <c r="E384" s="6">
        <v>364</v>
      </c>
    </row>
    <row r="385" spans="1:5" x14ac:dyDescent="0.25">
      <c r="A385" s="6" t="s">
        <v>509</v>
      </c>
      <c r="B385" s="6">
        <v>0.03</v>
      </c>
      <c r="C385" s="6">
        <v>0</v>
      </c>
      <c r="D385" s="6">
        <v>19.47</v>
      </c>
      <c r="E385" s="6">
        <v>518</v>
      </c>
    </row>
    <row r="386" spans="1:5" x14ac:dyDescent="0.25">
      <c r="A386" s="6" t="s">
        <v>161</v>
      </c>
      <c r="B386" s="6">
        <v>0.03</v>
      </c>
      <c r="C386" s="6">
        <v>0</v>
      </c>
      <c r="D386" s="6">
        <v>4.32</v>
      </c>
      <c r="E386" s="6">
        <v>138</v>
      </c>
    </row>
    <row r="387" spans="1:5" x14ac:dyDescent="0.25">
      <c r="A387" s="6" t="s">
        <v>810</v>
      </c>
      <c r="B387" s="6">
        <v>0.05</v>
      </c>
      <c r="C387" s="6">
        <v>0</v>
      </c>
      <c r="D387" s="6">
        <v>28.01</v>
      </c>
      <c r="E387" s="6">
        <v>469</v>
      </c>
    </row>
    <row r="388" spans="1:5" x14ac:dyDescent="0.25">
      <c r="A388" s="6" t="s">
        <v>552</v>
      </c>
      <c r="B388" s="6">
        <v>0.05</v>
      </c>
      <c r="C388" s="6">
        <v>0</v>
      </c>
      <c r="D388" s="6">
        <v>31.16</v>
      </c>
      <c r="E388" s="6">
        <v>525</v>
      </c>
    </row>
    <row r="389" spans="1:5" x14ac:dyDescent="0.25">
      <c r="A389" s="6" t="s">
        <v>995</v>
      </c>
      <c r="B389" s="6">
        <v>0.04</v>
      </c>
      <c r="C389" s="6">
        <v>0</v>
      </c>
      <c r="D389" s="6">
        <v>30.35</v>
      </c>
      <c r="E389" s="6">
        <v>649</v>
      </c>
    </row>
    <row r="390" spans="1:5" x14ac:dyDescent="0.25">
      <c r="A390" s="6" t="s">
        <v>811</v>
      </c>
      <c r="B390" s="6">
        <v>0.73</v>
      </c>
      <c r="C390" s="6">
        <v>31</v>
      </c>
      <c r="D390" s="6">
        <v>14.21</v>
      </c>
      <c r="E390" s="6">
        <v>526</v>
      </c>
    </row>
    <row r="391" spans="1:5" x14ac:dyDescent="0.25">
      <c r="A391" s="6" t="s">
        <v>528</v>
      </c>
      <c r="B391" s="6">
        <v>0.02</v>
      </c>
      <c r="C391" s="6">
        <v>0</v>
      </c>
      <c r="D391" s="6">
        <v>10.56</v>
      </c>
      <c r="E391" s="6">
        <v>399</v>
      </c>
    </row>
    <row r="392" spans="1:5" x14ac:dyDescent="0.25">
      <c r="A392" s="6" t="s">
        <v>394</v>
      </c>
      <c r="B392" s="6">
        <v>0.03</v>
      </c>
      <c r="C392" s="6">
        <v>0</v>
      </c>
      <c r="D392" s="6">
        <v>12.9</v>
      </c>
      <c r="E392" s="6">
        <v>317</v>
      </c>
    </row>
    <row r="393" spans="1:5" x14ac:dyDescent="0.25">
      <c r="A393" s="6" t="s">
        <v>812</v>
      </c>
      <c r="B393" s="6">
        <v>0.03</v>
      </c>
      <c r="C393" s="6">
        <v>0</v>
      </c>
      <c r="D393" s="6">
        <v>29.19</v>
      </c>
      <c r="E393" s="6">
        <v>657</v>
      </c>
    </row>
    <row r="394" spans="1:5" x14ac:dyDescent="0.25">
      <c r="A394" s="6" t="s">
        <v>24</v>
      </c>
      <c r="B394" s="6">
        <v>0.03</v>
      </c>
      <c r="C394" s="6">
        <v>0</v>
      </c>
      <c r="D394" s="6">
        <v>5.31</v>
      </c>
      <c r="E394" s="6">
        <v>217</v>
      </c>
    </row>
    <row r="395" spans="1:5" x14ac:dyDescent="0.25">
      <c r="A395" s="6" t="s">
        <v>439</v>
      </c>
      <c r="B395" s="6">
        <v>0.02</v>
      </c>
      <c r="C395" s="6">
        <v>0</v>
      </c>
      <c r="D395" s="6">
        <v>3.84</v>
      </c>
      <c r="E395" s="6">
        <v>190</v>
      </c>
    </row>
    <row r="396" spans="1:5" x14ac:dyDescent="0.25">
      <c r="A396" s="6" t="s">
        <v>541</v>
      </c>
      <c r="B396" s="6">
        <v>0.03</v>
      </c>
      <c r="C396" s="6">
        <v>0</v>
      </c>
      <c r="D396" s="6">
        <v>8.4700000000000006</v>
      </c>
      <c r="E396" s="6">
        <v>266</v>
      </c>
    </row>
    <row r="397" spans="1:5" x14ac:dyDescent="0.25">
      <c r="A397" s="6" t="s">
        <v>204</v>
      </c>
      <c r="B397" s="6">
        <v>0.03</v>
      </c>
      <c r="C397" s="6">
        <v>0</v>
      </c>
      <c r="D397" s="6">
        <v>16.04</v>
      </c>
      <c r="E397" s="6">
        <v>304</v>
      </c>
    </row>
    <row r="398" spans="1:5" x14ac:dyDescent="0.25">
      <c r="A398" s="6" t="s">
        <v>236</v>
      </c>
      <c r="B398" s="6">
        <v>0.04</v>
      </c>
      <c r="C398" s="6">
        <v>0</v>
      </c>
      <c r="D398" s="6">
        <v>8.42</v>
      </c>
      <c r="E398" s="6">
        <v>226</v>
      </c>
    </row>
    <row r="399" spans="1:5" x14ac:dyDescent="0.25">
      <c r="A399" s="6" t="s">
        <v>133</v>
      </c>
      <c r="B399" s="6">
        <v>0.03</v>
      </c>
      <c r="C399" s="6">
        <v>0</v>
      </c>
      <c r="D399" s="6">
        <v>14.41</v>
      </c>
      <c r="E399" s="6">
        <v>464</v>
      </c>
    </row>
    <row r="400" spans="1:5" x14ac:dyDescent="0.25">
      <c r="A400" s="6" t="s">
        <v>928</v>
      </c>
      <c r="B400" s="6">
        <v>0.04</v>
      </c>
      <c r="C400" s="6">
        <v>0</v>
      </c>
      <c r="D400" s="6">
        <v>18.350000000000001</v>
      </c>
      <c r="E400" s="6">
        <v>359</v>
      </c>
    </row>
    <row r="401" spans="1:5" x14ac:dyDescent="0.25">
      <c r="A401" s="6" t="s">
        <v>813</v>
      </c>
      <c r="B401" s="6">
        <v>0.03</v>
      </c>
      <c r="C401" s="6">
        <v>0</v>
      </c>
      <c r="D401" s="6">
        <v>9.93</v>
      </c>
      <c r="E401" s="6">
        <v>358</v>
      </c>
    </row>
    <row r="402" spans="1:5" x14ac:dyDescent="0.25">
      <c r="A402" s="6" t="s">
        <v>66</v>
      </c>
      <c r="B402" s="6">
        <v>0.24</v>
      </c>
      <c r="C402" s="6">
        <v>17</v>
      </c>
      <c r="D402" s="6">
        <v>6.84</v>
      </c>
      <c r="E402" s="6">
        <v>245</v>
      </c>
    </row>
    <row r="403" spans="1:5" x14ac:dyDescent="0.25">
      <c r="A403" s="6" t="s">
        <v>3</v>
      </c>
      <c r="B403" s="6">
        <v>0.37</v>
      </c>
      <c r="C403" s="6">
        <v>24</v>
      </c>
      <c r="D403" s="6">
        <v>8.27</v>
      </c>
      <c r="E403" s="6">
        <v>265</v>
      </c>
    </row>
    <row r="404" spans="1:5" x14ac:dyDescent="0.25">
      <c r="A404" s="6" t="s">
        <v>564</v>
      </c>
      <c r="B404" s="6">
        <v>0.02</v>
      </c>
      <c r="C404" s="6">
        <v>0</v>
      </c>
      <c r="D404" s="6">
        <v>3.43</v>
      </c>
      <c r="E404" s="6">
        <v>163</v>
      </c>
    </row>
    <row r="405" spans="1:5" x14ac:dyDescent="0.25">
      <c r="A405" s="6" t="s">
        <v>430</v>
      </c>
      <c r="B405" s="6">
        <v>0.03</v>
      </c>
      <c r="C405" s="6">
        <v>0</v>
      </c>
      <c r="D405" s="6">
        <v>8.75</v>
      </c>
      <c r="E405" s="6">
        <v>268</v>
      </c>
    </row>
    <row r="406" spans="1:5" x14ac:dyDescent="0.25">
      <c r="A406" s="6" t="s">
        <v>159</v>
      </c>
      <c r="B406" s="6">
        <v>0.03</v>
      </c>
      <c r="C406" s="6">
        <v>0</v>
      </c>
      <c r="D406" s="6">
        <v>11.2</v>
      </c>
      <c r="E406" s="6">
        <v>298</v>
      </c>
    </row>
    <row r="407" spans="1:5" x14ac:dyDescent="0.25">
      <c r="A407" s="6" t="s">
        <v>405</v>
      </c>
      <c r="B407" s="6">
        <v>0.03</v>
      </c>
      <c r="C407" s="6">
        <v>0</v>
      </c>
      <c r="D407" s="6">
        <v>13.06</v>
      </c>
      <c r="E407" s="6">
        <v>290</v>
      </c>
    </row>
    <row r="408" spans="1:5" x14ac:dyDescent="0.25">
      <c r="A408" s="6" t="s">
        <v>929</v>
      </c>
      <c r="B408" s="6">
        <v>0.56000000000000005</v>
      </c>
      <c r="C408" s="6">
        <v>28</v>
      </c>
      <c r="D408" s="6">
        <v>10.77</v>
      </c>
      <c r="E408" s="6">
        <v>322</v>
      </c>
    </row>
    <row r="409" spans="1:5" x14ac:dyDescent="0.25">
      <c r="A409" s="6" t="s">
        <v>277</v>
      </c>
      <c r="B409" s="6">
        <v>0.02</v>
      </c>
      <c r="C409" s="6">
        <v>0</v>
      </c>
      <c r="D409" s="6">
        <v>7.66</v>
      </c>
      <c r="E409" s="6">
        <v>190</v>
      </c>
    </row>
    <row r="410" spans="1:5" x14ac:dyDescent="0.25">
      <c r="A410" s="6" t="s">
        <v>278</v>
      </c>
      <c r="B410" s="6">
        <v>0.03</v>
      </c>
      <c r="C410" s="6">
        <v>0</v>
      </c>
      <c r="D410" s="6">
        <v>8.89</v>
      </c>
      <c r="E410" s="6">
        <v>317</v>
      </c>
    </row>
    <row r="411" spans="1:5" x14ac:dyDescent="0.25">
      <c r="A411" s="6" t="s">
        <v>930</v>
      </c>
      <c r="B411" s="6">
        <v>0.04</v>
      </c>
      <c r="C411" s="6">
        <v>0</v>
      </c>
      <c r="D411" s="6">
        <v>13.5</v>
      </c>
      <c r="E411" s="6">
        <v>272</v>
      </c>
    </row>
    <row r="412" spans="1:5" x14ac:dyDescent="0.25">
      <c r="A412" s="6" t="s">
        <v>421</v>
      </c>
      <c r="B412" s="6">
        <v>0.04</v>
      </c>
      <c r="C412" s="6">
        <v>0</v>
      </c>
      <c r="D412" s="6">
        <v>11.28</v>
      </c>
      <c r="E412" s="6">
        <v>220</v>
      </c>
    </row>
    <row r="413" spans="1:5" x14ac:dyDescent="0.25">
      <c r="A413" s="6" t="s">
        <v>331</v>
      </c>
      <c r="B413" s="6">
        <v>0.02</v>
      </c>
      <c r="C413" s="6">
        <v>0</v>
      </c>
      <c r="D413" s="6">
        <v>5.54</v>
      </c>
      <c r="E413" s="6">
        <v>194</v>
      </c>
    </row>
    <row r="414" spans="1:5" x14ac:dyDescent="0.25">
      <c r="A414" s="6" t="s">
        <v>619</v>
      </c>
      <c r="B414" s="6">
        <v>0.03</v>
      </c>
      <c r="C414" s="6">
        <v>0</v>
      </c>
      <c r="D414" s="6">
        <v>7.39</v>
      </c>
      <c r="E414" s="6">
        <v>199</v>
      </c>
    </row>
    <row r="415" spans="1:5" x14ac:dyDescent="0.25">
      <c r="A415" s="6" t="s">
        <v>142</v>
      </c>
      <c r="B415" s="6">
        <v>0.03</v>
      </c>
      <c r="C415" s="6">
        <v>0</v>
      </c>
      <c r="D415" s="6">
        <v>9.83</v>
      </c>
      <c r="E415" s="6">
        <v>284</v>
      </c>
    </row>
    <row r="416" spans="1:5" x14ac:dyDescent="0.25">
      <c r="A416" s="6" t="s">
        <v>93</v>
      </c>
      <c r="B416" s="6">
        <v>0.02</v>
      </c>
      <c r="C416" s="6">
        <v>0</v>
      </c>
      <c r="D416" s="6">
        <v>6.15</v>
      </c>
      <c r="E416" s="6">
        <v>196</v>
      </c>
    </row>
    <row r="417" spans="1:5" x14ac:dyDescent="0.25">
      <c r="A417" s="6" t="s">
        <v>156</v>
      </c>
      <c r="B417" s="6">
        <v>0.03</v>
      </c>
      <c r="C417" s="6">
        <v>0</v>
      </c>
      <c r="D417" s="6">
        <v>5.8</v>
      </c>
      <c r="E417" s="6">
        <v>110</v>
      </c>
    </row>
    <row r="418" spans="1:5" x14ac:dyDescent="0.25">
      <c r="A418" s="6" t="s">
        <v>435</v>
      </c>
      <c r="B418" s="6">
        <v>0.05</v>
      </c>
      <c r="C418" s="6">
        <v>0</v>
      </c>
      <c r="D418" s="6">
        <v>2.2400000000000002</v>
      </c>
      <c r="E418" s="6">
        <v>46</v>
      </c>
    </row>
    <row r="419" spans="1:5" x14ac:dyDescent="0.25">
      <c r="A419" s="6" t="s">
        <v>551</v>
      </c>
      <c r="B419" s="6">
        <v>0.02</v>
      </c>
      <c r="C419" s="6">
        <v>0</v>
      </c>
      <c r="D419" s="6">
        <v>7.55</v>
      </c>
      <c r="E419" s="6">
        <v>302</v>
      </c>
    </row>
    <row r="420" spans="1:5" x14ac:dyDescent="0.25">
      <c r="A420" s="6" t="s">
        <v>170</v>
      </c>
      <c r="B420" s="6">
        <v>0.02</v>
      </c>
      <c r="C420" s="6">
        <v>0</v>
      </c>
      <c r="D420" s="6">
        <v>1.98</v>
      </c>
      <c r="E420" s="6">
        <v>61</v>
      </c>
    </row>
    <row r="421" spans="1:5" x14ac:dyDescent="0.25">
      <c r="A421" s="6" t="s">
        <v>691</v>
      </c>
      <c r="B421" s="6">
        <v>0.05</v>
      </c>
      <c r="C421" s="6">
        <v>0</v>
      </c>
      <c r="D421" s="6">
        <v>48.74</v>
      </c>
      <c r="E421" s="6">
        <v>709</v>
      </c>
    </row>
    <row r="422" spans="1:5" x14ac:dyDescent="0.25">
      <c r="A422" s="6" t="s">
        <v>675</v>
      </c>
      <c r="B422" s="6">
        <v>0.02</v>
      </c>
      <c r="C422" s="6">
        <v>0</v>
      </c>
      <c r="D422" s="6">
        <v>10.96</v>
      </c>
      <c r="E422" s="6">
        <v>371</v>
      </c>
    </row>
    <row r="423" spans="1:5" x14ac:dyDescent="0.25">
      <c r="A423" s="6" t="s">
        <v>625</v>
      </c>
      <c r="B423" s="6">
        <v>0.04</v>
      </c>
      <c r="C423" s="6">
        <v>0</v>
      </c>
      <c r="D423" s="6">
        <v>13.92</v>
      </c>
      <c r="E423" s="6">
        <v>401</v>
      </c>
    </row>
    <row r="424" spans="1:5" x14ac:dyDescent="0.25">
      <c r="A424" s="6" t="s">
        <v>134</v>
      </c>
      <c r="B424" s="6">
        <v>0.04</v>
      </c>
      <c r="C424" s="6">
        <v>0</v>
      </c>
      <c r="D424" s="6">
        <v>17.09</v>
      </c>
      <c r="E424" s="6">
        <v>313</v>
      </c>
    </row>
    <row r="425" spans="1:5" x14ac:dyDescent="0.25">
      <c r="A425" s="6" t="s">
        <v>282</v>
      </c>
      <c r="B425" s="6">
        <v>0.03</v>
      </c>
      <c r="C425" s="6">
        <v>0</v>
      </c>
      <c r="D425" s="6">
        <v>9.86</v>
      </c>
      <c r="E425" s="6">
        <v>348</v>
      </c>
    </row>
    <row r="426" spans="1:5" x14ac:dyDescent="0.25">
      <c r="A426" s="6" t="s">
        <v>815</v>
      </c>
      <c r="B426" s="6">
        <v>0.03</v>
      </c>
      <c r="C426" s="6">
        <v>0</v>
      </c>
      <c r="D426" s="6">
        <v>8.33</v>
      </c>
      <c r="E426" s="6">
        <v>236</v>
      </c>
    </row>
    <row r="427" spans="1:5" x14ac:dyDescent="0.25">
      <c r="A427" s="6" t="s">
        <v>642</v>
      </c>
      <c r="B427" s="6">
        <v>0.02</v>
      </c>
      <c r="C427" s="6">
        <v>0</v>
      </c>
      <c r="D427" s="6">
        <v>3.58</v>
      </c>
      <c r="E427" s="6">
        <v>186</v>
      </c>
    </row>
    <row r="428" spans="1:5" x14ac:dyDescent="0.25">
      <c r="A428" s="6" t="s">
        <v>469</v>
      </c>
      <c r="B428" s="6">
        <v>0.04</v>
      </c>
      <c r="C428" s="6">
        <v>0</v>
      </c>
      <c r="D428" s="6">
        <v>14.19</v>
      </c>
      <c r="E428" s="6">
        <v>326</v>
      </c>
    </row>
    <row r="429" spans="1:5" x14ac:dyDescent="0.25">
      <c r="A429" s="6" t="s">
        <v>399</v>
      </c>
      <c r="B429" s="6">
        <v>0.02</v>
      </c>
      <c r="C429" s="6">
        <v>0</v>
      </c>
      <c r="D429" s="6">
        <v>14.87</v>
      </c>
      <c r="E429" s="6">
        <v>553</v>
      </c>
    </row>
    <row r="430" spans="1:5" x14ac:dyDescent="0.25">
      <c r="A430" s="6" t="s">
        <v>116</v>
      </c>
      <c r="B430" s="6">
        <v>0.03</v>
      </c>
      <c r="C430" s="6">
        <v>0</v>
      </c>
      <c r="D430" s="6">
        <v>20.18</v>
      </c>
      <c r="E430" s="6">
        <v>508</v>
      </c>
    </row>
    <row r="431" spans="1:5" x14ac:dyDescent="0.25">
      <c r="A431" s="6" t="s">
        <v>427</v>
      </c>
      <c r="B431" s="6">
        <v>0.03</v>
      </c>
      <c r="C431" s="6">
        <v>0</v>
      </c>
      <c r="D431" s="6">
        <v>12.82</v>
      </c>
      <c r="E431" s="6">
        <v>324</v>
      </c>
    </row>
    <row r="432" spans="1:5" x14ac:dyDescent="0.25">
      <c r="A432" s="6" t="s">
        <v>933</v>
      </c>
      <c r="B432" s="6">
        <v>0.04</v>
      </c>
      <c r="C432" s="6">
        <v>0</v>
      </c>
      <c r="D432" s="6">
        <v>3.09</v>
      </c>
      <c r="E432" s="6">
        <v>128</v>
      </c>
    </row>
    <row r="433" spans="1:5" x14ac:dyDescent="0.25">
      <c r="A433" s="6" t="s">
        <v>280</v>
      </c>
      <c r="B433" s="6">
        <v>0.02</v>
      </c>
      <c r="C433" s="6">
        <v>0</v>
      </c>
      <c r="D433" s="6">
        <v>6.94</v>
      </c>
      <c r="E433" s="6">
        <v>255</v>
      </c>
    </row>
    <row r="434" spans="1:5" x14ac:dyDescent="0.25">
      <c r="A434" s="6" t="s">
        <v>140</v>
      </c>
      <c r="B434" s="6">
        <v>0.02</v>
      </c>
      <c r="C434" s="6">
        <v>0</v>
      </c>
      <c r="D434" s="6">
        <v>3.18</v>
      </c>
      <c r="E434" s="6">
        <v>124</v>
      </c>
    </row>
    <row r="435" spans="1:5" x14ac:dyDescent="0.25">
      <c r="A435" s="6" t="s">
        <v>648</v>
      </c>
      <c r="B435" s="6">
        <v>0.03</v>
      </c>
      <c r="C435" s="6">
        <v>0</v>
      </c>
      <c r="D435" s="6">
        <v>12.42</v>
      </c>
      <c r="E435" s="6">
        <v>355</v>
      </c>
    </row>
    <row r="436" spans="1:5" x14ac:dyDescent="0.25">
      <c r="A436" s="6" t="s">
        <v>521</v>
      </c>
      <c r="B436" s="6">
        <v>1.44</v>
      </c>
      <c r="C436" s="6">
        <v>34</v>
      </c>
      <c r="D436" s="6">
        <v>9.7100000000000009</v>
      </c>
      <c r="E436" s="6">
        <v>188</v>
      </c>
    </row>
    <row r="437" spans="1:5" x14ac:dyDescent="0.25">
      <c r="A437" s="6" t="s">
        <v>817</v>
      </c>
      <c r="B437" s="6">
        <v>0.02</v>
      </c>
      <c r="C437" s="6">
        <v>0</v>
      </c>
      <c r="D437" s="6">
        <v>10.8</v>
      </c>
      <c r="E437" s="6">
        <v>490</v>
      </c>
    </row>
    <row r="438" spans="1:5" x14ac:dyDescent="0.25">
      <c r="A438" s="6" t="s">
        <v>818</v>
      </c>
      <c r="B438" s="6">
        <v>0.21</v>
      </c>
      <c r="C438" s="6">
        <v>14</v>
      </c>
      <c r="D438" s="6">
        <v>8.5500000000000007</v>
      </c>
      <c r="E438" s="6">
        <v>309</v>
      </c>
    </row>
    <row r="439" spans="1:5" x14ac:dyDescent="0.25">
      <c r="A439" s="6" t="s">
        <v>114</v>
      </c>
      <c r="B439" s="6">
        <v>0.04</v>
      </c>
      <c r="C439" s="6">
        <v>0</v>
      </c>
      <c r="D439" s="6">
        <v>28.88</v>
      </c>
      <c r="E439" s="6">
        <v>629</v>
      </c>
    </row>
    <row r="440" spans="1:5" x14ac:dyDescent="0.25">
      <c r="A440" s="6" t="s">
        <v>213</v>
      </c>
      <c r="B440" s="6">
        <v>0.04</v>
      </c>
      <c r="C440" s="6">
        <v>0</v>
      </c>
      <c r="D440" s="6">
        <v>12.63</v>
      </c>
      <c r="E440" s="6">
        <v>373</v>
      </c>
    </row>
    <row r="441" spans="1:5" x14ac:dyDescent="0.25">
      <c r="A441" s="6" t="s">
        <v>652</v>
      </c>
      <c r="B441" s="6">
        <v>0.03</v>
      </c>
      <c r="C441" s="6">
        <v>0</v>
      </c>
      <c r="D441" s="6">
        <v>10.63</v>
      </c>
      <c r="E441" s="6">
        <v>312</v>
      </c>
    </row>
    <row r="442" spans="1:5" x14ac:dyDescent="0.25">
      <c r="A442" s="6" t="s">
        <v>136</v>
      </c>
      <c r="B442" s="6">
        <v>0.28000000000000003</v>
      </c>
      <c r="C442" s="6">
        <v>16</v>
      </c>
      <c r="D442" s="6">
        <v>10.65</v>
      </c>
      <c r="E442" s="6">
        <v>317</v>
      </c>
    </row>
    <row r="443" spans="1:5" x14ac:dyDescent="0.25">
      <c r="A443" s="6" t="s">
        <v>665</v>
      </c>
      <c r="B443" s="6">
        <v>0.03</v>
      </c>
      <c r="C443" s="6">
        <v>0</v>
      </c>
      <c r="D443" s="6">
        <v>4.9000000000000004</v>
      </c>
      <c r="E443" s="6">
        <v>164</v>
      </c>
    </row>
    <row r="444" spans="1:5" x14ac:dyDescent="0.25">
      <c r="A444" s="6" t="s">
        <v>328</v>
      </c>
      <c r="B444" s="6">
        <v>0.02</v>
      </c>
      <c r="C444" s="6">
        <v>0</v>
      </c>
      <c r="D444" s="6">
        <v>7.65</v>
      </c>
      <c r="E444" s="6">
        <v>259</v>
      </c>
    </row>
    <row r="445" spans="1:5" x14ac:dyDescent="0.25">
      <c r="A445" s="6" t="s">
        <v>293</v>
      </c>
      <c r="B445" s="6">
        <v>0.04</v>
      </c>
      <c r="C445" s="6">
        <v>0</v>
      </c>
      <c r="D445" s="6">
        <v>15.88</v>
      </c>
      <c r="E445" s="6">
        <v>313</v>
      </c>
    </row>
    <row r="446" spans="1:5" x14ac:dyDescent="0.25">
      <c r="A446" s="6" t="s">
        <v>996</v>
      </c>
      <c r="B446" s="6">
        <v>0.04</v>
      </c>
      <c r="C446" s="6">
        <v>0</v>
      </c>
      <c r="D446" s="6">
        <v>17.079999999999998</v>
      </c>
      <c r="E446" s="6">
        <v>393</v>
      </c>
    </row>
    <row r="447" spans="1:5" x14ac:dyDescent="0.25">
      <c r="A447" s="6" t="s">
        <v>193</v>
      </c>
      <c r="B447" s="6">
        <v>0.03</v>
      </c>
      <c r="C447" s="6">
        <v>0</v>
      </c>
      <c r="D447" s="6">
        <v>18.63</v>
      </c>
      <c r="E447" s="6">
        <v>456</v>
      </c>
    </row>
    <row r="448" spans="1:5" x14ac:dyDescent="0.25">
      <c r="A448" s="6" t="s">
        <v>510</v>
      </c>
      <c r="B448" s="6">
        <v>0.31</v>
      </c>
      <c r="C448" s="6">
        <v>19</v>
      </c>
      <c r="D448" s="6">
        <v>9.3000000000000007</v>
      </c>
      <c r="E448" s="6">
        <v>345</v>
      </c>
    </row>
    <row r="449" spans="1:5" x14ac:dyDescent="0.25">
      <c r="A449" s="6" t="s">
        <v>192</v>
      </c>
      <c r="B449" s="6">
        <v>0.03</v>
      </c>
      <c r="C449" s="6">
        <v>0</v>
      </c>
      <c r="D449" s="6">
        <v>8.44</v>
      </c>
      <c r="E449" s="6">
        <v>235</v>
      </c>
    </row>
    <row r="450" spans="1:5" x14ac:dyDescent="0.25">
      <c r="A450" s="6" t="s">
        <v>819</v>
      </c>
      <c r="B450" s="6">
        <v>0.04</v>
      </c>
      <c r="C450" s="6">
        <v>0</v>
      </c>
      <c r="D450" s="6">
        <v>17.059999999999999</v>
      </c>
      <c r="E450" s="6">
        <v>296</v>
      </c>
    </row>
    <row r="451" spans="1:5" x14ac:dyDescent="0.25">
      <c r="A451" s="6" t="s">
        <v>162</v>
      </c>
      <c r="B451" s="6">
        <v>0.03</v>
      </c>
      <c r="C451" s="6">
        <v>0</v>
      </c>
      <c r="D451" s="6">
        <v>11.63</v>
      </c>
      <c r="E451" s="6">
        <v>321</v>
      </c>
    </row>
    <row r="452" spans="1:5" x14ac:dyDescent="0.25">
      <c r="A452" s="6" t="s">
        <v>135</v>
      </c>
      <c r="B452" s="6">
        <v>0.04</v>
      </c>
      <c r="C452" s="6">
        <v>0</v>
      </c>
      <c r="D452" s="6">
        <v>18.79</v>
      </c>
      <c r="E452" s="6">
        <v>709</v>
      </c>
    </row>
    <row r="453" spans="1:5" x14ac:dyDescent="0.25">
      <c r="A453" s="6" t="s">
        <v>499</v>
      </c>
      <c r="B453" s="6">
        <v>0.04</v>
      </c>
      <c r="C453" s="6">
        <v>0</v>
      </c>
      <c r="D453" s="6">
        <v>16.170000000000002</v>
      </c>
      <c r="E453" s="6">
        <v>396</v>
      </c>
    </row>
    <row r="454" spans="1:5" x14ac:dyDescent="0.25">
      <c r="A454" s="6" t="s">
        <v>178</v>
      </c>
      <c r="B454" s="6">
        <v>0.22</v>
      </c>
      <c r="C454" s="6">
        <v>13</v>
      </c>
      <c r="D454" s="6">
        <v>3.47</v>
      </c>
      <c r="E454" s="6">
        <v>132</v>
      </c>
    </row>
    <row r="455" spans="1:5" x14ac:dyDescent="0.25">
      <c r="A455" s="6" t="s">
        <v>934</v>
      </c>
      <c r="B455" s="6">
        <v>0.03</v>
      </c>
      <c r="C455" s="6">
        <v>0</v>
      </c>
      <c r="D455" s="6">
        <v>15.03</v>
      </c>
      <c r="E455" s="6">
        <v>335</v>
      </c>
    </row>
    <row r="456" spans="1:5" x14ac:dyDescent="0.25">
      <c r="A456" s="6" t="s">
        <v>285</v>
      </c>
      <c r="B456" s="6">
        <v>0.03</v>
      </c>
      <c r="C456" s="6">
        <v>0</v>
      </c>
      <c r="D456" s="6">
        <v>13</v>
      </c>
      <c r="E456" s="6">
        <v>373</v>
      </c>
    </row>
    <row r="457" spans="1:5" x14ac:dyDescent="0.25">
      <c r="A457" s="6" t="s">
        <v>415</v>
      </c>
      <c r="B457" s="6">
        <v>0.56999999999999995</v>
      </c>
      <c r="C457" s="6">
        <v>17</v>
      </c>
      <c r="D457" s="6">
        <v>13.03</v>
      </c>
      <c r="E457" s="6">
        <v>293</v>
      </c>
    </row>
    <row r="458" spans="1:5" x14ac:dyDescent="0.25">
      <c r="A458" s="6" t="s">
        <v>14</v>
      </c>
      <c r="B458" s="6">
        <v>0.02</v>
      </c>
      <c r="C458" s="6">
        <v>0</v>
      </c>
      <c r="D458" s="6">
        <v>5.54</v>
      </c>
      <c r="E458" s="6">
        <v>172</v>
      </c>
    </row>
    <row r="459" spans="1:5" x14ac:dyDescent="0.25">
      <c r="A459" s="6" t="s">
        <v>516</v>
      </c>
      <c r="B459" s="6">
        <v>0.19</v>
      </c>
      <c r="C459" s="6">
        <v>15</v>
      </c>
      <c r="D459" s="6">
        <v>7.69</v>
      </c>
      <c r="E459" s="6">
        <v>305</v>
      </c>
    </row>
    <row r="460" spans="1:5" x14ac:dyDescent="0.25">
      <c r="A460" s="6" t="s">
        <v>661</v>
      </c>
      <c r="B460" s="6">
        <v>0.03</v>
      </c>
      <c r="C460" s="6">
        <v>0</v>
      </c>
      <c r="D460" s="6">
        <v>12.83</v>
      </c>
      <c r="E460" s="6">
        <v>428</v>
      </c>
    </row>
    <row r="461" spans="1:5" x14ac:dyDescent="0.25">
      <c r="A461" s="6" t="s">
        <v>189</v>
      </c>
      <c r="B461" s="6">
        <v>0.06</v>
      </c>
      <c r="C461" s="6">
        <v>0</v>
      </c>
      <c r="D461" s="6">
        <v>11.82</v>
      </c>
      <c r="E461" s="6">
        <v>253</v>
      </c>
    </row>
    <row r="462" spans="1:5" x14ac:dyDescent="0.25">
      <c r="A462" s="6" t="s">
        <v>75</v>
      </c>
      <c r="B462" s="6">
        <v>0.03</v>
      </c>
      <c r="C462" s="6">
        <v>0</v>
      </c>
      <c r="D462" s="6">
        <v>11.87</v>
      </c>
      <c r="E462" s="6">
        <v>322</v>
      </c>
    </row>
    <row r="463" spans="1:5" x14ac:dyDescent="0.25">
      <c r="A463" s="6" t="s">
        <v>821</v>
      </c>
      <c r="B463" s="6">
        <v>0.03</v>
      </c>
      <c r="C463" s="6">
        <v>0</v>
      </c>
      <c r="D463" s="6">
        <v>14.59</v>
      </c>
      <c r="E463" s="6">
        <v>282</v>
      </c>
    </row>
    <row r="464" spans="1:5" x14ac:dyDescent="0.25">
      <c r="A464" s="6" t="s">
        <v>822</v>
      </c>
      <c r="B464" s="6">
        <v>0.03</v>
      </c>
      <c r="C464" s="6">
        <v>0</v>
      </c>
      <c r="D464" s="6">
        <v>5.83</v>
      </c>
      <c r="E464" s="6">
        <v>185</v>
      </c>
    </row>
    <row r="465" spans="1:5" x14ac:dyDescent="0.25">
      <c r="A465" s="6" t="s">
        <v>58</v>
      </c>
      <c r="B465" s="6">
        <v>0.46</v>
      </c>
      <c r="C465" s="6">
        <v>27</v>
      </c>
      <c r="D465" s="6">
        <v>5.37</v>
      </c>
      <c r="E465" s="6">
        <v>211</v>
      </c>
    </row>
    <row r="466" spans="1:5" x14ac:dyDescent="0.25">
      <c r="A466" s="6" t="s">
        <v>322</v>
      </c>
      <c r="B466" s="6">
        <v>0.02</v>
      </c>
      <c r="C466" s="6">
        <v>0</v>
      </c>
      <c r="D466" s="6">
        <v>7.15</v>
      </c>
      <c r="E466" s="6">
        <v>222</v>
      </c>
    </row>
    <row r="467" spans="1:5" x14ac:dyDescent="0.25">
      <c r="A467" s="6" t="s">
        <v>682</v>
      </c>
      <c r="B467" s="6">
        <v>0.02</v>
      </c>
      <c r="C467" s="6">
        <v>0</v>
      </c>
      <c r="D467" s="6">
        <v>3.25</v>
      </c>
      <c r="E467" s="6">
        <v>91</v>
      </c>
    </row>
    <row r="468" spans="1:5" x14ac:dyDescent="0.25">
      <c r="A468" s="6" t="s">
        <v>747</v>
      </c>
      <c r="B468" s="6">
        <v>0.02</v>
      </c>
      <c r="C468" s="6">
        <v>0</v>
      </c>
      <c r="D468" s="6">
        <v>3.39</v>
      </c>
      <c r="E468" s="6">
        <v>121</v>
      </c>
    </row>
    <row r="469" spans="1:5" x14ac:dyDescent="0.25">
      <c r="A469" s="6" t="s">
        <v>73</v>
      </c>
      <c r="B469" s="6">
        <v>0.04</v>
      </c>
      <c r="C469" s="6">
        <v>0</v>
      </c>
      <c r="D469" s="6">
        <v>17.62</v>
      </c>
      <c r="E469" s="6">
        <v>499</v>
      </c>
    </row>
    <row r="470" spans="1:5" x14ac:dyDescent="0.25">
      <c r="A470" s="6" t="s">
        <v>191</v>
      </c>
      <c r="B470" s="6">
        <v>0.02</v>
      </c>
      <c r="C470" s="6">
        <v>0</v>
      </c>
      <c r="D470" s="6">
        <v>9.52</v>
      </c>
      <c r="E470" s="6">
        <v>432</v>
      </c>
    </row>
    <row r="471" spans="1:5" x14ac:dyDescent="0.25">
      <c r="A471" s="6" t="s">
        <v>562</v>
      </c>
      <c r="B471" s="6">
        <v>0.09</v>
      </c>
      <c r="C471" s="6">
        <v>0</v>
      </c>
      <c r="D471" s="6">
        <v>24.33</v>
      </c>
      <c r="E471" s="6">
        <v>533</v>
      </c>
    </row>
    <row r="472" spans="1:5" x14ac:dyDescent="0.25">
      <c r="A472" s="6" t="s">
        <v>526</v>
      </c>
      <c r="B472" s="6">
        <v>0.03</v>
      </c>
      <c r="C472" s="6">
        <v>0</v>
      </c>
      <c r="D472" s="6">
        <v>9.49</v>
      </c>
      <c r="E472" s="6">
        <v>334</v>
      </c>
    </row>
    <row r="473" spans="1:5" x14ac:dyDescent="0.25">
      <c r="A473" s="6" t="s">
        <v>503</v>
      </c>
      <c r="B473" s="6">
        <v>0.04</v>
      </c>
      <c r="C473" s="6">
        <v>0</v>
      </c>
      <c r="D473" s="6">
        <v>18.04</v>
      </c>
      <c r="E473" s="6">
        <v>371</v>
      </c>
    </row>
    <row r="474" spans="1:5" x14ac:dyDescent="0.25">
      <c r="A474" s="6" t="s">
        <v>699</v>
      </c>
      <c r="B474" s="6">
        <v>0.02</v>
      </c>
      <c r="C474" s="6">
        <v>0</v>
      </c>
      <c r="D474" s="6">
        <v>5.7</v>
      </c>
      <c r="E474" s="6">
        <v>195</v>
      </c>
    </row>
    <row r="475" spans="1:5" x14ac:dyDescent="0.25">
      <c r="A475" s="6" t="s">
        <v>288</v>
      </c>
      <c r="B475" s="6">
        <v>0.03</v>
      </c>
      <c r="C475" s="6">
        <v>0</v>
      </c>
      <c r="D475" s="6">
        <v>7.16</v>
      </c>
      <c r="E475" s="6">
        <v>191</v>
      </c>
    </row>
    <row r="476" spans="1:5" x14ac:dyDescent="0.25">
      <c r="A476" s="6" t="s">
        <v>454</v>
      </c>
      <c r="B476" s="6">
        <v>0.04</v>
      </c>
      <c r="C476" s="6">
        <v>0</v>
      </c>
      <c r="D476" s="6">
        <v>15.49</v>
      </c>
      <c r="E476" s="6">
        <v>463</v>
      </c>
    </row>
    <row r="477" spans="1:5" x14ac:dyDescent="0.25">
      <c r="A477" s="6" t="s">
        <v>935</v>
      </c>
      <c r="B477" s="6">
        <v>0.04</v>
      </c>
      <c r="C477" s="6">
        <v>0</v>
      </c>
      <c r="D477" s="6">
        <v>19.78</v>
      </c>
      <c r="E477" s="6">
        <v>593</v>
      </c>
    </row>
    <row r="478" spans="1:5" x14ac:dyDescent="0.25">
      <c r="A478" s="6" t="s">
        <v>743</v>
      </c>
      <c r="B478" s="6">
        <v>0.04</v>
      </c>
      <c r="C478" s="6">
        <v>0</v>
      </c>
      <c r="D478" s="6">
        <v>15.42</v>
      </c>
      <c r="E478" s="6">
        <v>454</v>
      </c>
    </row>
    <row r="479" spans="1:5" x14ac:dyDescent="0.25">
      <c r="A479" s="6" t="s">
        <v>506</v>
      </c>
      <c r="B479" s="6">
        <v>0.04</v>
      </c>
      <c r="C479" s="6">
        <v>0</v>
      </c>
      <c r="D479" s="6">
        <v>12.34</v>
      </c>
      <c r="E479" s="6">
        <v>248</v>
      </c>
    </row>
    <row r="480" spans="1:5" x14ac:dyDescent="0.25">
      <c r="A480" s="6" t="s">
        <v>823</v>
      </c>
      <c r="B480" s="6">
        <v>0.05</v>
      </c>
      <c r="C480" s="6">
        <v>0</v>
      </c>
      <c r="D480" s="6">
        <v>13.72</v>
      </c>
      <c r="E480" s="6">
        <v>324</v>
      </c>
    </row>
    <row r="481" spans="1:5" x14ac:dyDescent="0.25">
      <c r="A481" s="6" t="s">
        <v>357</v>
      </c>
      <c r="B481" s="6">
        <v>0.03</v>
      </c>
      <c r="C481" s="6">
        <v>0</v>
      </c>
      <c r="D481" s="6">
        <v>10.33</v>
      </c>
      <c r="E481" s="6">
        <v>298</v>
      </c>
    </row>
    <row r="482" spans="1:5" x14ac:dyDescent="0.25">
      <c r="A482" s="6" t="s">
        <v>69</v>
      </c>
      <c r="B482" s="6">
        <v>0.03</v>
      </c>
      <c r="C482" s="6">
        <v>0</v>
      </c>
      <c r="D482" s="6">
        <v>10.36</v>
      </c>
      <c r="E482" s="6">
        <v>289</v>
      </c>
    </row>
    <row r="483" spans="1:5" x14ac:dyDescent="0.25">
      <c r="A483" s="6" t="s">
        <v>269</v>
      </c>
      <c r="B483" s="6">
        <v>0.03</v>
      </c>
      <c r="C483" s="6">
        <v>0</v>
      </c>
      <c r="D483" s="6">
        <v>12.64</v>
      </c>
      <c r="E483" s="6">
        <v>407</v>
      </c>
    </row>
    <row r="484" spans="1:5" x14ac:dyDescent="0.25">
      <c r="A484" s="6" t="s">
        <v>824</v>
      </c>
      <c r="B484" s="6">
        <v>0.3</v>
      </c>
      <c r="C484" s="6">
        <v>20</v>
      </c>
      <c r="D484" s="6">
        <v>13.53</v>
      </c>
      <c r="E484" s="6">
        <v>479</v>
      </c>
    </row>
    <row r="485" spans="1:5" x14ac:dyDescent="0.25">
      <c r="A485" s="6" t="s">
        <v>739</v>
      </c>
      <c r="B485" s="6">
        <v>0.02</v>
      </c>
      <c r="C485" s="6">
        <v>0</v>
      </c>
      <c r="D485" s="6">
        <v>4.47</v>
      </c>
      <c r="E485" s="6">
        <v>173</v>
      </c>
    </row>
    <row r="486" spans="1:5" x14ac:dyDescent="0.25">
      <c r="A486" s="6" t="s">
        <v>431</v>
      </c>
      <c r="B486" s="6">
        <v>0.02</v>
      </c>
      <c r="C486" s="6">
        <v>0</v>
      </c>
      <c r="D486" s="6">
        <v>4.45</v>
      </c>
      <c r="E486" s="6">
        <v>169</v>
      </c>
    </row>
    <row r="487" spans="1:5" x14ac:dyDescent="0.25">
      <c r="A487" s="6" t="s">
        <v>36</v>
      </c>
      <c r="B487" s="6">
        <v>0.02</v>
      </c>
      <c r="C487" s="6">
        <v>0</v>
      </c>
      <c r="D487" s="6">
        <v>8.02</v>
      </c>
      <c r="E487" s="6">
        <v>383</v>
      </c>
    </row>
    <row r="488" spans="1:5" x14ac:dyDescent="0.25">
      <c r="A488" s="6" t="s">
        <v>586</v>
      </c>
      <c r="B488" s="6">
        <v>0.03</v>
      </c>
      <c r="C488" s="6">
        <v>0</v>
      </c>
      <c r="D488" s="6">
        <v>12.35</v>
      </c>
      <c r="E488" s="6">
        <v>352</v>
      </c>
    </row>
    <row r="489" spans="1:5" x14ac:dyDescent="0.25">
      <c r="A489" s="6" t="s">
        <v>397</v>
      </c>
      <c r="B489" s="6">
        <v>0.8</v>
      </c>
      <c r="C489" s="6">
        <v>39</v>
      </c>
      <c r="D489" s="6">
        <v>10.81</v>
      </c>
      <c r="E489" s="6">
        <v>254</v>
      </c>
    </row>
    <row r="490" spans="1:5" x14ac:dyDescent="0.25">
      <c r="A490" s="6" t="s">
        <v>443</v>
      </c>
      <c r="B490" s="6">
        <v>0.02</v>
      </c>
      <c r="C490" s="6">
        <v>0</v>
      </c>
      <c r="D490" s="6">
        <v>4.67</v>
      </c>
      <c r="E490" s="6">
        <v>186</v>
      </c>
    </row>
    <row r="491" spans="1:5" x14ac:dyDescent="0.25">
      <c r="A491" s="6" t="s">
        <v>261</v>
      </c>
      <c r="B491" s="6">
        <v>0.02</v>
      </c>
      <c r="C491" s="6">
        <v>0</v>
      </c>
      <c r="D491" s="6">
        <v>3.07</v>
      </c>
      <c r="E491" s="6">
        <v>99</v>
      </c>
    </row>
    <row r="492" spans="1:5" x14ac:dyDescent="0.25">
      <c r="A492" s="6" t="s">
        <v>718</v>
      </c>
      <c r="B492" s="6">
        <v>0.36</v>
      </c>
      <c r="C492" s="6">
        <v>21</v>
      </c>
      <c r="D492" s="6">
        <v>2.7</v>
      </c>
      <c r="E492" s="6">
        <v>96</v>
      </c>
    </row>
    <row r="493" spans="1:5" x14ac:dyDescent="0.25">
      <c r="A493" s="6" t="s">
        <v>825</v>
      </c>
      <c r="B493" s="6">
        <v>0.42</v>
      </c>
      <c r="C493" s="6">
        <v>0</v>
      </c>
      <c r="D493" s="6">
        <v>46.46</v>
      </c>
      <c r="E493" s="6">
        <v>680</v>
      </c>
    </row>
    <row r="494" spans="1:5" x14ac:dyDescent="0.25">
      <c r="A494" s="6" t="s">
        <v>50</v>
      </c>
      <c r="B494" s="6">
        <v>0.03</v>
      </c>
      <c r="C494" s="6">
        <v>0</v>
      </c>
      <c r="D494" s="6">
        <v>28.8</v>
      </c>
      <c r="E494" s="6">
        <v>650</v>
      </c>
    </row>
    <row r="495" spans="1:5" x14ac:dyDescent="0.25">
      <c r="A495" s="6" t="s">
        <v>826</v>
      </c>
      <c r="B495" s="6">
        <v>0.71</v>
      </c>
      <c r="C495" s="6">
        <v>20</v>
      </c>
      <c r="D495" s="6">
        <v>13.14</v>
      </c>
      <c r="E495" s="6">
        <v>239</v>
      </c>
    </row>
    <row r="496" spans="1:5" x14ac:dyDescent="0.25">
      <c r="A496" s="6" t="s">
        <v>120</v>
      </c>
      <c r="B496" s="6">
        <v>0.02</v>
      </c>
      <c r="C496" s="6">
        <v>0</v>
      </c>
      <c r="D496" s="6">
        <v>4.9000000000000004</v>
      </c>
      <c r="E496" s="6">
        <v>184</v>
      </c>
    </row>
    <row r="497" spans="1:5" x14ac:dyDescent="0.25">
      <c r="A497" s="6" t="s">
        <v>662</v>
      </c>
      <c r="B497" s="6">
        <v>0.02</v>
      </c>
      <c r="C497" s="6">
        <v>0</v>
      </c>
      <c r="D497" s="6">
        <v>6.02</v>
      </c>
      <c r="E497" s="6">
        <v>213</v>
      </c>
    </row>
    <row r="498" spans="1:5" x14ac:dyDescent="0.25">
      <c r="A498" s="6" t="s">
        <v>333</v>
      </c>
      <c r="B498" s="6">
        <v>0.03</v>
      </c>
      <c r="C498" s="6">
        <v>0</v>
      </c>
      <c r="D498" s="6">
        <v>2.96</v>
      </c>
      <c r="E498" s="6">
        <v>44</v>
      </c>
    </row>
    <row r="499" spans="1:5" x14ac:dyDescent="0.25">
      <c r="A499" s="6" t="s">
        <v>67</v>
      </c>
      <c r="B499" s="6">
        <v>0.03</v>
      </c>
      <c r="C499" s="6">
        <v>0</v>
      </c>
      <c r="D499" s="6">
        <v>5.42</v>
      </c>
      <c r="E499" s="6">
        <v>145</v>
      </c>
    </row>
    <row r="500" spans="1:5" x14ac:dyDescent="0.25">
      <c r="A500" s="6" t="s">
        <v>225</v>
      </c>
      <c r="B500" s="6">
        <v>0.65</v>
      </c>
      <c r="C500" s="6">
        <v>31</v>
      </c>
      <c r="D500" s="6">
        <v>15.89</v>
      </c>
      <c r="E500" s="6">
        <v>472</v>
      </c>
    </row>
    <row r="501" spans="1:5" x14ac:dyDescent="0.25">
      <c r="A501" s="6" t="s">
        <v>591</v>
      </c>
      <c r="B501" s="6">
        <v>0.56999999999999995</v>
      </c>
      <c r="C501" s="6">
        <v>20</v>
      </c>
      <c r="D501" s="6">
        <v>12.82</v>
      </c>
      <c r="E501" s="6">
        <v>385</v>
      </c>
    </row>
    <row r="502" spans="1:5" x14ac:dyDescent="0.25">
      <c r="A502" s="6" t="s">
        <v>827</v>
      </c>
      <c r="B502" s="6">
        <v>0.02</v>
      </c>
      <c r="C502" s="6">
        <v>0</v>
      </c>
      <c r="D502" s="6">
        <v>7.54</v>
      </c>
      <c r="E502" s="6">
        <v>291</v>
      </c>
    </row>
    <row r="503" spans="1:5" x14ac:dyDescent="0.25">
      <c r="A503" s="6" t="s">
        <v>987</v>
      </c>
      <c r="B503" s="6">
        <v>0.37</v>
      </c>
      <c r="C503" s="6">
        <v>0</v>
      </c>
      <c r="D503" s="6">
        <v>27.86</v>
      </c>
      <c r="E503" s="6">
        <v>379</v>
      </c>
    </row>
    <row r="504" spans="1:5" x14ac:dyDescent="0.25">
      <c r="A504" s="6" t="s">
        <v>440</v>
      </c>
      <c r="B504" s="6">
        <v>0.02</v>
      </c>
      <c r="C504" s="6">
        <v>0</v>
      </c>
      <c r="D504" s="6">
        <v>4.37</v>
      </c>
      <c r="E504" s="6">
        <v>154</v>
      </c>
    </row>
    <row r="505" spans="1:5" x14ac:dyDescent="0.25">
      <c r="A505" s="6" t="s">
        <v>126</v>
      </c>
      <c r="B505" s="6">
        <v>0.02</v>
      </c>
      <c r="C505" s="6">
        <v>0</v>
      </c>
      <c r="D505" s="6">
        <v>6.27</v>
      </c>
      <c r="E505" s="6">
        <v>216</v>
      </c>
    </row>
    <row r="506" spans="1:5" x14ac:dyDescent="0.25">
      <c r="A506" s="6" t="s">
        <v>702</v>
      </c>
      <c r="B506" s="6">
        <v>0.03</v>
      </c>
      <c r="C506" s="6">
        <v>0</v>
      </c>
      <c r="D506" s="6">
        <v>14.14</v>
      </c>
      <c r="E506" s="6">
        <v>444</v>
      </c>
    </row>
    <row r="507" spans="1:5" x14ac:dyDescent="0.25">
      <c r="A507" s="6" t="s">
        <v>107</v>
      </c>
      <c r="B507" s="6">
        <v>0.04</v>
      </c>
      <c r="C507" s="6">
        <v>0</v>
      </c>
      <c r="D507" s="6">
        <v>18.98</v>
      </c>
      <c r="E507" s="6">
        <v>285</v>
      </c>
    </row>
    <row r="508" spans="1:5" x14ac:dyDescent="0.25">
      <c r="A508" s="6" t="s">
        <v>42</v>
      </c>
      <c r="B508" s="6">
        <v>0.04</v>
      </c>
      <c r="C508" s="6">
        <v>0</v>
      </c>
      <c r="D508" s="6">
        <v>15.64</v>
      </c>
      <c r="E508" s="6">
        <v>418</v>
      </c>
    </row>
    <row r="509" spans="1:5" x14ac:dyDescent="0.25">
      <c r="A509" s="6" t="s">
        <v>724</v>
      </c>
      <c r="B509" s="6">
        <v>0.02</v>
      </c>
      <c r="C509" s="6">
        <v>0</v>
      </c>
      <c r="D509" s="6">
        <v>6.81</v>
      </c>
      <c r="E509" s="6">
        <v>202</v>
      </c>
    </row>
    <row r="510" spans="1:5" x14ac:dyDescent="0.25">
      <c r="A510" s="6" t="s">
        <v>828</v>
      </c>
      <c r="B510" s="6">
        <v>0.02</v>
      </c>
      <c r="C510" s="6">
        <v>0</v>
      </c>
      <c r="D510" s="6">
        <v>7.77</v>
      </c>
      <c r="E510" s="6">
        <v>247</v>
      </c>
    </row>
    <row r="511" spans="1:5" x14ac:dyDescent="0.25">
      <c r="A511" s="6" t="s">
        <v>989</v>
      </c>
      <c r="B511" s="6">
        <v>0.04</v>
      </c>
      <c r="C511" s="6">
        <v>0</v>
      </c>
      <c r="D511" s="6">
        <v>12.41</v>
      </c>
      <c r="E511" s="6">
        <v>317</v>
      </c>
    </row>
    <row r="512" spans="1:5" x14ac:dyDescent="0.25">
      <c r="A512" s="6" t="s">
        <v>741</v>
      </c>
      <c r="B512" s="6">
        <v>0.03</v>
      </c>
      <c r="C512" s="6">
        <v>0</v>
      </c>
      <c r="D512" s="6">
        <v>11.15</v>
      </c>
      <c r="E512" s="6">
        <v>257</v>
      </c>
    </row>
    <row r="513" spans="1:5" x14ac:dyDescent="0.25">
      <c r="A513" s="6" t="s">
        <v>738</v>
      </c>
      <c r="B513" s="6">
        <v>0.02</v>
      </c>
      <c r="C513" s="6">
        <v>0</v>
      </c>
      <c r="D513" s="6">
        <v>4.16</v>
      </c>
      <c r="E513" s="6">
        <v>178</v>
      </c>
    </row>
    <row r="514" spans="1:5" x14ac:dyDescent="0.25">
      <c r="A514" s="6" t="s">
        <v>543</v>
      </c>
      <c r="B514" s="6">
        <v>0.05</v>
      </c>
      <c r="C514" s="6">
        <v>0</v>
      </c>
      <c r="D514" s="6">
        <v>10.61</v>
      </c>
      <c r="E514" s="6">
        <v>262</v>
      </c>
    </row>
    <row r="515" spans="1:5" x14ac:dyDescent="0.25">
      <c r="A515" s="6" t="s">
        <v>737</v>
      </c>
      <c r="B515" s="6">
        <v>0.4</v>
      </c>
      <c r="C515" s="6">
        <v>19</v>
      </c>
      <c r="D515" s="6">
        <v>9.48</v>
      </c>
      <c r="E515" s="6">
        <v>231</v>
      </c>
    </row>
    <row r="516" spans="1:5" x14ac:dyDescent="0.25">
      <c r="A516" s="6" t="s">
        <v>383</v>
      </c>
      <c r="B516" s="6">
        <v>0.02</v>
      </c>
      <c r="C516" s="6">
        <v>0</v>
      </c>
      <c r="D516" s="6">
        <v>9.7799999999999994</v>
      </c>
      <c r="E516" s="6">
        <v>275</v>
      </c>
    </row>
    <row r="517" spans="1:5" x14ac:dyDescent="0.25">
      <c r="A517" s="6" t="s">
        <v>97</v>
      </c>
      <c r="B517" s="6">
        <v>0.03</v>
      </c>
      <c r="C517" s="6">
        <v>0</v>
      </c>
      <c r="D517" s="6">
        <v>15.73</v>
      </c>
      <c r="E517" s="6">
        <v>385</v>
      </c>
    </row>
    <row r="518" spans="1:5" x14ac:dyDescent="0.25">
      <c r="A518" s="6" t="s">
        <v>829</v>
      </c>
      <c r="B518" s="6">
        <v>0.03</v>
      </c>
      <c r="C518" s="6">
        <v>0</v>
      </c>
      <c r="D518" s="6">
        <v>8.31</v>
      </c>
      <c r="E518" s="6">
        <v>283</v>
      </c>
    </row>
    <row r="519" spans="1:5" x14ac:dyDescent="0.25">
      <c r="A519" s="6" t="s">
        <v>196</v>
      </c>
      <c r="B519" s="6">
        <v>0.37</v>
      </c>
      <c r="C519" s="6">
        <v>25</v>
      </c>
      <c r="D519" s="6">
        <v>4.28</v>
      </c>
      <c r="E519" s="6">
        <v>174</v>
      </c>
    </row>
    <row r="520" spans="1:5" x14ac:dyDescent="0.25">
      <c r="A520" s="6" t="s">
        <v>830</v>
      </c>
      <c r="B520" s="6">
        <v>0.04</v>
      </c>
      <c r="C520" s="6">
        <v>0</v>
      </c>
      <c r="D520" s="6">
        <v>23.9</v>
      </c>
      <c r="E520" s="6">
        <v>433</v>
      </c>
    </row>
    <row r="521" spans="1:5" x14ac:dyDescent="0.25">
      <c r="A521" s="6" t="s">
        <v>831</v>
      </c>
      <c r="B521" s="6">
        <v>0.65</v>
      </c>
      <c r="C521" s="6">
        <v>29</v>
      </c>
      <c r="D521" s="6">
        <v>12.12</v>
      </c>
      <c r="E521" s="6">
        <v>327</v>
      </c>
    </row>
    <row r="522" spans="1:5" x14ac:dyDescent="0.25">
      <c r="A522" s="6" t="s">
        <v>129</v>
      </c>
      <c r="B522" s="6">
        <v>0.03</v>
      </c>
      <c r="C522" s="6">
        <v>0</v>
      </c>
      <c r="D522" s="6">
        <v>14.35</v>
      </c>
      <c r="E522" s="6">
        <v>475</v>
      </c>
    </row>
    <row r="523" spans="1:5" x14ac:dyDescent="0.25">
      <c r="A523" s="6" t="s">
        <v>228</v>
      </c>
      <c r="B523" s="6">
        <v>0.5</v>
      </c>
      <c r="C523" s="6">
        <v>24</v>
      </c>
      <c r="D523" s="6">
        <v>4.79</v>
      </c>
      <c r="E523" s="6">
        <v>132</v>
      </c>
    </row>
    <row r="524" spans="1:5" x14ac:dyDescent="0.25">
      <c r="A524" s="6" t="s">
        <v>658</v>
      </c>
      <c r="B524" s="6">
        <v>0.04</v>
      </c>
      <c r="C524" s="6">
        <v>0</v>
      </c>
      <c r="D524" s="6">
        <v>25.98</v>
      </c>
      <c r="E524" s="6">
        <v>537</v>
      </c>
    </row>
    <row r="525" spans="1:5" x14ac:dyDescent="0.25">
      <c r="A525" s="6" t="s">
        <v>617</v>
      </c>
      <c r="B525" s="6">
        <v>0.02</v>
      </c>
      <c r="C525" s="6">
        <v>0</v>
      </c>
      <c r="D525" s="6">
        <v>10.6</v>
      </c>
      <c r="E525" s="6">
        <v>388</v>
      </c>
    </row>
    <row r="526" spans="1:5" x14ac:dyDescent="0.25">
      <c r="A526" s="6" t="s">
        <v>832</v>
      </c>
      <c r="B526" s="6">
        <v>0.39</v>
      </c>
      <c r="C526" s="6">
        <v>0</v>
      </c>
      <c r="D526" s="6">
        <v>44.85</v>
      </c>
      <c r="E526" s="6">
        <v>678</v>
      </c>
    </row>
    <row r="527" spans="1:5" x14ac:dyDescent="0.25">
      <c r="A527" s="6" t="s">
        <v>833</v>
      </c>
      <c r="B527" s="6">
        <v>0.02</v>
      </c>
      <c r="C527" s="6">
        <v>0</v>
      </c>
      <c r="D527" s="6">
        <v>12.54</v>
      </c>
      <c r="E527" s="6">
        <v>403</v>
      </c>
    </row>
    <row r="528" spans="1:5" x14ac:dyDescent="0.25">
      <c r="A528" s="6" t="s">
        <v>39</v>
      </c>
      <c r="B528" s="6">
        <v>0.02</v>
      </c>
      <c r="C528" s="6">
        <v>0</v>
      </c>
      <c r="D528" s="6">
        <v>5.35</v>
      </c>
      <c r="E528" s="6">
        <v>165</v>
      </c>
    </row>
    <row r="529" spans="1:5" x14ac:dyDescent="0.25">
      <c r="A529" s="6" t="s">
        <v>188</v>
      </c>
      <c r="B529" s="6">
        <v>0.03</v>
      </c>
      <c r="C529" s="6">
        <v>0</v>
      </c>
      <c r="D529" s="6">
        <v>7.67</v>
      </c>
      <c r="E529" s="6">
        <v>193</v>
      </c>
    </row>
    <row r="530" spans="1:5" x14ac:dyDescent="0.25">
      <c r="A530" s="6" t="s">
        <v>689</v>
      </c>
      <c r="B530" s="6">
        <v>0.03</v>
      </c>
      <c r="C530" s="6">
        <v>0</v>
      </c>
      <c r="D530" s="6">
        <v>7.36</v>
      </c>
      <c r="E530" s="6">
        <v>185</v>
      </c>
    </row>
    <row r="531" spans="1:5" x14ac:dyDescent="0.25">
      <c r="A531" s="6" t="s">
        <v>834</v>
      </c>
      <c r="B531" s="6">
        <v>0.28000000000000003</v>
      </c>
      <c r="C531" s="6">
        <v>19</v>
      </c>
      <c r="D531" s="6">
        <v>6.2</v>
      </c>
      <c r="E531" s="6">
        <v>190</v>
      </c>
    </row>
    <row r="532" spans="1:5" x14ac:dyDescent="0.25">
      <c r="A532" s="6" t="s">
        <v>559</v>
      </c>
      <c r="B532" s="6">
        <v>0.03</v>
      </c>
      <c r="C532" s="6">
        <v>0</v>
      </c>
      <c r="D532" s="6">
        <v>5.67</v>
      </c>
      <c r="E532" s="6">
        <v>177</v>
      </c>
    </row>
    <row r="533" spans="1:5" x14ac:dyDescent="0.25">
      <c r="A533" s="6" t="s">
        <v>370</v>
      </c>
      <c r="B533" s="6">
        <v>0.03</v>
      </c>
      <c r="C533" s="6">
        <v>0</v>
      </c>
      <c r="D533" s="6">
        <v>8.3800000000000008</v>
      </c>
      <c r="E533" s="6">
        <v>215</v>
      </c>
    </row>
    <row r="534" spans="1:5" x14ac:dyDescent="0.25">
      <c r="A534" s="6" t="s">
        <v>835</v>
      </c>
      <c r="B534" s="6">
        <v>0.04</v>
      </c>
      <c r="C534" s="6">
        <v>0</v>
      </c>
      <c r="D534" s="6">
        <v>15.67</v>
      </c>
      <c r="E534" s="6">
        <v>282</v>
      </c>
    </row>
    <row r="535" spans="1:5" x14ac:dyDescent="0.25">
      <c r="A535" s="6" t="s">
        <v>548</v>
      </c>
      <c r="B535" s="6">
        <v>0.37</v>
      </c>
      <c r="C535" s="6">
        <v>27</v>
      </c>
      <c r="D535" s="6">
        <v>4.9000000000000004</v>
      </c>
      <c r="E535" s="6">
        <v>170</v>
      </c>
    </row>
    <row r="536" spans="1:5" x14ac:dyDescent="0.25">
      <c r="A536" s="6" t="s">
        <v>131</v>
      </c>
      <c r="B536" s="6">
        <v>1.93</v>
      </c>
      <c r="C536" s="6">
        <v>52</v>
      </c>
      <c r="D536" s="6">
        <v>16.55</v>
      </c>
      <c r="E536" s="6">
        <v>255</v>
      </c>
    </row>
    <row r="537" spans="1:5" x14ac:dyDescent="0.25">
      <c r="A537" s="6" t="s">
        <v>312</v>
      </c>
      <c r="B537" s="6">
        <v>0.03</v>
      </c>
      <c r="C537" s="6">
        <v>0</v>
      </c>
      <c r="D537" s="6">
        <v>7.07</v>
      </c>
      <c r="E537" s="6">
        <v>254</v>
      </c>
    </row>
    <row r="538" spans="1:5" x14ac:dyDescent="0.25">
      <c r="A538" s="6" t="s">
        <v>221</v>
      </c>
      <c r="B538" s="6">
        <v>0.49</v>
      </c>
      <c r="C538" s="6">
        <v>27</v>
      </c>
      <c r="D538" s="6">
        <v>5.6</v>
      </c>
      <c r="E538" s="6">
        <v>219</v>
      </c>
    </row>
    <row r="539" spans="1:5" x14ac:dyDescent="0.25">
      <c r="A539" s="6" t="s">
        <v>733</v>
      </c>
      <c r="B539" s="6">
        <v>0.82</v>
      </c>
      <c r="C539" s="6">
        <v>0</v>
      </c>
      <c r="D539" s="6">
        <v>25.59</v>
      </c>
      <c r="E539" s="6">
        <v>398</v>
      </c>
    </row>
    <row r="540" spans="1:5" x14ac:dyDescent="0.25">
      <c r="A540" s="6" t="s">
        <v>582</v>
      </c>
      <c r="B540" s="6">
        <v>0.05</v>
      </c>
      <c r="C540" s="6">
        <v>0</v>
      </c>
      <c r="D540" s="6">
        <v>13.05</v>
      </c>
      <c r="E540" s="6">
        <v>377</v>
      </c>
    </row>
    <row r="541" spans="1:5" x14ac:dyDescent="0.25">
      <c r="A541" s="6" t="s">
        <v>939</v>
      </c>
      <c r="B541" s="6">
        <v>0.47</v>
      </c>
      <c r="C541" s="6">
        <v>20</v>
      </c>
      <c r="D541" s="6">
        <v>7.08</v>
      </c>
      <c r="E541" s="6">
        <v>229</v>
      </c>
    </row>
    <row r="542" spans="1:5" x14ac:dyDescent="0.25">
      <c r="A542" s="6" t="s">
        <v>15</v>
      </c>
      <c r="B542" s="6">
        <v>0.02</v>
      </c>
      <c r="C542" s="6">
        <v>0</v>
      </c>
      <c r="D542" s="6">
        <v>9.66</v>
      </c>
      <c r="E542" s="6">
        <v>368</v>
      </c>
    </row>
    <row r="543" spans="1:5" x14ac:dyDescent="0.25">
      <c r="A543" s="6" t="s">
        <v>836</v>
      </c>
      <c r="B543" s="6">
        <v>0.03</v>
      </c>
      <c r="C543" s="6">
        <v>0</v>
      </c>
      <c r="D543" s="6">
        <v>9.82</v>
      </c>
      <c r="E543" s="6">
        <v>284</v>
      </c>
    </row>
    <row r="544" spans="1:5" x14ac:dyDescent="0.25">
      <c r="A544" s="6" t="s">
        <v>400</v>
      </c>
      <c r="B544" s="6">
        <v>0.04</v>
      </c>
      <c r="C544" s="6">
        <v>0</v>
      </c>
      <c r="D544" s="6">
        <v>13.79</v>
      </c>
      <c r="E544" s="6">
        <v>284</v>
      </c>
    </row>
    <row r="545" spans="1:5" x14ac:dyDescent="0.25">
      <c r="A545" s="6" t="s">
        <v>352</v>
      </c>
      <c r="B545" s="6">
        <v>0.03</v>
      </c>
      <c r="C545" s="6">
        <v>0</v>
      </c>
      <c r="D545" s="6">
        <v>5.87</v>
      </c>
      <c r="E545" s="6">
        <v>151</v>
      </c>
    </row>
    <row r="546" spans="1:5" x14ac:dyDescent="0.25">
      <c r="A546" s="6" t="s">
        <v>315</v>
      </c>
      <c r="B546" s="6">
        <v>0.02</v>
      </c>
      <c r="C546" s="6">
        <v>0</v>
      </c>
      <c r="D546" s="6">
        <v>11.06</v>
      </c>
      <c r="E546" s="6">
        <v>345</v>
      </c>
    </row>
    <row r="547" spans="1:5" x14ac:dyDescent="0.25">
      <c r="A547" s="6" t="s">
        <v>600</v>
      </c>
      <c r="B547" s="6">
        <v>0.3</v>
      </c>
      <c r="C547" s="6">
        <v>19</v>
      </c>
      <c r="D547" s="6">
        <v>8.5299999999999994</v>
      </c>
      <c r="E547" s="6">
        <v>303</v>
      </c>
    </row>
    <row r="548" spans="1:5" x14ac:dyDescent="0.25">
      <c r="A548" s="6" t="s">
        <v>262</v>
      </c>
      <c r="B548" s="6">
        <v>0.03</v>
      </c>
      <c r="C548" s="6">
        <v>0</v>
      </c>
      <c r="D548" s="6">
        <v>12.04</v>
      </c>
      <c r="E548" s="6">
        <v>307</v>
      </c>
    </row>
    <row r="549" spans="1:5" x14ac:dyDescent="0.25">
      <c r="A549" s="6" t="s">
        <v>837</v>
      </c>
      <c r="B549" s="6">
        <v>0.02</v>
      </c>
      <c r="C549" s="6">
        <v>0</v>
      </c>
      <c r="D549" s="6">
        <v>12.45</v>
      </c>
      <c r="E549" s="6">
        <v>407</v>
      </c>
    </row>
    <row r="550" spans="1:5" x14ac:dyDescent="0.25">
      <c r="A550" s="6" t="s">
        <v>128</v>
      </c>
      <c r="B550" s="6">
        <v>0.05</v>
      </c>
      <c r="C550" s="6">
        <v>0</v>
      </c>
      <c r="D550" s="6">
        <v>28.71</v>
      </c>
      <c r="E550" s="6">
        <v>624</v>
      </c>
    </row>
    <row r="551" spans="1:5" x14ac:dyDescent="0.25">
      <c r="A551" s="6" t="s">
        <v>329</v>
      </c>
      <c r="B551" s="6">
        <v>0.03</v>
      </c>
      <c r="C551" s="6">
        <v>0</v>
      </c>
      <c r="D551" s="6">
        <v>7.33</v>
      </c>
      <c r="E551" s="6">
        <v>252</v>
      </c>
    </row>
    <row r="552" spans="1:5" x14ac:dyDescent="0.25">
      <c r="A552" s="6" t="s">
        <v>674</v>
      </c>
      <c r="B552" s="6">
        <v>0.03</v>
      </c>
      <c r="C552" s="6">
        <v>0</v>
      </c>
      <c r="D552" s="6">
        <v>11.08</v>
      </c>
      <c r="E552" s="6">
        <v>313</v>
      </c>
    </row>
    <row r="553" spans="1:5" x14ac:dyDescent="0.25">
      <c r="A553" s="6" t="s">
        <v>163</v>
      </c>
      <c r="B553" s="6">
        <v>0.03</v>
      </c>
      <c r="C553" s="6">
        <v>0</v>
      </c>
      <c r="D553" s="6">
        <v>8.27</v>
      </c>
      <c r="E553" s="6">
        <v>348</v>
      </c>
    </row>
    <row r="554" spans="1:5" x14ac:dyDescent="0.25">
      <c r="A554" s="6" t="s">
        <v>587</v>
      </c>
      <c r="B554" s="6">
        <v>0.03</v>
      </c>
      <c r="C554" s="6">
        <v>0</v>
      </c>
      <c r="D554" s="6">
        <v>9.52</v>
      </c>
      <c r="E554" s="6">
        <v>185</v>
      </c>
    </row>
    <row r="555" spans="1:5" x14ac:dyDescent="0.25">
      <c r="A555" s="6" t="s">
        <v>83</v>
      </c>
      <c r="B555" s="6">
        <v>0.02</v>
      </c>
      <c r="C555" s="6">
        <v>0</v>
      </c>
      <c r="D555" s="6">
        <v>9.07</v>
      </c>
      <c r="E555" s="6">
        <v>307</v>
      </c>
    </row>
    <row r="556" spans="1:5" x14ac:dyDescent="0.25">
      <c r="A556" s="6" t="s">
        <v>81</v>
      </c>
      <c r="B556" s="6">
        <v>0.04</v>
      </c>
      <c r="C556" s="6">
        <v>0</v>
      </c>
      <c r="D556" s="6">
        <v>1.39</v>
      </c>
      <c r="E556" s="6">
        <v>35</v>
      </c>
    </row>
    <row r="557" spans="1:5" x14ac:dyDescent="0.25">
      <c r="A557" s="6" t="s">
        <v>540</v>
      </c>
      <c r="B557" s="6">
        <v>0.16</v>
      </c>
      <c r="C557" s="6">
        <v>14</v>
      </c>
      <c r="D557" s="6">
        <v>3.82</v>
      </c>
      <c r="E557" s="6">
        <v>167</v>
      </c>
    </row>
    <row r="558" spans="1:5" x14ac:dyDescent="0.25">
      <c r="A558" s="6" t="s">
        <v>354</v>
      </c>
      <c r="B558" s="6">
        <v>0.04</v>
      </c>
      <c r="C558" s="6">
        <v>0</v>
      </c>
      <c r="D558" s="6">
        <v>15.5</v>
      </c>
      <c r="E558" s="6">
        <v>485</v>
      </c>
    </row>
    <row r="559" spans="1:5" x14ac:dyDescent="0.25">
      <c r="A559" s="6" t="s">
        <v>2</v>
      </c>
      <c r="B559" s="6">
        <v>0.03</v>
      </c>
      <c r="C559" s="6">
        <v>0</v>
      </c>
      <c r="D559" s="6">
        <v>10.73</v>
      </c>
      <c r="E559" s="6">
        <v>348</v>
      </c>
    </row>
    <row r="560" spans="1:5" x14ac:dyDescent="0.25">
      <c r="A560" s="6" t="s">
        <v>940</v>
      </c>
      <c r="B560" s="6">
        <v>0.03</v>
      </c>
      <c r="C560" s="6">
        <v>0</v>
      </c>
      <c r="D560" s="6">
        <v>4.96</v>
      </c>
      <c r="E560" s="6">
        <v>107</v>
      </c>
    </row>
    <row r="561" spans="1:5" x14ac:dyDescent="0.25">
      <c r="A561" s="6" t="s">
        <v>172</v>
      </c>
      <c r="B561" s="6">
        <v>0.05</v>
      </c>
      <c r="C561" s="6">
        <v>0</v>
      </c>
      <c r="D561" s="6">
        <v>10.11</v>
      </c>
      <c r="E561" s="6">
        <v>175</v>
      </c>
    </row>
    <row r="562" spans="1:5" x14ac:dyDescent="0.25">
      <c r="A562" s="6" t="s">
        <v>361</v>
      </c>
      <c r="B562" s="6">
        <v>0.02</v>
      </c>
      <c r="C562" s="6">
        <v>0</v>
      </c>
      <c r="D562" s="6">
        <v>6.4</v>
      </c>
      <c r="E562" s="6">
        <v>219</v>
      </c>
    </row>
    <row r="563" spans="1:5" x14ac:dyDescent="0.25">
      <c r="A563" s="6" t="s">
        <v>250</v>
      </c>
      <c r="B563" s="6">
        <v>0.04</v>
      </c>
      <c r="C563" s="6">
        <v>0</v>
      </c>
      <c r="D563" s="6">
        <v>9.51</v>
      </c>
      <c r="E563" s="6">
        <v>267</v>
      </c>
    </row>
    <row r="564" spans="1:5" x14ac:dyDescent="0.25">
      <c r="A564" s="6" t="s">
        <v>263</v>
      </c>
      <c r="B564" s="6">
        <v>7.0000000000000007E-2</v>
      </c>
      <c r="C564" s="6">
        <v>0</v>
      </c>
      <c r="D564" s="6">
        <v>13.63</v>
      </c>
      <c r="E564" s="6">
        <v>367</v>
      </c>
    </row>
    <row r="565" spans="1:5" x14ac:dyDescent="0.25">
      <c r="A565" s="6" t="s">
        <v>838</v>
      </c>
      <c r="B565" s="6">
        <v>0.2</v>
      </c>
      <c r="C565" s="6">
        <v>17</v>
      </c>
      <c r="D565" s="6">
        <v>6.73</v>
      </c>
      <c r="E565" s="6">
        <v>279</v>
      </c>
    </row>
    <row r="566" spans="1:5" x14ac:dyDescent="0.25">
      <c r="A566" s="6" t="s">
        <v>634</v>
      </c>
      <c r="B566" s="6">
        <v>0.02</v>
      </c>
      <c r="C566" s="6">
        <v>0</v>
      </c>
      <c r="D566" s="6">
        <v>7.52</v>
      </c>
      <c r="E566" s="6">
        <v>222</v>
      </c>
    </row>
    <row r="567" spans="1:5" x14ac:dyDescent="0.25">
      <c r="A567" s="6" t="s">
        <v>532</v>
      </c>
      <c r="B567" s="6">
        <v>0.02</v>
      </c>
      <c r="C567" s="6">
        <v>0</v>
      </c>
      <c r="D567" s="6">
        <v>8.86</v>
      </c>
      <c r="E567" s="6">
        <v>336</v>
      </c>
    </row>
    <row r="568" spans="1:5" x14ac:dyDescent="0.25">
      <c r="A568" s="6" t="s">
        <v>525</v>
      </c>
      <c r="B568" s="6">
        <v>0.03</v>
      </c>
      <c r="C568" s="6">
        <v>0</v>
      </c>
      <c r="D568" s="6">
        <v>6.81</v>
      </c>
      <c r="E568" s="6">
        <v>251</v>
      </c>
    </row>
    <row r="569" spans="1:5" x14ac:dyDescent="0.25">
      <c r="A569" s="6" t="s">
        <v>839</v>
      </c>
      <c r="B569" s="6">
        <v>0.03</v>
      </c>
      <c r="C569" s="6">
        <v>0</v>
      </c>
      <c r="D569" s="6">
        <v>9.17</v>
      </c>
      <c r="E569" s="6">
        <v>286</v>
      </c>
    </row>
    <row r="570" spans="1:5" x14ac:dyDescent="0.25">
      <c r="A570" s="6" t="s">
        <v>190</v>
      </c>
      <c r="B570" s="6">
        <v>0.03</v>
      </c>
      <c r="C570" s="6">
        <v>0</v>
      </c>
      <c r="D570" s="6">
        <v>4.95</v>
      </c>
      <c r="E570" s="6">
        <v>90</v>
      </c>
    </row>
    <row r="571" spans="1:5" x14ac:dyDescent="0.25">
      <c r="A571" s="6" t="s">
        <v>941</v>
      </c>
      <c r="B571" s="6">
        <v>0.03</v>
      </c>
      <c r="C571" s="6">
        <v>0</v>
      </c>
      <c r="D571" s="6">
        <v>13.36</v>
      </c>
      <c r="E571" s="6">
        <v>350</v>
      </c>
    </row>
    <row r="572" spans="1:5" x14ac:dyDescent="0.25">
      <c r="A572" s="6" t="s">
        <v>840</v>
      </c>
      <c r="B572" s="6">
        <v>0.03</v>
      </c>
      <c r="C572" s="6">
        <v>0</v>
      </c>
      <c r="D572" s="6">
        <v>12.43</v>
      </c>
      <c r="E572" s="6">
        <v>371</v>
      </c>
    </row>
    <row r="573" spans="1:5" x14ac:dyDescent="0.25">
      <c r="A573" s="6" t="s">
        <v>197</v>
      </c>
      <c r="B573" s="6">
        <v>0.02</v>
      </c>
      <c r="C573" s="6">
        <v>0</v>
      </c>
      <c r="D573" s="6">
        <v>4.66</v>
      </c>
      <c r="E573" s="6">
        <v>142</v>
      </c>
    </row>
    <row r="574" spans="1:5" x14ac:dyDescent="0.25">
      <c r="A574" s="6" t="s">
        <v>593</v>
      </c>
      <c r="B574" s="6">
        <v>0.03</v>
      </c>
      <c r="C574" s="6">
        <v>0</v>
      </c>
      <c r="D574" s="6">
        <v>12.06</v>
      </c>
      <c r="E574" s="6">
        <v>349</v>
      </c>
    </row>
    <row r="575" spans="1:5" x14ac:dyDescent="0.25">
      <c r="A575" s="6" t="s">
        <v>667</v>
      </c>
      <c r="B575" s="6">
        <v>0.17</v>
      </c>
      <c r="C575" s="6">
        <v>12</v>
      </c>
      <c r="D575" s="6">
        <v>1.89</v>
      </c>
      <c r="E575" s="6">
        <v>71</v>
      </c>
    </row>
    <row r="576" spans="1:5" x14ac:dyDescent="0.25">
      <c r="A576" s="6" t="s">
        <v>253</v>
      </c>
      <c r="B576" s="6">
        <v>0.03</v>
      </c>
      <c r="C576" s="6">
        <v>0</v>
      </c>
      <c r="D576" s="6">
        <v>12.39</v>
      </c>
      <c r="E576" s="6">
        <v>331</v>
      </c>
    </row>
    <row r="577" spans="1:5" x14ac:dyDescent="0.25">
      <c r="A577" s="6" t="s">
        <v>235</v>
      </c>
      <c r="B577" s="6">
        <v>0.02</v>
      </c>
      <c r="C577" s="6">
        <v>0</v>
      </c>
      <c r="D577" s="6">
        <v>8.7200000000000006</v>
      </c>
      <c r="E577" s="6">
        <v>325</v>
      </c>
    </row>
    <row r="578" spans="1:5" x14ac:dyDescent="0.25">
      <c r="A578" s="6" t="s">
        <v>641</v>
      </c>
      <c r="B578" s="6">
        <v>0.04</v>
      </c>
      <c r="C578" s="6">
        <v>0</v>
      </c>
      <c r="D578" s="6">
        <v>17.8</v>
      </c>
      <c r="E578" s="6">
        <v>283</v>
      </c>
    </row>
    <row r="579" spans="1:5" x14ac:dyDescent="0.25">
      <c r="A579" s="6" t="s">
        <v>522</v>
      </c>
      <c r="B579" s="6">
        <v>0.03</v>
      </c>
      <c r="C579" s="6">
        <v>0</v>
      </c>
      <c r="D579" s="6">
        <v>18.95</v>
      </c>
      <c r="E579" s="6">
        <v>641</v>
      </c>
    </row>
    <row r="580" spans="1:5" x14ac:dyDescent="0.25">
      <c r="A580" s="6" t="s">
        <v>25</v>
      </c>
      <c r="B580" s="6">
        <v>0.62</v>
      </c>
      <c r="C580" s="6">
        <v>22</v>
      </c>
      <c r="D580" s="6">
        <v>12.45</v>
      </c>
      <c r="E580" s="6">
        <v>254</v>
      </c>
    </row>
    <row r="581" spans="1:5" x14ac:dyDescent="0.25">
      <c r="A581" s="6" t="s">
        <v>271</v>
      </c>
      <c r="B581" s="6">
        <v>0.04</v>
      </c>
      <c r="C581" s="6">
        <v>0</v>
      </c>
      <c r="D581" s="6">
        <v>10.58</v>
      </c>
      <c r="E581" s="6">
        <v>207</v>
      </c>
    </row>
    <row r="582" spans="1:5" x14ac:dyDescent="0.25">
      <c r="A582" s="6" t="s">
        <v>446</v>
      </c>
      <c r="B582" s="6">
        <v>0.03</v>
      </c>
      <c r="C582" s="6">
        <v>0</v>
      </c>
      <c r="D582" s="6">
        <v>19.11</v>
      </c>
      <c r="E582" s="6">
        <v>353</v>
      </c>
    </row>
    <row r="583" spans="1:5" x14ac:dyDescent="0.25">
      <c r="A583" s="6" t="s">
        <v>169</v>
      </c>
      <c r="B583" s="6">
        <v>1.67</v>
      </c>
      <c r="C583" s="6">
        <v>27</v>
      </c>
      <c r="D583" s="6">
        <v>19.489999999999998</v>
      </c>
      <c r="E583" s="6">
        <v>285</v>
      </c>
    </row>
    <row r="584" spans="1:5" x14ac:dyDescent="0.25">
      <c r="A584" s="6" t="s">
        <v>841</v>
      </c>
      <c r="B584" s="6">
        <v>0.02</v>
      </c>
      <c r="C584" s="6">
        <v>0</v>
      </c>
      <c r="D584" s="6">
        <v>10.44</v>
      </c>
      <c r="E584" s="6">
        <v>326</v>
      </c>
    </row>
    <row r="585" spans="1:5" x14ac:dyDescent="0.25">
      <c r="A585" s="6" t="s">
        <v>943</v>
      </c>
      <c r="B585" s="6">
        <v>0.53</v>
      </c>
      <c r="C585" s="6">
        <v>25</v>
      </c>
      <c r="D585" s="6">
        <v>9.14</v>
      </c>
      <c r="E585" s="6">
        <v>425</v>
      </c>
    </row>
    <row r="586" spans="1:5" x14ac:dyDescent="0.25">
      <c r="A586" s="6" t="s">
        <v>27</v>
      </c>
      <c r="B586" s="6">
        <v>0.08</v>
      </c>
      <c r="C586" s="6">
        <v>0</v>
      </c>
      <c r="D586" s="6">
        <v>10.29</v>
      </c>
      <c r="E586" s="6">
        <v>405</v>
      </c>
    </row>
    <row r="587" spans="1:5" x14ac:dyDescent="0.25">
      <c r="A587" s="6" t="s">
        <v>479</v>
      </c>
      <c r="B587" s="6">
        <v>0.24</v>
      </c>
      <c r="C587" s="6">
        <v>17</v>
      </c>
      <c r="D587" s="6">
        <v>2.4500000000000002</v>
      </c>
      <c r="E587" s="6">
        <v>56</v>
      </c>
    </row>
    <row r="588" spans="1:5" x14ac:dyDescent="0.25">
      <c r="A588" s="6" t="s">
        <v>842</v>
      </c>
      <c r="B588" s="6">
        <v>0.02</v>
      </c>
      <c r="C588" s="6">
        <v>0</v>
      </c>
      <c r="D588" s="6">
        <v>8.59</v>
      </c>
      <c r="E588" s="6">
        <v>286</v>
      </c>
    </row>
    <row r="589" spans="1:5" x14ac:dyDescent="0.25">
      <c r="A589" s="6" t="s">
        <v>359</v>
      </c>
      <c r="B589" s="6">
        <v>0.03</v>
      </c>
      <c r="C589" s="6">
        <v>0</v>
      </c>
      <c r="D589" s="6">
        <v>15.77</v>
      </c>
      <c r="E589" s="6">
        <v>365</v>
      </c>
    </row>
    <row r="590" spans="1:5" x14ac:dyDescent="0.25">
      <c r="A590" s="6" t="s">
        <v>843</v>
      </c>
      <c r="B590" s="6">
        <v>0.39</v>
      </c>
      <c r="C590" s="6">
        <v>0</v>
      </c>
      <c r="D590" s="6">
        <v>55.03</v>
      </c>
      <c r="E590" s="6">
        <v>843</v>
      </c>
    </row>
    <row r="591" spans="1:5" x14ac:dyDescent="0.25">
      <c r="A591" s="6" t="s">
        <v>844</v>
      </c>
      <c r="B591" s="6">
        <v>0.02</v>
      </c>
      <c r="C591" s="6">
        <v>0</v>
      </c>
      <c r="D591" s="6">
        <v>8.1300000000000008</v>
      </c>
      <c r="E591" s="6">
        <v>285</v>
      </c>
    </row>
    <row r="592" spans="1:5" x14ac:dyDescent="0.25">
      <c r="A592" s="6" t="s">
        <v>35</v>
      </c>
      <c r="B592" s="6">
        <v>0.31</v>
      </c>
      <c r="C592" s="6">
        <v>20</v>
      </c>
      <c r="D592" s="6">
        <v>4.83</v>
      </c>
      <c r="E592" s="6">
        <v>121</v>
      </c>
    </row>
    <row r="593" spans="1:5" x14ac:dyDescent="0.25">
      <c r="A593" s="6" t="s">
        <v>113</v>
      </c>
      <c r="B593" s="6">
        <v>0.05</v>
      </c>
      <c r="C593" s="6">
        <v>0</v>
      </c>
      <c r="D593" s="6">
        <v>2.15</v>
      </c>
      <c r="E593" s="6">
        <v>66</v>
      </c>
    </row>
    <row r="594" spans="1:5" x14ac:dyDescent="0.25">
      <c r="A594" s="6" t="s">
        <v>289</v>
      </c>
      <c r="B594" s="6">
        <v>0.03</v>
      </c>
      <c r="C594" s="6">
        <v>0</v>
      </c>
      <c r="D594" s="6">
        <v>10.9</v>
      </c>
      <c r="E594" s="6">
        <v>379</v>
      </c>
    </row>
    <row r="595" spans="1:5" x14ac:dyDescent="0.25">
      <c r="A595" s="6" t="s">
        <v>227</v>
      </c>
      <c r="B595" s="6">
        <v>0.34</v>
      </c>
      <c r="C595" s="6">
        <v>17</v>
      </c>
      <c r="D595" s="6">
        <v>4.63</v>
      </c>
      <c r="E595" s="6">
        <v>153</v>
      </c>
    </row>
    <row r="596" spans="1:5" x14ac:dyDescent="0.25">
      <c r="A596" s="6" t="s">
        <v>41</v>
      </c>
      <c r="B596" s="6">
        <v>0.03</v>
      </c>
      <c r="C596" s="6">
        <v>0</v>
      </c>
      <c r="D596" s="6">
        <v>17.39</v>
      </c>
      <c r="E596" s="6">
        <v>386</v>
      </c>
    </row>
    <row r="597" spans="1:5" x14ac:dyDescent="0.25">
      <c r="A597" s="6" t="s">
        <v>195</v>
      </c>
      <c r="B597" s="6">
        <v>0.03</v>
      </c>
      <c r="C597" s="6">
        <v>0</v>
      </c>
      <c r="D597" s="6">
        <v>8.35</v>
      </c>
      <c r="E597" s="6">
        <v>330</v>
      </c>
    </row>
    <row r="598" spans="1:5" x14ac:dyDescent="0.25">
      <c r="A598" s="6" t="s">
        <v>944</v>
      </c>
      <c r="B598" s="6">
        <v>0.03</v>
      </c>
      <c r="C598" s="6">
        <v>0</v>
      </c>
      <c r="D598" s="6">
        <v>8.93</v>
      </c>
      <c r="E598" s="6">
        <v>262</v>
      </c>
    </row>
    <row r="599" spans="1:5" x14ac:dyDescent="0.25">
      <c r="A599" s="6" t="s">
        <v>621</v>
      </c>
      <c r="B599" s="6">
        <v>0.41</v>
      </c>
      <c r="C599" s="6">
        <v>0</v>
      </c>
      <c r="D599" s="6">
        <v>43.5</v>
      </c>
      <c r="E599" s="6">
        <v>710</v>
      </c>
    </row>
    <row r="600" spans="1:5" x14ac:dyDescent="0.25">
      <c r="A600" s="6" t="s">
        <v>554</v>
      </c>
      <c r="B600" s="6">
        <v>0.03</v>
      </c>
      <c r="C600" s="6">
        <v>0</v>
      </c>
      <c r="D600" s="6">
        <v>12.85</v>
      </c>
      <c r="E600" s="6">
        <v>275</v>
      </c>
    </row>
    <row r="601" spans="1:5" x14ac:dyDescent="0.25">
      <c r="A601" s="6" t="s">
        <v>845</v>
      </c>
      <c r="B601" s="6">
        <v>0.03</v>
      </c>
      <c r="C601" s="6">
        <v>0</v>
      </c>
      <c r="D601" s="6">
        <v>8.82</v>
      </c>
      <c r="E601" s="6">
        <v>251</v>
      </c>
    </row>
    <row r="602" spans="1:5" x14ac:dyDescent="0.25">
      <c r="A602" s="6" t="s">
        <v>846</v>
      </c>
      <c r="B602" s="6">
        <v>0.03</v>
      </c>
      <c r="C602" s="6">
        <v>0</v>
      </c>
      <c r="D602" s="6">
        <v>8.74</v>
      </c>
      <c r="E602" s="6">
        <v>324</v>
      </c>
    </row>
    <row r="603" spans="1:5" x14ac:dyDescent="0.25">
      <c r="A603" s="6" t="s">
        <v>103</v>
      </c>
      <c r="B603" s="6">
        <v>0.03</v>
      </c>
      <c r="C603" s="6">
        <v>0</v>
      </c>
      <c r="D603" s="6">
        <v>9.85</v>
      </c>
      <c r="E603" s="6">
        <v>303</v>
      </c>
    </row>
    <row r="604" spans="1:5" x14ac:dyDescent="0.25">
      <c r="A604" s="6" t="s">
        <v>577</v>
      </c>
      <c r="B604" s="6">
        <v>0.03</v>
      </c>
      <c r="C604" s="6">
        <v>0</v>
      </c>
      <c r="D604" s="6">
        <v>13.45</v>
      </c>
      <c r="E604" s="6">
        <v>395</v>
      </c>
    </row>
    <row r="605" spans="1:5" x14ac:dyDescent="0.25">
      <c r="A605" s="6" t="s">
        <v>945</v>
      </c>
      <c r="B605" s="6">
        <v>0.64</v>
      </c>
      <c r="C605" s="6">
        <v>26</v>
      </c>
      <c r="D605" s="6">
        <v>14.59</v>
      </c>
      <c r="E605" s="6">
        <v>441</v>
      </c>
    </row>
    <row r="606" spans="1:5" x14ac:dyDescent="0.25">
      <c r="A606" s="6" t="s">
        <v>74</v>
      </c>
      <c r="B606" s="6">
        <v>0.03</v>
      </c>
      <c r="C606" s="6">
        <v>0</v>
      </c>
      <c r="D606" s="6">
        <v>10.84</v>
      </c>
      <c r="E606" s="6">
        <v>299</v>
      </c>
    </row>
    <row r="607" spans="1:5" x14ac:dyDescent="0.25">
      <c r="A607" s="6" t="s">
        <v>254</v>
      </c>
      <c r="B607" s="6">
        <v>0.06</v>
      </c>
      <c r="C607" s="6">
        <v>0</v>
      </c>
      <c r="D607" s="6">
        <v>11.71</v>
      </c>
      <c r="E607" s="6">
        <v>384</v>
      </c>
    </row>
    <row r="608" spans="1:5" x14ac:dyDescent="0.25">
      <c r="A608" s="6" t="s">
        <v>177</v>
      </c>
      <c r="B608" s="6">
        <v>0.34</v>
      </c>
      <c r="C608" s="6">
        <v>25</v>
      </c>
      <c r="D608" s="6">
        <v>6.6</v>
      </c>
      <c r="E608" s="6">
        <v>303</v>
      </c>
    </row>
    <row r="609" spans="1:5" x14ac:dyDescent="0.25">
      <c r="A609" s="6" t="s">
        <v>272</v>
      </c>
      <c r="B609" s="6">
        <v>0.2</v>
      </c>
      <c r="C609" s="6">
        <v>16</v>
      </c>
      <c r="D609" s="6">
        <v>1.75</v>
      </c>
      <c r="E609" s="6">
        <v>63</v>
      </c>
    </row>
    <row r="610" spans="1:5" x14ac:dyDescent="0.25">
      <c r="A610" s="6" t="s">
        <v>946</v>
      </c>
      <c r="B610" s="6">
        <v>0.03</v>
      </c>
      <c r="C610" s="6">
        <v>0</v>
      </c>
      <c r="D610" s="6">
        <v>11.42</v>
      </c>
      <c r="E610" s="6">
        <v>343</v>
      </c>
    </row>
    <row r="611" spans="1:5" x14ac:dyDescent="0.25">
      <c r="A611" s="6" t="s">
        <v>947</v>
      </c>
      <c r="B611" s="6">
        <v>0.03</v>
      </c>
      <c r="C611" s="6">
        <v>0</v>
      </c>
      <c r="D611" s="6">
        <v>10.72</v>
      </c>
      <c r="E611" s="6">
        <v>324</v>
      </c>
    </row>
    <row r="612" spans="1:5" x14ac:dyDescent="0.25">
      <c r="A612" s="6" t="s">
        <v>736</v>
      </c>
      <c r="B612" s="6">
        <v>0.02</v>
      </c>
      <c r="C612" s="6">
        <v>0</v>
      </c>
      <c r="D612" s="6">
        <v>3.69</v>
      </c>
      <c r="E612" s="6">
        <v>147</v>
      </c>
    </row>
    <row r="613" spans="1:5" x14ac:dyDescent="0.25">
      <c r="A613" s="6" t="s">
        <v>414</v>
      </c>
      <c r="B613" s="6">
        <v>0.02</v>
      </c>
      <c r="C613" s="6">
        <v>0</v>
      </c>
      <c r="D613" s="6">
        <v>8.85</v>
      </c>
      <c r="E613" s="6">
        <v>335</v>
      </c>
    </row>
    <row r="614" spans="1:5" x14ac:dyDescent="0.25">
      <c r="A614" s="6" t="s">
        <v>847</v>
      </c>
      <c r="B614" s="6">
        <v>0.02</v>
      </c>
      <c r="C614" s="6">
        <v>0</v>
      </c>
      <c r="D614" s="6">
        <v>7.21</v>
      </c>
      <c r="E614" s="6">
        <v>299</v>
      </c>
    </row>
    <row r="615" spans="1:5" x14ac:dyDescent="0.25">
      <c r="A615" s="6" t="s">
        <v>458</v>
      </c>
      <c r="B615" s="6">
        <v>0.03</v>
      </c>
      <c r="C615" s="6">
        <v>0</v>
      </c>
      <c r="D615" s="6">
        <v>13.69</v>
      </c>
      <c r="E615" s="6">
        <v>395</v>
      </c>
    </row>
    <row r="616" spans="1:5" x14ac:dyDescent="0.25">
      <c r="A616" s="6" t="s">
        <v>371</v>
      </c>
      <c r="B616" s="6">
        <v>0.03</v>
      </c>
      <c r="C616" s="6">
        <v>0</v>
      </c>
      <c r="D616" s="6">
        <v>6.38</v>
      </c>
      <c r="E616" s="6">
        <v>195</v>
      </c>
    </row>
    <row r="617" spans="1:5" x14ac:dyDescent="0.25">
      <c r="A617" s="6" t="s">
        <v>231</v>
      </c>
      <c r="B617" s="6">
        <v>0.03</v>
      </c>
      <c r="C617" s="6">
        <v>0</v>
      </c>
      <c r="D617" s="6">
        <v>8.39</v>
      </c>
      <c r="E617" s="6">
        <v>248</v>
      </c>
    </row>
    <row r="618" spans="1:5" x14ac:dyDescent="0.25">
      <c r="A618" s="6" t="s">
        <v>274</v>
      </c>
      <c r="B618" s="6">
        <v>0.02</v>
      </c>
      <c r="C618" s="6">
        <v>0</v>
      </c>
      <c r="D618" s="6">
        <v>7.85</v>
      </c>
      <c r="E618" s="6">
        <v>299</v>
      </c>
    </row>
    <row r="619" spans="1:5" x14ac:dyDescent="0.25">
      <c r="A619" s="6" t="s">
        <v>229</v>
      </c>
      <c r="B619" s="6">
        <v>0.03</v>
      </c>
      <c r="C619" s="6">
        <v>0</v>
      </c>
      <c r="D619" s="6">
        <v>12.19</v>
      </c>
      <c r="E619" s="6">
        <v>300</v>
      </c>
    </row>
    <row r="620" spans="1:5" x14ac:dyDescent="0.25">
      <c r="A620" s="6" t="s">
        <v>306</v>
      </c>
      <c r="B620" s="6">
        <v>0.03</v>
      </c>
      <c r="C620" s="6">
        <v>0</v>
      </c>
      <c r="D620" s="6">
        <v>3.91</v>
      </c>
      <c r="E620" s="6">
        <v>137</v>
      </c>
    </row>
    <row r="621" spans="1:5" x14ac:dyDescent="0.25">
      <c r="A621" s="6" t="s">
        <v>710</v>
      </c>
      <c r="B621" s="6">
        <v>0.03</v>
      </c>
      <c r="C621" s="6">
        <v>0</v>
      </c>
      <c r="D621" s="6">
        <v>6.6</v>
      </c>
      <c r="E621" s="6">
        <v>194</v>
      </c>
    </row>
    <row r="622" spans="1:5" x14ac:dyDescent="0.25">
      <c r="A622" s="6" t="s">
        <v>684</v>
      </c>
      <c r="B622" s="6">
        <v>0.03</v>
      </c>
      <c r="C622" s="6">
        <v>0</v>
      </c>
      <c r="D622" s="6">
        <v>8.02</v>
      </c>
      <c r="E622" s="6">
        <v>249</v>
      </c>
    </row>
    <row r="623" spans="1:5" x14ac:dyDescent="0.25">
      <c r="A623" s="6" t="s">
        <v>420</v>
      </c>
      <c r="B623" s="6">
        <v>0.02</v>
      </c>
      <c r="C623" s="6">
        <v>0</v>
      </c>
      <c r="D623" s="6">
        <v>2.12</v>
      </c>
      <c r="E623" s="6">
        <v>67</v>
      </c>
    </row>
    <row r="624" spans="1:5" x14ac:dyDescent="0.25">
      <c r="A624" s="6" t="s">
        <v>948</v>
      </c>
      <c r="B624" s="6">
        <v>0.03</v>
      </c>
      <c r="C624" s="6">
        <v>0</v>
      </c>
      <c r="D624" s="6">
        <v>11.34</v>
      </c>
      <c r="E624" s="6">
        <v>298</v>
      </c>
    </row>
    <row r="625" spans="1:5" x14ac:dyDescent="0.25">
      <c r="A625" s="6" t="s">
        <v>848</v>
      </c>
      <c r="B625" s="6">
        <v>0.03</v>
      </c>
      <c r="C625" s="6">
        <v>0</v>
      </c>
      <c r="D625" s="6">
        <v>14.34</v>
      </c>
      <c r="E625" s="6">
        <v>476</v>
      </c>
    </row>
    <row r="626" spans="1:5" x14ac:dyDescent="0.25">
      <c r="A626" s="6" t="s">
        <v>949</v>
      </c>
      <c r="B626" s="6">
        <v>0.03</v>
      </c>
      <c r="C626" s="6">
        <v>0</v>
      </c>
      <c r="D626" s="6">
        <v>17.8</v>
      </c>
      <c r="E626" s="6">
        <v>298</v>
      </c>
    </row>
    <row r="627" spans="1:5" x14ac:dyDescent="0.25">
      <c r="A627" s="6" t="s">
        <v>849</v>
      </c>
      <c r="B627" s="6">
        <v>0.03</v>
      </c>
      <c r="C627" s="6">
        <v>0</v>
      </c>
      <c r="D627" s="6">
        <v>13.61</v>
      </c>
      <c r="E627" s="6">
        <v>432</v>
      </c>
    </row>
    <row r="628" spans="1:5" x14ac:dyDescent="0.25">
      <c r="A628" s="6" t="s">
        <v>489</v>
      </c>
      <c r="B628" s="6">
        <v>0.02</v>
      </c>
      <c r="C628" s="6">
        <v>0</v>
      </c>
      <c r="D628" s="6">
        <v>18.73</v>
      </c>
      <c r="E628" s="6">
        <v>576</v>
      </c>
    </row>
    <row r="629" spans="1:5" x14ac:dyDescent="0.25">
      <c r="A629" s="6" t="s">
        <v>550</v>
      </c>
      <c r="B629" s="6">
        <v>0.03</v>
      </c>
      <c r="C629" s="6">
        <v>0</v>
      </c>
      <c r="D629" s="6">
        <v>22.46</v>
      </c>
      <c r="E629" s="6">
        <v>706</v>
      </c>
    </row>
    <row r="630" spans="1:5" x14ac:dyDescent="0.25">
      <c r="A630" s="6" t="s">
        <v>678</v>
      </c>
      <c r="B630" s="6">
        <v>0.03</v>
      </c>
      <c r="C630" s="6">
        <v>0</v>
      </c>
      <c r="D630" s="6">
        <v>12.23</v>
      </c>
      <c r="E630" s="6">
        <v>356</v>
      </c>
    </row>
    <row r="631" spans="1:5" x14ac:dyDescent="0.25">
      <c r="A631" s="6" t="s">
        <v>579</v>
      </c>
      <c r="B631" s="6">
        <v>0.04</v>
      </c>
      <c r="C631" s="6">
        <v>0</v>
      </c>
      <c r="D631" s="6">
        <v>7.78</v>
      </c>
      <c r="E631" s="6">
        <v>184</v>
      </c>
    </row>
    <row r="632" spans="1:5" x14ac:dyDescent="0.25">
      <c r="A632" s="6" t="s">
        <v>87</v>
      </c>
      <c r="B632" s="6">
        <v>0.05</v>
      </c>
      <c r="C632" s="6">
        <v>0</v>
      </c>
      <c r="D632" s="6">
        <v>3.9</v>
      </c>
      <c r="E632" s="6">
        <v>64</v>
      </c>
    </row>
    <row r="633" spans="1:5" x14ac:dyDescent="0.25">
      <c r="A633" s="6" t="s">
        <v>112</v>
      </c>
      <c r="B633" s="6">
        <v>0.03</v>
      </c>
      <c r="C633" s="6">
        <v>0</v>
      </c>
      <c r="D633" s="6">
        <v>13.05</v>
      </c>
      <c r="E633" s="6">
        <v>355</v>
      </c>
    </row>
    <row r="634" spans="1:5" x14ac:dyDescent="0.25">
      <c r="A634" s="6" t="s">
        <v>433</v>
      </c>
      <c r="B634" s="6">
        <v>0.03</v>
      </c>
      <c r="C634" s="6">
        <v>0</v>
      </c>
      <c r="D634" s="6">
        <v>13.37</v>
      </c>
      <c r="E634" s="6">
        <v>382</v>
      </c>
    </row>
    <row r="635" spans="1:5" x14ac:dyDescent="0.25">
      <c r="A635" s="6" t="s">
        <v>950</v>
      </c>
      <c r="B635" s="6">
        <v>0.04</v>
      </c>
      <c r="C635" s="6">
        <v>0</v>
      </c>
      <c r="D635" s="6">
        <v>12.21</v>
      </c>
      <c r="E635" s="6">
        <v>317</v>
      </c>
    </row>
    <row r="636" spans="1:5" x14ac:dyDescent="0.25">
      <c r="A636" s="6" t="s">
        <v>529</v>
      </c>
      <c r="B636" s="6">
        <v>0.03</v>
      </c>
      <c r="C636" s="6">
        <v>0</v>
      </c>
      <c r="D636" s="6">
        <v>10.77</v>
      </c>
      <c r="E636" s="6">
        <v>304</v>
      </c>
    </row>
    <row r="637" spans="1:5" x14ac:dyDescent="0.25">
      <c r="A637" s="6" t="s">
        <v>851</v>
      </c>
      <c r="B637" s="6">
        <v>0.03</v>
      </c>
      <c r="C637" s="6">
        <v>0</v>
      </c>
      <c r="D637" s="6">
        <v>10.84</v>
      </c>
      <c r="E637" s="6">
        <v>318</v>
      </c>
    </row>
    <row r="638" spans="1:5" x14ac:dyDescent="0.25">
      <c r="A638" s="6" t="s">
        <v>538</v>
      </c>
      <c r="B638" s="6">
        <v>0.02</v>
      </c>
      <c r="C638" s="6">
        <v>0</v>
      </c>
      <c r="D638" s="6">
        <v>7.41</v>
      </c>
      <c r="E638" s="6">
        <v>196</v>
      </c>
    </row>
    <row r="639" spans="1:5" x14ac:dyDescent="0.25">
      <c r="A639" s="6" t="s">
        <v>659</v>
      </c>
      <c r="B639" s="6">
        <v>0.03</v>
      </c>
      <c r="C639" s="6">
        <v>0</v>
      </c>
      <c r="D639" s="6">
        <v>5.77</v>
      </c>
      <c r="E639" s="6">
        <v>141</v>
      </c>
    </row>
    <row r="640" spans="1:5" x14ac:dyDescent="0.25">
      <c r="A640" s="6" t="s">
        <v>852</v>
      </c>
      <c r="B640" s="6">
        <v>0.03</v>
      </c>
      <c r="C640" s="6">
        <v>0</v>
      </c>
      <c r="D640" s="6">
        <v>14.22</v>
      </c>
      <c r="E640" s="6">
        <v>371</v>
      </c>
    </row>
    <row r="641" spans="1:5" x14ac:dyDescent="0.25">
      <c r="A641" s="6" t="s">
        <v>951</v>
      </c>
      <c r="B641" s="6">
        <v>0.45</v>
      </c>
      <c r="C641" s="6">
        <v>20</v>
      </c>
      <c r="D641" s="6">
        <v>19.260000000000002</v>
      </c>
      <c r="E641" s="6">
        <v>498</v>
      </c>
    </row>
    <row r="642" spans="1:5" x14ac:dyDescent="0.25">
      <c r="A642" s="6" t="s">
        <v>622</v>
      </c>
      <c r="B642" s="6">
        <v>0.03</v>
      </c>
      <c r="C642" s="6">
        <v>0</v>
      </c>
      <c r="D642" s="6">
        <v>24.78</v>
      </c>
      <c r="E642" s="6">
        <v>687</v>
      </c>
    </row>
    <row r="643" spans="1:5" x14ac:dyDescent="0.25">
      <c r="A643" s="6" t="s">
        <v>185</v>
      </c>
      <c r="B643" s="6">
        <v>0.03</v>
      </c>
      <c r="C643" s="6">
        <v>0</v>
      </c>
      <c r="D643" s="6">
        <v>5.72</v>
      </c>
      <c r="E643" s="6">
        <v>260</v>
      </c>
    </row>
    <row r="644" spans="1:5" x14ac:dyDescent="0.25">
      <c r="A644" s="6" t="s">
        <v>640</v>
      </c>
      <c r="B644" s="6">
        <v>0.03</v>
      </c>
      <c r="C644" s="6">
        <v>0</v>
      </c>
      <c r="D644" s="6">
        <v>10.16</v>
      </c>
      <c r="E644" s="6">
        <v>357</v>
      </c>
    </row>
    <row r="645" spans="1:5" x14ac:dyDescent="0.25">
      <c r="A645" s="6" t="s">
        <v>853</v>
      </c>
      <c r="B645" s="6">
        <v>0.41</v>
      </c>
      <c r="C645" s="6">
        <v>19</v>
      </c>
      <c r="D645" s="6">
        <v>11.69</v>
      </c>
      <c r="E645" s="6">
        <v>386</v>
      </c>
    </row>
    <row r="646" spans="1:5" x14ac:dyDescent="0.25">
      <c r="A646" s="6" t="s">
        <v>653</v>
      </c>
      <c r="B646" s="6">
        <v>0.03</v>
      </c>
      <c r="C646" s="6">
        <v>0</v>
      </c>
      <c r="D646" s="6">
        <v>9.89</v>
      </c>
      <c r="E646" s="6">
        <v>296</v>
      </c>
    </row>
    <row r="647" spans="1:5" x14ac:dyDescent="0.25">
      <c r="A647" s="6" t="s">
        <v>854</v>
      </c>
      <c r="B647" s="6">
        <v>0.03</v>
      </c>
      <c r="C647" s="6">
        <v>0</v>
      </c>
      <c r="D647" s="6">
        <v>8.8800000000000008</v>
      </c>
      <c r="E647" s="6">
        <v>349</v>
      </c>
    </row>
    <row r="648" spans="1:5" x14ac:dyDescent="0.25">
      <c r="A648" s="6" t="s">
        <v>606</v>
      </c>
      <c r="B648" s="6">
        <v>0.03</v>
      </c>
      <c r="C648" s="6">
        <v>0</v>
      </c>
      <c r="D648" s="6">
        <v>8.5299999999999994</v>
      </c>
      <c r="E648" s="6">
        <v>291</v>
      </c>
    </row>
    <row r="649" spans="1:5" x14ac:dyDescent="0.25">
      <c r="A649" s="6" t="s">
        <v>411</v>
      </c>
      <c r="B649" s="6">
        <v>0.03</v>
      </c>
      <c r="C649" s="6">
        <v>0</v>
      </c>
      <c r="D649" s="6">
        <v>9.93</v>
      </c>
      <c r="E649" s="6">
        <v>250</v>
      </c>
    </row>
    <row r="650" spans="1:5" x14ac:dyDescent="0.25">
      <c r="A650" s="6" t="s">
        <v>449</v>
      </c>
      <c r="B650" s="6">
        <v>0.04</v>
      </c>
      <c r="C650" s="6">
        <v>0</v>
      </c>
      <c r="D650" s="6">
        <v>7.28</v>
      </c>
      <c r="E650" s="6">
        <v>151</v>
      </c>
    </row>
    <row r="651" spans="1:5" x14ac:dyDescent="0.25">
      <c r="A651" s="6" t="s">
        <v>141</v>
      </c>
      <c r="B651" s="6">
        <v>0.02</v>
      </c>
      <c r="C651" s="6">
        <v>0</v>
      </c>
      <c r="D651" s="6">
        <v>2.15</v>
      </c>
      <c r="E651" s="6">
        <v>67</v>
      </c>
    </row>
    <row r="652" spans="1:5" x14ac:dyDescent="0.25">
      <c r="A652" s="6" t="s">
        <v>314</v>
      </c>
      <c r="B652" s="6">
        <v>0.03</v>
      </c>
      <c r="C652" s="6">
        <v>0</v>
      </c>
      <c r="D652" s="6">
        <v>5.57</v>
      </c>
      <c r="E652" s="6">
        <v>184</v>
      </c>
    </row>
    <row r="653" spans="1:5" x14ac:dyDescent="0.25">
      <c r="A653" s="6" t="s">
        <v>209</v>
      </c>
      <c r="B653" s="6">
        <v>0.6</v>
      </c>
      <c r="C653" s="6">
        <v>16</v>
      </c>
      <c r="D653" s="6">
        <v>7.58</v>
      </c>
      <c r="E653" s="6">
        <v>118</v>
      </c>
    </row>
    <row r="654" spans="1:5" x14ac:dyDescent="0.25">
      <c r="A654" s="6" t="s">
        <v>157</v>
      </c>
      <c r="B654" s="6">
        <v>0.02</v>
      </c>
      <c r="C654" s="6">
        <v>0</v>
      </c>
      <c r="D654" s="6">
        <v>5.19</v>
      </c>
      <c r="E654" s="6">
        <v>198</v>
      </c>
    </row>
    <row r="655" spans="1:5" x14ac:dyDescent="0.25">
      <c r="A655" s="6" t="s">
        <v>85</v>
      </c>
      <c r="B655" s="6">
        <v>0.03</v>
      </c>
      <c r="C655" s="6">
        <v>0</v>
      </c>
      <c r="D655" s="6">
        <v>7.86</v>
      </c>
      <c r="E655" s="6">
        <v>272</v>
      </c>
    </row>
    <row r="656" spans="1:5" x14ac:dyDescent="0.25">
      <c r="A656" s="6" t="s">
        <v>952</v>
      </c>
      <c r="B656" s="6">
        <v>0.03</v>
      </c>
      <c r="C656" s="6">
        <v>0</v>
      </c>
      <c r="D656" s="6">
        <v>6.58</v>
      </c>
      <c r="E656" s="6">
        <v>177</v>
      </c>
    </row>
    <row r="657" spans="1:5" x14ac:dyDescent="0.25">
      <c r="A657" s="6" t="s">
        <v>88</v>
      </c>
      <c r="B657" s="6">
        <v>0.03</v>
      </c>
      <c r="C657" s="6">
        <v>0</v>
      </c>
      <c r="D657" s="6">
        <v>21.95</v>
      </c>
      <c r="E657" s="6">
        <v>488</v>
      </c>
    </row>
    <row r="658" spans="1:5" x14ac:dyDescent="0.25">
      <c r="A658" s="6" t="s">
        <v>302</v>
      </c>
      <c r="B658" s="6">
        <v>0.02</v>
      </c>
      <c r="C658" s="6">
        <v>0</v>
      </c>
      <c r="D658" s="6">
        <v>3.18</v>
      </c>
      <c r="E658" s="6">
        <v>120</v>
      </c>
    </row>
    <row r="659" spans="1:5" x14ac:dyDescent="0.25">
      <c r="A659" s="6" t="s">
        <v>511</v>
      </c>
      <c r="B659" s="6">
        <v>0.03</v>
      </c>
      <c r="C659" s="6">
        <v>0</v>
      </c>
      <c r="D659" s="6">
        <v>7.48</v>
      </c>
      <c r="E659" s="6">
        <v>242</v>
      </c>
    </row>
    <row r="660" spans="1:5" x14ac:dyDescent="0.25">
      <c r="A660" s="6" t="s">
        <v>224</v>
      </c>
      <c r="B660" s="6">
        <v>0.03</v>
      </c>
      <c r="C660" s="6">
        <v>0</v>
      </c>
      <c r="D660" s="6">
        <v>9.9499999999999993</v>
      </c>
      <c r="E660" s="6">
        <v>194</v>
      </c>
    </row>
    <row r="661" spans="1:5" x14ac:dyDescent="0.25">
      <c r="A661" s="6" t="s">
        <v>346</v>
      </c>
      <c r="B661" s="6">
        <v>0.37</v>
      </c>
      <c r="C661" s="6">
        <v>22</v>
      </c>
      <c r="D661" s="6">
        <v>8.4499999999999993</v>
      </c>
      <c r="E661" s="6">
        <v>241</v>
      </c>
    </row>
    <row r="662" spans="1:5" x14ac:dyDescent="0.25">
      <c r="A662" s="6" t="s">
        <v>547</v>
      </c>
      <c r="B662" s="6">
        <v>0.03</v>
      </c>
      <c r="C662" s="6">
        <v>0</v>
      </c>
      <c r="D662" s="6">
        <v>16.059999999999999</v>
      </c>
      <c r="E662" s="6">
        <v>348</v>
      </c>
    </row>
    <row r="663" spans="1:5" x14ac:dyDescent="0.25">
      <c r="A663" s="6" t="s">
        <v>56</v>
      </c>
      <c r="B663" s="6">
        <v>0.4</v>
      </c>
      <c r="C663" s="6">
        <v>22</v>
      </c>
      <c r="D663" s="6">
        <v>8.8699999999999992</v>
      </c>
      <c r="E663" s="6">
        <v>202</v>
      </c>
    </row>
    <row r="664" spans="1:5" x14ac:dyDescent="0.25">
      <c r="A664" s="6" t="s">
        <v>953</v>
      </c>
      <c r="B664" s="6">
        <v>0.03</v>
      </c>
      <c r="C664" s="6">
        <v>0</v>
      </c>
      <c r="D664" s="6">
        <v>11.69</v>
      </c>
      <c r="E664" s="6">
        <v>235</v>
      </c>
    </row>
    <row r="665" spans="1:5" x14ac:dyDescent="0.25">
      <c r="A665" s="6" t="s">
        <v>148</v>
      </c>
      <c r="B665" s="6">
        <v>0.03</v>
      </c>
      <c r="C665" s="6">
        <v>0</v>
      </c>
      <c r="D665" s="6">
        <v>9.33</v>
      </c>
      <c r="E665" s="6">
        <v>276</v>
      </c>
    </row>
    <row r="666" spans="1:5" x14ac:dyDescent="0.25">
      <c r="A666" s="6" t="s">
        <v>954</v>
      </c>
      <c r="B666" s="6">
        <v>0.03</v>
      </c>
      <c r="C666" s="6">
        <v>0</v>
      </c>
      <c r="D666" s="6">
        <v>13.97</v>
      </c>
      <c r="E666" s="6">
        <v>448</v>
      </c>
    </row>
    <row r="667" spans="1:5" x14ac:dyDescent="0.25">
      <c r="A667" s="6" t="s">
        <v>96</v>
      </c>
      <c r="B667" s="6">
        <v>0.03</v>
      </c>
      <c r="C667" s="6">
        <v>0</v>
      </c>
      <c r="D667" s="6">
        <v>13.04</v>
      </c>
      <c r="E667" s="6">
        <v>525</v>
      </c>
    </row>
    <row r="668" spans="1:5" x14ac:dyDescent="0.25">
      <c r="A668" s="6" t="s">
        <v>470</v>
      </c>
      <c r="B668" s="6">
        <v>0.02</v>
      </c>
      <c r="C668" s="6">
        <v>0</v>
      </c>
      <c r="D668" s="6">
        <v>6.03</v>
      </c>
      <c r="E668" s="6">
        <v>220</v>
      </c>
    </row>
    <row r="669" spans="1:5" x14ac:dyDescent="0.25">
      <c r="A669" s="6" t="s">
        <v>695</v>
      </c>
      <c r="B669" s="6">
        <v>0.03</v>
      </c>
      <c r="C669" s="6">
        <v>0</v>
      </c>
      <c r="D669" s="6">
        <v>11.03</v>
      </c>
      <c r="E669" s="6">
        <v>254</v>
      </c>
    </row>
    <row r="670" spans="1:5" x14ac:dyDescent="0.25">
      <c r="A670" s="6" t="s">
        <v>856</v>
      </c>
      <c r="B670" s="6">
        <v>0.02</v>
      </c>
      <c r="C670" s="6">
        <v>0</v>
      </c>
      <c r="D670" s="6">
        <v>12.32</v>
      </c>
      <c r="E670" s="6">
        <v>344</v>
      </c>
    </row>
    <row r="671" spans="1:5" x14ac:dyDescent="0.25">
      <c r="A671" s="6" t="s">
        <v>857</v>
      </c>
      <c r="B671" s="6">
        <v>0.03</v>
      </c>
      <c r="C671" s="6">
        <v>0</v>
      </c>
      <c r="D671" s="6">
        <v>8.9600000000000009</v>
      </c>
      <c r="E671" s="6">
        <v>272</v>
      </c>
    </row>
    <row r="672" spans="1:5" x14ac:dyDescent="0.25">
      <c r="A672" s="6" t="s">
        <v>18</v>
      </c>
      <c r="B672" s="6">
        <v>0.03</v>
      </c>
      <c r="C672" s="6">
        <v>0</v>
      </c>
      <c r="D672" s="6">
        <v>8.1300000000000008</v>
      </c>
      <c r="E672" s="6">
        <v>286</v>
      </c>
    </row>
    <row r="673" spans="1:5" x14ac:dyDescent="0.25">
      <c r="A673" s="6" t="s">
        <v>623</v>
      </c>
      <c r="B673" s="6">
        <v>0.02</v>
      </c>
      <c r="C673" s="6">
        <v>0</v>
      </c>
      <c r="D673" s="6">
        <v>7.28</v>
      </c>
      <c r="E673" s="6">
        <v>281</v>
      </c>
    </row>
    <row r="674" spans="1:5" x14ac:dyDescent="0.25">
      <c r="A674" s="6" t="s">
        <v>205</v>
      </c>
      <c r="B674" s="6">
        <v>0.03</v>
      </c>
      <c r="C674" s="6">
        <v>0</v>
      </c>
      <c r="D674" s="6">
        <v>13.98</v>
      </c>
      <c r="E674" s="6">
        <v>468</v>
      </c>
    </row>
    <row r="675" spans="1:5" x14ac:dyDescent="0.25">
      <c r="A675" s="6" t="s">
        <v>99</v>
      </c>
      <c r="B675" s="6">
        <v>0.03</v>
      </c>
      <c r="C675" s="6">
        <v>0</v>
      </c>
      <c r="D675" s="6">
        <v>14.28</v>
      </c>
      <c r="E675" s="6">
        <v>333</v>
      </c>
    </row>
    <row r="676" spans="1:5" x14ac:dyDescent="0.25">
      <c r="A676" s="6" t="s">
        <v>21</v>
      </c>
      <c r="B676" s="6">
        <v>0.03</v>
      </c>
      <c r="C676" s="6">
        <v>0</v>
      </c>
      <c r="D676" s="6">
        <v>5.25</v>
      </c>
      <c r="E676" s="6">
        <v>162</v>
      </c>
    </row>
    <row r="677" spans="1:5" x14ac:dyDescent="0.25">
      <c r="A677" s="6" t="s">
        <v>858</v>
      </c>
      <c r="B677" s="6">
        <v>0.03</v>
      </c>
      <c r="C677" s="6">
        <v>0</v>
      </c>
      <c r="D677" s="6">
        <v>13.45</v>
      </c>
      <c r="E677" s="6">
        <v>470</v>
      </c>
    </row>
    <row r="678" spans="1:5" x14ac:dyDescent="0.25">
      <c r="A678" s="6" t="s">
        <v>216</v>
      </c>
      <c r="B678" s="6">
        <v>0.03</v>
      </c>
      <c r="C678" s="6">
        <v>0</v>
      </c>
      <c r="D678" s="6">
        <v>14.2</v>
      </c>
      <c r="E678" s="6">
        <v>470</v>
      </c>
    </row>
    <row r="679" spans="1:5" x14ac:dyDescent="0.25">
      <c r="A679" s="6" t="s">
        <v>637</v>
      </c>
      <c r="B679" s="6">
        <v>0.35</v>
      </c>
      <c r="C679" s="6">
        <v>19</v>
      </c>
      <c r="D679" s="6">
        <v>6.75</v>
      </c>
      <c r="E679" s="6">
        <v>219</v>
      </c>
    </row>
    <row r="680" spans="1:5" x14ac:dyDescent="0.25">
      <c r="A680" s="6" t="s">
        <v>138</v>
      </c>
      <c r="B680" s="6">
        <v>0.02</v>
      </c>
      <c r="C680" s="6">
        <v>0</v>
      </c>
      <c r="D680" s="6">
        <v>4.47</v>
      </c>
      <c r="E680" s="6">
        <v>161</v>
      </c>
    </row>
    <row r="681" spans="1:5" x14ac:dyDescent="0.25">
      <c r="A681" s="6" t="s">
        <v>311</v>
      </c>
      <c r="B681" s="6">
        <v>0.26</v>
      </c>
      <c r="C681" s="6">
        <v>17</v>
      </c>
      <c r="D681" s="6">
        <v>7.42</v>
      </c>
      <c r="E681" s="6">
        <v>267</v>
      </c>
    </row>
    <row r="682" spans="1:5" x14ac:dyDescent="0.25">
      <c r="A682" s="6" t="s">
        <v>60</v>
      </c>
      <c r="B682" s="6">
        <v>0.03</v>
      </c>
      <c r="C682" s="6">
        <v>0</v>
      </c>
      <c r="D682" s="6">
        <v>6.36</v>
      </c>
      <c r="E682" s="6">
        <v>116</v>
      </c>
    </row>
    <row r="683" spans="1:5" x14ac:dyDescent="0.25">
      <c r="A683" s="6" t="s">
        <v>416</v>
      </c>
      <c r="B683" s="6">
        <v>0.03</v>
      </c>
      <c r="C683" s="6">
        <v>0</v>
      </c>
      <c r="D683" s="6">
        <v>13.34</v>
      </c>
      <c r="E683" s="6">
        <v>321</v>
      </c>
    </row>
    <row r="684" spans="1:5" x14ac:dyDescent="0.25">
      <c r="A684" s="6" t="s">
        <v>717</v>
      </c>
      <c r="B684" s="6">
        <v>0.04</v>
      </c>
      <c r="C684" s="6">
        <v>0</v>
      </c>
      <c r="D684" s="6">
        <v>13.72</v>
      </c>
      <c r="E684" s="6">
        <v>316</v>
      </c>
    </row>
    <row r="685" spans="1:5" x14ac:dyDescent="0.25">
      <c r="A685" s="6" t="s">
        <v>955</v>
      </c>
      <c r="B685" s="6">
        <v>0.03</v>
      </c>
      <c r="C685" s="6">
        <v>0</v>
      </c>
      <c r="D685" s="6">
        <v>14.87</v>
      </c>
      <c r="E685" s="6">
        <v>364</v>
      </c>
    </row>
    <row r="686" spans="1:5" x14ac:dyDescent="0.25">
      <c r="A686" s="6" t="s">
        <v>572</v>
      </c>
      <c r="B686" s="6">
        <v>0.31</v>
      </c>
      <c r="C686" s="6">
        <v>14</v>
      </c>
      <c r="D686" s="6">
        <v>5.65</v>
      </c>
      <c r="E686" s="6">
        <v>243</v>
      </c>
    </row>
    <row r="687" spans="1:5" x14ac:dyDescent="0.25">
      <c r="A687" s="6" t="s">
        <v>859</v>
      </c>
      <c r="B687" s="6">
        <v>0.04</v>
      </c>
      <c r="C687" s="6">
        <v>0</v>
      </c>
      <c r="D687" s="6">
        <v>16.22</v>
      </c>
      <c r="E687" s="6">
        <v>485</v>
      </c>
    </row>
    <row r="688" spans="1:5" x14ac:dyDescent="0.25">
      <c r="A688" s="6" t="s">
        <v>715</v>
      </c>
      <c r="B688" s="6">
        <v>0.02</v>
      </c>
      <c r="C688" s="6">
        <v>0</v>
      </c>
      <c r="D688" s="6">
        <v>7.22</v>
      </c>
      <c r="E688" s="6">
        <v>238</v>
      </c>
    </row>
    <row r="689" spans="1:5" x14ac:dyDescent="0.25">
      <c r="A689" s="6" t="s">
        <v>436</v>
      </c>
      <c r="B689" s="6">
        <v>0.04</v>
      </c>
      <c r="C689" s="6">
        <v>0</v>
      </c>
      <c r="D689" s="6">
        <v>17.25</v>
      </c>
      <c r="E689" s="6">
        <v>465</v>
      </c>
    </row>
    <row r="690" spans="1:5" x14ac:dyDescent="0.25">
      <c r="A690" s="6" t="s">
        <v>268</v>
      </c>
      <c r="B690" s="6">
        <v>0.02</v>
      </c>
      <c r="C690" s="6">
        <v>0</v>
      </c>
      <c r="D690" s="6">
        <v>1.38</v>
      </c>
      <c r="E690" s="6">
        <v>42</v>
      </c>
    </row>
    <row r="691" spans="1:5" x14ac:dyDescent="0.25">
      <c r="A691" s="6" t="s">
        <v>438</v>
      </c>
      <c r="B691" s="6">
        <v>0.02</v>
      </c>
      <c r="C691" s="6">
        <v>0</v>
      </c>
      <c r="D691" s="6">
        <v>4.05</v>
      </c>
      <c r="E691" s="6">
        <v>151</v>
      </c>
    </row>
    <row r="692" spans="1:5" x14ac:dyDescent="0.25">
      <c r="A692" s="6" t="s">
        <v>735</v>
      </c>
      <c r="B692" s="6">
        <v>0.03</v>
      </c>
      <c r="C692" s="6">
        <v>0</v>
      </c>
      <c r="D692" s="6">
        <v>8.58</v>
      </c>
      <c r="E692" s="6">
        <v>278</v>
      </c>
    </row>
    <row r="693" spans="1:5" x14ac:dyDescent="0.25">
      <c r="A693" s="6" t="s">
        <v>655</v>
      </c>
      <c r="B693" s="6">
        <v>0.03</v>
      </c>
      <c r="C693" s="6">
        <v>0</v>
      </c>
      <c r="D693" s="6">
        <v>6.56</v>
      </c>
      <c r="E693" s="6">
        <v>207</v>
      </c>
    </row>
    <row r="694" spans="1:5" x14ac:dyDescent="0.25">
      <c r="A694" s="6" t="s">
        <v>957</v>
      </c>
      <c r="B694" s="6">
        <v>0.03</v>
      </c>
      <c r="C694" s="6">
        <v>0</v>
      </c>
      <c r="D694" s="6">
        <v>7.17</v>
      </c>
      <c r="E694" s="6">
        <v>242</v>
      </c>
    </row>
    <row r="695" spans="1:5" x14ac:dyDescent="0.25">
      <c r="A695" s="6" t="s">
        <v>471</v>
      </c>
      <c r="B695" s="6">
        <v>0.03</v>
      </c>
      <c r="C695" s="6">
        <v>0</v>
      </c>
      <c r="D695" s="6">
        <v>10.7</v>
      </c>
      <c r="E695" s="6">
        <v>241</v>
      </c>
    </row>
    <row r="696" spans="1:5" x14ac:dyDescent="0.25">
      <c r="A696" s="6" t="s">
        <v>860</v>
      </c>
      <c r="B696" s="6">
        <v>0.81</v>
      </c>
      <c r="C696" s="6">
        <v>31</v>
      </c>
      <c r="D696" s="6">
        <v>14.94</v>
      </c>
      <c r="E696" s="6">
        <v>450</v>
      </c>
    </row>
    <row r="697" spans="1:5" x14ac:dyDescent="0.25">
      <c r="A697" s="6" t="s">
        <v>688</v>
      </c>
      <c r="B697" s="6">
        <v>0.02</v>
      </c>
      <c r="C697" s="6">
        <v>0</v>
      </c>
      <c r="D697" s="6">
        <v>5</v>
      </c>
      <c r="E697" s="6">
        <v>169</v>
      </c>
    </row>
    <row r="698" spans="1:5" x14ac:dyDescent="0.25">
      <c r="A698" s="6" t="s">
        <v>958</v>
      </c>
      <c r="B698" s="6">
        <v>0.03</v>
      </c>
      <c r="C698" s="6">
        <v>0</v>
      </c>
      <c r="D698" s="6">
        <v>5.61</v>
      </c>
      <c r="E698" s="6">
        <v>148</v>
      </c>
    </row>
    <row r="699" spans="1:5" x14ac:dyDescent="0.25">
      <c r="A699" s="6" t="s">
        <v>861</v>
      </c>
      <c r="B699" s="6">
        <v>0.02</v>
      </c>
      <c r="C699" s="6">
        <v>0</v>
      </c>
      <c r="D699" s="6">
        <v>11.45</v>
      </c>
      <c r="E699" s="6">
        <v>458</v>
      </c>
    </row>
    <row r="700" spans="1:5" x14ac:dyDescent="0.25">
      <c r="A700" s="6" t="s">
        <v>364</v>
      </c>
      <c r="B700" s="6">
        <v>0.03</v>
      </c>
      <c r="C700" s="6">
        <v>0</v>
      </c>
      <c r="D700" s="6">
        <v>2.52</v>
      </c>
      <c r="E700" s="6">
        <v>69</v>
      </c>
    </row>
    <row r="701" spans="1:5" x14ac:dyDescent="0.25">
      <c r="A701" s="6" t="s">
        <v>959</v>
      </c>
      <c r="B701" s="6">
        <v>0.03</v>
      </c>
      <c r="C701" s="6">
        <v>0</v>
      </c>
      <c r="D701" s="6">
        <v>10.9</v>
      </c>
      <c r="E701" s="6">
        <v>414</v>
      </c>
    </row>
    <row r="702" spans="1:5" x14ac:dyDescent="0.25">
      <c r="A702" s="6" t="s">
        <v>55</v>
      </c>
      <c r="B702" s="6">
        <v>0.03</v>
      </c>
      <c r="C702" s="6">
        <v>0</v>
      </c>
      <c r="D702" s="6">
        <v>10.98</v>
      </c>
      <c r="E702" s="6">
        <v>279</v>
      </c>
    </row>
    <row r="703" spans="1:5" x14ac:dyDescent="0.25">
      <c r="A703" s="6" t="s">
        <v>19</v>
      </c>
      <c r="B703" s="6">
        <v>0.03</v>
      </c>
      <c r="C703" s="6">
        <v>0</v>
      </c>
      <c r="D703" s="6">
        <v>8.6199999999999992</v>
      </c>
      <c r="E703" s="6">
        <v>303</v>
      </c>
    </row>
    <row r="704" spans="1:5" x14ac:dyDescent="0.25">
      <c r="A704" s="6" t="s">
        <v>183</v>
      </c>
      <c r="B704" s="6">
        <v>0.69</v>
      </c>
      <c r="C704" s="6">
        <v>23</v>
      </c>
      <c r="D704" s="6">
        <v>12.47</v>
      </c>
      <c r="E704" s="6">
        <v>179</v>
      </c>
    </row>
    <row r="705" spans="1:5" x14ac:dyDescent="0.25">
      <c r="A705" s="6" t="s">
        <v>687</v>
      </c>
      <c r="B705" s="6">
        <v>0.03</v>
      </c>
      <c r="C705" s="6">
        <v>0</v>
      </c>
      <c r="D705" s="6">
        <v>10.38</v>
      </c>
      <c r="E705" s="6">
        <v>374</v>
      </c>
    </row>
    <row r="706" spans="1:5" x14ac:dyDescent="0.25">
      <c r="A706" s="6" t="s">
        <v>51</v>
      </c>
      <c r="B706" s="6">
        <v>0.03</v>
      </c>
      <c r="C706" s="6">
        <v>0</v>
      </c>
      <c r="D706" s="6">
        <v>9.7899999999999991</v>
      </c>
      <c r="E706" s="6">
        <v>311</v>
      </c>
    </row>
    <row r="707" spans="1:5" x14ac:dyDescent="0.25">
      <c r="A707" s="6" t="s">
        <v>960</v>
      </c>
      <c r="B707" s="6">
        <v>0.03</v>
      </c>
      <c r="C707" s="6">
        <v>0</v>
      </c>
      <c r="D707" s="6">
        <v>12.74</v>
      </c>
      <c r="E707" s="6">
        <v>366</v>
      </c>
    </row>
    <row r="708" spans="1:5" x14ac:dyDescent="0.25">
      <c r="A708" s="6" t="s">
        <v>106</v>
      </c>
      <c r="B708" s="6">
        <v>0.03</v>
      </c>
      <c r="C708" s="6">
        <v>0</v>
      </c>
      <c r="D708" s="6">
        <v>9.2200000000000006</v>
      </c>
      <c r="E708" s="6">
        <v>257</v>
      </c>
    </row>
    <row r="709" spans="1:5" x14ac:dyDescent="0.25">
      <c r="A709" s="6" t="s">
        <v>862</v>
      </c>
      <c r="B709" s="6">
        <v>0.02</v>
      </c>
      <c r="C709" s="6">
        <v>0</v>
      </c>
      <c r="D709" s="6">
        <v>13.35</v>
      </c>
      <c r="E709" s="6">
        <v>407</v>
      </c>
    </row>
    <row r="710" spans="1:5" x14ac:dyDescent="0.25">
      <c r="A710" s="6" t="s">
        <v>863</v>
      </c>
      <c r="B710" s="6">
        <v>0.03</v>
      </c>
      <c r="C710" s="6">
        <v>0</v>
      </c>
      <c r="D710" s="6">
        <v>11.74</v>
      </c>
      <c r="E710" s="6">
        <v>310</v>
      </c>
    </row>
    <row r="711" spans="1:5" x14ac:dyDescent="0.25">
      <c r="A711" s="6" t="s">
        <v>297</v>
      </c>
      <c r="B711" s="6">
        <v>0.03</v>
      </c>
      <c r="C711" s="6">
        <v>0</v>
      </c>
      <c r="D711" s="6">
        <v>7.38</v>
      </c>
      <c r="E711" s="6">
        <v>282</v>
      </c>
    </row>
    <row r="712" spans="1:5" x14ac:dyDescent="0.25">
      <c r="A712" s="6" t="s">
        <v>864</v>
      </c>
      <c r="B712" s="6">
        <v>0.39</v>
      </c>
      <c r="C712" s="6">
        <v>20</v>
      </c>
      <c r="D712" s="6">
        <v>14.91</v>
      </c>
      <c r="E712" s="6">
        <v>439</v>
      </c>
    </row>
    <row r="713" spans="1:5" x14ac:dyDescent="0.25">
      <c r="A713" s="6" t="s">
        <v>961</v>
      </c>
      <c r="B713" s="6">
        <v>0.06</v>
      </c>
      <c r="C713" s="6">
        <v>0</v>
      </c>
      <c r="D713" s="6">
        <v>22.63</v>
      </c>
      <c r="E713" s="6">
        <v>553</v>
      </c>
    </row>
    <row r="714" spans="1:5" x14ac:dyDescent="0.25">
      <c r="A714" s="6" t="s">
        <v>500</v>
      </c>
      <c r="B714" s="6">
        <v>0.05</v>
      </c>
      <c r="C714" s="6">
        <v>0</v>
      </c>
      <c r="D714" s="6">
        <v>11.26</v>
      </c>
      <c r="E714" s="6">
        <v>209</v>
      </c>
    </row>
    <row r="715" spans="1:5" x14ac:dyDescent="0.25">
      <c r="A715" s="6" t="s">
        <v>962</v>
      </c>
      <c r="B715" s="6">
        <v>0.02</v>
      </c>
      <c r="C715" s="6">
        <v>0</v>
      </c>
      <c r="D715" s="6">
        <v>11.08</v>
      </c>
      <c r="E715" s="6">
        <v>387</v>
      </c>
    </row>
    <row r="716" spans="1:5" x14ac:dyDescent="0.25">
      <c r="A716" s="6" t="s">
        <v>518</v>
      </c>
      <c r="B716" s="6">
        <v>0.04</v>
      </c>
      <c r="C716" s="6">
        <v>0</v>
      </c>
      <c r="D716" s="6">
        <v>17.260000000000002</v>
      </c>
      <c r="E716" s="6">
        <v>454</v>
      </c>
    </row>
    <row r="717" spans="1:5" x14ac:dyDescent="0.25">
      <c r="A717" s="6" t="s">
        <v>624</v>
      </c>
      <c r="B717" s="6">
        <v>0.04</v>
      </c>
      <c r="C717" s="6">
        <v>0</v>
      </c>
      <c r="D717" s="6">
        <v>22.97</v>
      </c>
      <c r="E717" s="6">
        <v>512</v>
      </c>
    </row>
    <row r="718" spans="1:5" x14ac:dyDescent="0.25">
      <c r="A718" s="6" t="s">
        <v>344</v>
      </c>
      <c r="B718" s="6">
        <v>0.03</v>
      </c>
      <c r="C718" s="6">
        <v>0</v>
      </c>
      <c r="D718" s="6">
        <v>14.61</v>
      </c>
      <c r="E718" s="6">
        <v>322</v>
      </c>
    </row>
    <row r="719" spans="1:5" x14ac:dyDescent="0.25">
      <c r="A719" s="6" t="s">
        <v>865</v>
      </c>
      <c r="B719" s="6">
        <v>0.41</v>
      </c>
      <c r="C719" s="6">
        <v>20</v>
      </c>
      <c r="D719" s="6">
        <v>14.46</v>
      </c>
      <c r="E719" s="6">
        <v>381</v>
      </c>
    </row>
    <row r="720" spans="1:5" x14ac:dyDescent="0.25">
      <c r="A720" s="6" t="s">
        <v>273</v>
      </c>
      <c r="B720" s="6">
        <v>0.03</v>
      </c>
      <c r="C720" s="6">
        <v>0</v>
      </c>
      <c r="D720" s="6">
        <v>6.43</v>
      </c>
      <c r="E720" s="6">
        <v>122</v>
      </c>
    </row>
    <row r="721" spans="1:5" x14ac:dyDescent="0.25">
      <c r="A721" s="6" t="s">
        <v>149</v>
      </c>
      <c r="B721" s="6">
        <v>0.03</v>
      </c>
      <c r="C721" s="6">
        <v>0</v>
      </c>
      <c r="D721" s="6">
        <v>10.45</v>
      </c>
      <c r="E721" s="6">
        <v>343</v>
      </c>
    </row>
    <row r="722" spans="1:5" x14ac:dyDescent="0.25">
      <c r="A722" s="6" t="s">
        <v>866</v>
      </c>
      <c r="B722" s="6">
        <v>0.03</v>
      </c>
      <c r="C722" s="6">
        <v>0</v>
      </c>
      <c r="D722" s="6">
        <v>13.75</v>
      </c>
      <c r="E722" s="6">
        <v>471</v>
      </c>
    </row>
    <row r="723" spans="1:5" x14ac:dyDescent="0.25">
      <c r="A723" s="6" t="s">
        <v>76</v>
      </c>
      <c r="B723" s="6">
        <v>0.02</v>
      </c>
      <c r="C723" s="6">
        <v>0</v>
      </c>
      <c r="D723" s="6">
        <v>12.38</v>
      </c>
      <c r="E723" s="6">
        <v>372</v>
      </c>
    </row>
    <row r="724" spans="1:5" x14ac:dyDescent="0.25">
      <c r="A724" s="6" t="s">
        <v>997</v>
      </c>
      <c r="B724" s="6">
        <v>0.03</v>
      </c>
      <c r="C724" s="6">
        <v>0</v>
      </c>
      <c r="D724" s="6">
        <v>13.94</v>
      </c>
      <c r="E724" s="6">
        <v>233</v>
      </c>
    </row>
    <row r="725" spans="1:5" x14ac:dyDescent="0.25">
      <c r="A725" s="6" t="s">
        <v>867</v>
      </c>
      <c r="B725" s="6">
        <v>0.03</v>
      </c>
      <c r="C725" s="6">
        <v>0</v>
      </c>
      <c r="D725" s="6">
        <v>17.43</v>
      </c>
      <c r="E725" s="6">
        <v>512</v>
      </c>
    </row>
    <row r="726" spans="1:5" x14ac:dyDescent="0.25">
      <c r="A726" s="6" t="s">
        <v>33</v>
      </c>
      <c r="B726" s="6">
        <v>0.03</v>
      </c>
      <c r="C726" s="6">
        <v>0</v>
      </c>
      <c r="D726" s="6">
        <v>8.4600000000000009</v>
      </c>
      <c r="E726" s="6">
        <v>312</v>
      </c>
    </row>
    <row r="727" spans="1:5" x14ac:dyDescent="0.25">
      <c r="A727" s="6" t="s">
        <v>568</v>
      </c>
      <c r="B727" s="6">
        <v>0.44</v>
      </c>
      <c r="C727" s="6">
        <v>17</v>
      </c>
      <c r="D727" s="6">
        <v>10.71</v>
      </c>
      <c r="E727" s="6">
        <v>308</v>
      </c>
    </row>
    <row r="728" spans="1:5" x14ac:dyDescent="0.25">
      <c r="A728" s="6" t="s">
        <v>98</v>
      </c>
      <c r="B728" s="6">
        <v>0.03</v>
      </c>
      <c r="C728" s="6">
        <v>0</v>
      </c>
      <c r="D728" s="6">
        <v>7.95</v>
      </c>
      <c r="E728" s="6">
        <v>194</v>
      </c>
    </row>
    <row r="729" spans="1:5" x14ac:dyDescent="0.25">
      <c r="A729" s="6" t="s">
        <v>574</v>
      </c>
      <c r="B729" s="6">
        <v>0.02</v>
      </c>
      <c r="C729" s="6">
        <v>0</v>
      </c>
      <c r="D729" s="6">
        <v>6.44</v>
      </c>
      <c r="E729" s="6">
        <v>249</v>
      </c>
    </row>
    <row r="730" spans="1:5" x14ac:dyDescent="0.25">
      <c r="A730" s="6" t="s">
        <v>111</v>
      </c>
      <c r="B730" s="6">
        <v>0.04</v>
      </c>
      <c r="C730" s="6">
        <v>0</v>
      </c>
      <c r="D730" s="6">
        <v>7.6</v>
      </c>
      <c r="E730" s="6">
        <v>226</v>
      </c>
    </row>
    <row r="731" spans="1:5" x14ac:dyDescent="0.25">
      <c r="A731" s="6" t="s">
        <v>868</v>
      </c>
      <c r="B731" s="6">
        <v>0.03</v>
      </c>
      <c r="C731" s="6">
        <v>0</v>
      </c>
      <c r="D731" s="6">
        <v>5.03</v>
      </c>
      <c r="E731" s="6">
        <v>121</v>
      </c>
    </row>
    <row r="732" spans="1:5" x14ac:dyDescent="0.25">
      <c r="A732" s="6" t="s">
        <v>247</v>
      </c>
      <c r="B732" s="6">
        <v>0.54</v>
      </c>
      <c r="C732" s="6">
        <v>26</v>
      </c>
      <c r="D732" s="6">
        <v>15.86</v>
      </c>
      <c r="E732" s="6">
        <v>361</v>
      </c>
    </row>
    <row r="733" spans="1:5" x14ac:dyDescent="0.25">
      <c r="A733" s="6" t="s">
        <v>37</v>
      </c>
      <c r="B733" s="6">
        <v>0.03</v>
      </c>
      <c r="C733" s="6">
        <v>0</v>
      </c>
      <c r="D733" s="6">
        <v>4.4000000000000004</v>
      </c>
      <c r="E733" s="6">
        <v>154</v>
      </c>
    </row>
    <row r="734" spans="1:5" x14ac:dyDescent="0.25">
      <c r="A734" s="6" t="s">
        <v>869</v>
      </c>
      <c r="B734" s="6">
        <v>0.03</v>
      </c>
      <c r="C734" s="6">
        <v>0</v>
      </c>
      <c r="D734" s="6">
        <v>11.52</v>
      </c>
      <c r="E734" s="6">
        <v>309</v>
      </c>
    </row>
    <row r="735" spans="1:5" x14ac:dyDescent="0.25">
      <c r="A735" s="6" t="s">
        <v>115</v>
      </c>
      <c r="B735" s="6">
        <v>0.02</v>
      </c>
      <c r="C735" s="6">
        <v>0</v>
      </c>
      <c r="D735" s="6">
        <v>6.67</v>
      </c>
      <c r="E735" s="6">
        <v>226</v>
      </c>
    </row>
    <row r="736" spans="1:5" x14ac:dyDescent="0.25">
      <c r="A736" s="6" t="s">
        <v>549</v>
      </c>
      <c r="B736" s="6">
        <v>0.03</v>
      </c>
      <c r="C736" s="6">
        <v>0</v>
      </c>
      <c r="D736" s="6">
        <v>9.27</v>
      </c>
      <c r="E736" s="6">
        <v>196</v>
      </c>
    </row>
    <row r="737" spans="1:5" x14ac:dyDescent="0.25">
      <c r="A737" s="6" t="s">
        <v>222</v>
      </c>
      <c r="B737" s="6">
        <v>0.46</v>
      </c>
      <c r="C737" s="6">
        <v>28</v>
      </c>
      <c r="D737" s="6">
        <v>5.23</v>
      </c>
      <c r="E737" s="6">
        <v>176</v>
      </c>
    </row>
    <row r="738" spans="1:5" x14ac:dyDescent="0.25">
      <c r="A738" s="6" t="s">
        <v>963</v>
      </c>
      <c r="B738" s="6">
        <v>0.03</v>
      </c>
      <c r="C738" s="6">
        <v>0</v>
      </c>
      <c r="D738" s="6">
        <v>8.32</v>
      </c>
      <c r="E738" s="6">
        <v>257</v>
      </c>
    </row>
    <row r="739" spans="1:5" x14ac:dyDescent="0.25">
      <c r="A739" s="6" t="s">
        <v>20</v>
      </c>
      <c r="B739" s="6">
        <v>0.03</v>
      </c>
      <c r="C739" s="6">
        <v>0</v>
      </c>
      <c r="D739" s="6">
        <v>12.01</v>
      </c>
      <c r="E739" s="6">
        <v>345</v>
      </c>
    </row>
    <row r="740" spans="1:5" x14ac:dyDescent="0.25">
      <c r="A740" s="6" t="s">
        <v>0</v>
      </c>
      <c r="B740" s="6">
        <v>0.02</v>
      </c>
      <c r="C740" s="6">
        <v>0</v>
      </c>
      <c r="D740" s="6">
        <v>8.15</v>
      </c>
      <c r="E740" s="6">
        <v>320</v>
      </c>
    </row>
    <row r="741" spans="1:5" x14ac:dyDescent="0.25">
      <c r="A741" s="6" t="s">
        <v>345</v>
      </c>
      <c r="B741" s="6">
        <v>0.04</v>
      </c>
      <c r="C741" s="6">
        <v>0</v>
      </c>
      <c r="D741" s="6">
        <v>9.16</v>
      </c>
      <c r="E741" s="6">
        <v>398</v>
      </c>
    </row>
    <row r="742" spans="1:5" x14ac:dyDescent="0.25">
      <c r="A742" s="6" t="s">
        <v>275</v>
      </c>
      <c r="B742" s="6">
        <v>0.02</v>
      </c>
      <c r="C742" s="6">
        <v>0</v>
      </c>
      <c r="D742" s="6">
        <v>9.44</v>
      </c>
      <c r="E742" s="6">
        <v>340</v>
      </c>
    </row>
    <row r="743" spans="1:5" x14ac:dyDescent="0.25">
      <c r="A743" s="6" t="s">
        <v>604</v>
      </c>
      <c r="B743" s="6">
        <v>0.03</v>
      </c>
      <c r="C743" s="6">
        <v>0</v>
      </c>
      <c r="D743" s="6">
        <v>8.56</v>
      </c>
      <c r="E743" s="6">
        <v>241</v>
      </c>
    </row>
    <row r="744" spans="1:5" x14ac:dyDescent="0.25">
      <c r="A744" s="6" t="s">
        <v>870</v>
      </c>
      <c r="B744" s="6">
        <v>0.03</v>
      </c>
      <c r="C744" s="6">
        <v>0</v>
      </c>
      <c r="D744" s="6">
        <v>13.32</v>
      </c>
      <c r="E744" s="6">
        <v>389</v>
      </c>
    </row>
    <row r="745" spans="1:5" x14ac:dyDescent="0.25">
      <c r="A745" s="6" t="s">
        <v>495</v>
      </c>
      <c r="B745" s="6">
        <v>0.02</v>
      </c>
      <c r="C745" s="6">
        <v>0</v>
      </c>
      <c r="D745" s="6">
        <v>2.66</v>
      </c>
      <c r="E745" s="6">
        <v>94</v>
      </c>
    </row>
    <row r="746" spans="1:5" x14ac:dyDescent="0.25">
      <c r="A746" s="6" t="s">
        <v>49</v>
      </c>
      <c r="B746" s="6">
        <v>0.02</v>
      </c>
      <c r="C746" s="6">
        <v>0</v>
      </c>
      <c r="D746" s="6">
        <v>9.69</v>
      </c>
      <c r="E746" s="6">
        <v>352</v>
      </c>
    </row>
    <row r="747" spans="1:5" x14ac:dyDescent="0.25">
      <c r="A747" s="6" t="s">
        <v>390</v>
      </c>
      <c r="B747" s="6">
        <v>0.03</v>
      </c>
      <c r="C747" s="6">
        <v>0</v>
      </c>
      <c r="D747" s="6">
        <v>15.75</v>
      </c>
      <c r="E747" s="6">
        <v>539</v>
      </c>
    </row>
    <row r="748" spans="1:5" x14ac:dyDescent="0.25">
      <c r="A748" s="6" t="s">
        <v>350</v>
      </c>
      <c r="B748" s="6">
        <v>0.03</v>
      </c>
      <c r="C748" s="6">
        <v>0</v>
      </c>
      <c r="D748" s="6">
        <v>12.75</v>
      </c>
      <c r="E748" s="6">
        <v>278</v>
      </c>
    </row>
    <row r="749" spans="1:5" x14ac:dyDescent="0.25">
      <c r="A749" s="6" t="s">
        <v>545</v>
      </c>
      <c r="B749" s="6">
        <v>0.02</v>
      </c>
      <c r="C749" s="6">
        <v>0</v>
      </c>
      <c r="D749" s="6">
        <v>11.2</v>
      </c>
      <c r="E749" s="6">
        <v>508</v>
      </c>
    </row>
    <row r="750" spans="1:5" x14ac:dyDescent="0.25">
      <c r="A750" s="6" t="s">
        <v>964</v>
      </c>
      <c r="B750" s="6">
        <v>0.04</v>
      </c>
      <c r="C750" s="6">
        <v>0</v>
      </c>
      <c r="D750" s="6">
        <v>11.16</v>
      </c>
      <c r="E750" s="6">
        <v>264</v>
      </c>
    </row>
    <row r="751" spans="1:5" x14ac:dyDescent="0.25">
      <c r="A751" s="6" t="s">
        <v>871</v>
      </c>
      <c r="B751" s="6">
        <v>0.02</v>
      </c>
      <c r="C751" s="6">
        <v>0</v>
      </c>
      <c r="D751" s="6">
        <v>8</v>
      </c>
      <c r="E751" s="6">
        <v>210</v>
      </c>
    </row>
    <row r="752" spans="1:5" x14ac:dyDescent="0.25">
      <c r="A752" s="6" t="s">
        <v>28</v>
      </c>
      <c r="B752" s="6">
        <v>0.03</v>
      </c>
      <c r="C752" s="6">
        <v>0</v>
      </c>
      <c r="D752" s="6">
        <v>21.34</v>
      </c>
      <c r="E752" s="6">
        <v>638</v>
      </c>
    </row>
    <row r="753" spans="1:5" x14ac:dyDescent="0.25">
      <c r="A753" s="6" t="s">
        <v>368</v>
      </c>
      <c r="B753" s="6">
        <v>0.03</v>
      </c>
      <c r="C753" s="6">
        <v>0</v>
      </c>
      <c r="D753" s="6">
        <v>9.4600000000000009</v>
      </c>
      <c r="E753" s="6">
        <v>275</v>
      </c>
    </row>
    <row r="754" spans="1:5" x14ac:dyDescent="0.25">
      <c r="A754" s="6" t="s">
        <v>198</v>
      </c>
      <c r="B754" s="6">
        <v>0.02</v>
      </c>
      <c r="C754" s="6">
        <v>0</v>
      </c>
      <c r="D754" s="6">
        <v>4.97</v>
      </c>
      <c r="E754" s="6">
        <v>188</v>
      </c>
    </row>
    <row r="755" spans="1:5" x14ac:dyDescent="0.25">
      <c r="A755" s="6" t="s">
        <v>461</v>
      </c>
      <c r="B755" s="6">
        <v>0.02</v>
      </c>
      <c r="C755" s="6">
        <v>0</v>
      </c>
      <c r="D755" s="6">
        <v>6.68</v>
      </c>
      <c r="E755" s="6">
        <v>200</v>
      </c>
    </row>
    <row r="756" spans="1:5" x14ac:dyDescent="0.25">
      <c r="A756" s="6" t="s">
        <v>324</v>
      </c>
      <c r="B756" s="6">
        <v>0.43</v>
      </c>
      <c r="C756" s="6">
        <v>24</v>
      </c>
      <c r="D756" s="6">
        <v>6.48</v>
      </c>
      <c r="E756" s="6">
        <v>225</v>
      </c>
    </row>
    <row r="757" spans="1:5" x14ac:dyDescent="0.25">
      <c r="A757" s="6" t="s">
        <v>373</v>
      </c>
      <c r="B757" s="6">
        <v>0.03</v>
      </c>
      <c r="C757" s="6">
        <v>0</v>
      </c>
      <c r="D757" s="6">
        <v>11.15</v>
      </c>
      <c r="E757" s="6">
        <v>331</v>
      </c>
    </row>
    <row r="758" spans="1:5" x14ac:dyDescent="0.25">
      <c r="A758" s="6" t="s">
        <v>578</v>
      </c>
      <c r="B758" s="6">
        <v>0.02</v>
      </c>
      <c r="C758" s="6">
        <v>0</v>
      </c>
      <c r="D758" s="6">
        <v>5.82</v>
      </c>
      <c r="E758" s="6">
        <v>161</v>
      </c>
    </row>
    <row r="759" spans="1:5" x14ac:dyDescent="0.25">
      <c r="A759" s="6" t="s">
        <v>153</v>
      </c>
      <c r="B759" s="6">
        <v>0.03</v>
      </c>
      <c r="C759" s="6">
        <v>0</v>
      </c>
      <c r="D759" s="6">
        <v>10.130000000000001</v>
      </c>
      <c r="E759" s="6">
        <v>357</v>
      </c>
    </row>
    <row r="760" spans="1:5" x14ac:dyDescent="0.25">
      <c r="A760" s="6" t="s">
        <v>491</v>
      </c>
      <c r="B760" s="6">
        <v>0.02</v>
      </c>
      <c r="C760" s="6">
        <v>0</v>
      </c>
      <c r="D760" s="6">
        <v>3.77</v>
      </c>
      <c r="E760" s="6">
        <v>127</v>
      </c>
    </row>
    <row r="761" spans="1:5" x14ac:dyDescent="0.25">
      <c r="A761" s="6" t="s">
        <v>132</v>
      </c>
      <c r="B761" s="6">
        <v>0.18</v>
      </c>
      <c r="C761" s="6">
        <v>14</v>
      </c>
      <c r="D761" s="6">
        <v>3.33</v>
      </c>
      <c r="E761" s="6">
        <v>134</v>
      </c>
    </row>
    <row r="762" spans="1:5" x14ac:dyDescent="0.25">
      <c r="A762" s="6" t="s">
        <v>677</v>
      </c>
      <c r="B762" s="6">
        <v>0.03</v>
      </c>
      <c r="C762" s="6">
        <v>0</v>
      </c>
      <c r="D762" s="6">
        <v>7.93</v>
      </c>
      <c r="E762" s="6">
        <v>387</v>
      </c>
    </row>
    <row r="763" spans="1:5" x14ac:dyDescent="0.25">
      <c r="A763" s="6" t="s">
        <v>166</v>
      </c>
      <c r="B763" s="6">
        <v>0.02</v>
      </c>
      <c r="C763" s="6">
        <v>0</v>
      </c>
      <c r="D763" s="6">
        <v>3.93</v>
      </c>
      <c r="E763" s="6">
        <v>154</v>
      </c>
    </row>
    <row r="764" spans="1:5" x14ac:dyDescent="0.25">
      <c r="A764" s="6" t="s">
        <v>588</v>
      </c>
      <c r="B764" s="6">
        <v>0.03</v>
      </c>
      <c r="C764" s="6">
        <v>0</v>
      </c>
      <c r="D764" s="6">
        <v>18.920000000000002</v>
      </c>
      <c r="E764" s="6">
        <v>480</v>
      </c>
    </row>
    <row r="765" spans="1:5" x14ac:dyDescent="0.25">
      <c r="A765" s="6" t="s">
        <v>441</v>
      </c>
      <c r="B765" s="6">
        <v>0.02</v>
      </c>
      <c r="C765" s="6">
        <v>0</v>
      </c>
      <c r="D765" s="6">
        <v>3.54</v>
      </c>
      <c r="E765" s="6">
        <v>106</v>
      </c>
    </row>
    <row r="766" spans="1:5" x14ac:dyDescent="0.25">
      <c r="A766" s="6" t="s">
        <v>351</v>
      </c>
      <c r="B766" s="6">
        <v>0.05</v>
      </c>
      <c r="C766" s="6">
        <v>0</v>
      </c>
      <c r="D766" s="6">
        <v>14.44</v>
      </c>
      <c r="E766" s="6">
        <v>466</v>
      </c>
    </row>
    <row r="767" spans="1:5" x14ac:dyDescent="0.25">
      <c r="A767" s="6" t="s">
        <v>681</v>
      </c>
      <c r="B767" s="6">
        <v>0.04</v>
      </c>
      <c r="C767" s="6">
        <v>0</v>
      </c>
      <c r="D767" s="6">
        <v>16.98</v>
      </c>
      <c r="E767" s="6">
        <v>514</v>
      </c>
    </row>
    <row r="768" spans="1:5" x14ac:dyDescent="0.25">
      <c r="A768" s="6" t="s">
        <v>202</v>
      </c>
      <c r="B768" s="6">
        <v>0.02</v>
      </c>
      <c r="C768" s="6">
        <v>0</v>
      </c>
      <c r="D768" s="6">
        <v>9.74</v>
      </c>
      <c r="E768" s="6">
        <v>251</v>
      </c>
    </row>
    <row r="769" spans="1:5" x14ac:dyDescent="0.25">
      <c r="A769" s="6" t="s">
        <v>966</v>
      </c>
      <c r="B769" s="6">
        <v>0.05</v>
      </c>
      <c r="C769" s="6">
        <v>0</v>
      </c>
      <c r="D769" s="6">
        <v>15.21</v>
      </c>
      <c r="E769" s="6">
        <v>412</v>
      </c>
    </row>
    <row r="770" spans="1:5" x14ac:dyDescent="0.25">
      <c r="A770" s="6" t="s">
        <v>475</v>
      </c>
      <c r="B770" s="6">
        <v>0.03</v>
      </c>
      <c r="C770" s="6">
        <v>0</v>
      </c>
      <c r="D770" s="6">
        <v>3.81</v>
      </c>
      <c r="E770" s="6">
        <v>63</v>
      </c>
    </row>
    <row r="771" spans="1:5" x14ac:dyDescent="0.25">
      <c r="A771" s="6" t="s">
        <v>335</v>
      </c>
      <c r="B771" s="6">
        <v>0.06</v>
      </c>
      <c r="C771" s="6">
        <v>0</v>
      </c>
      <c r="D771" s="6">
        <v>26.4</v>
      </c>
      <c r="E771" s="6">
        <v>759</v>
      </c>
    </row>
    <row r="772" spans="1:5" x14ac:dyDescent="0.25">
      <c r="A772" s="6" t="s">
        <v>872</v>
      </c>
      <c r="B772" s="6">
        <v>0.02</v>
      </c>
      <c r="C772" s="6">
        <v>0</v>
      </c>
      <c r="D772" s="6">
        <v>7.99</v>
      </c>
      <c r="E772" s="6">
        <v>283</v>
      </c>
    </row>
    <row r="773" spans="1:5" x14ac:dyDescent="0.25">
      <c r="A773" s="6" t="s">
        <v>967</v>
      </c>
      <c r="B773" s="6">
        <v>0.04</v>
      </c>
      <c r="C773" s="6">
        <v>0</v>
      </c>
      <c r="D773" s="6">
        <v>10.49</v>
      </c>
      <c r="E773" s="6">
        <v>296</v>
      </c>
    </row>
    <row r="774" spans="1:5" x14ac:dyDescent="0.25">
      <c r="A774" s="6" t="s">
        <v>703</v>
      </c>
      <c r="B774" s="6">
        <v>0.41</v>
      </c>
      <c r="C774" s="6">
        <v>21</v>
      </c>
      <c r="D774" s="6">
        <v>9.1999999999999993</v>
      </c>
      <c r="E774" s="6">
        <v>279</v>
      </c>
    </row>
    <row r="775" spans="1:5" x14ac:dyDescent="0.25">
      <c r="A775" s="6" t="s">
        <v>492</v>
      </c>
      <c r="B775" s="6">
        <v>0.06</v>
      </c>
      <c r="C775" s="6">
        <v>0</v>
      </c>
      <c r="D775" s="6">
        <v>3.24</v>
      </c>
      <c r="E775" s="6">
        <v>73</v>
      </c>
    </row>
    <row r="776" spans="1:5" x14ac:dyDescent="0.25">
      <c r="A776" s="6" t="s">
        <v>608</v>
      </c>
      <c r="B776" s="6">
        <v>0.02</v>
      </c>
      <c r="C776" s="6">
        <v>0</v>
      </c>
      <c r="D776" s="6">
        <v>6.57</v>
      </c>
      <c r="E776" s="6">
        <v>240</v>
      </c>
    </row>
    <row r="777" spans="1:5" x14ac:dyDescent="0.25">
      <c r="A777" s="6" t="s">
        <v>969</v>
      </c>
      <c r="B777" s="6">
        <v>0.5</v>
      </c>
      <c r="C777" s="6">
        <v>34</v>
      </c>
      <c r="D777" s="6">
        <v>8.81</v>
      </c>
      <c r="E777" s="6">
        <v>297</v>
      </c>
    </row>
    <row r="778" spans="1:5" x14ac:dyDescent="0.25">
      <c r="A778" s="6" t="s">
        <v>873</v>
      </c>
      <c r="B778" s="6">
        <v>0.02</v>
      </c>
      <c r="C778" s="6">
        <v>0</v>
      </c>
      <c r="D778" s="6">
        <v>11.46</v>
      </c>
      <c r="E778" s="6">
        <v>452</v>
      </c>
    </row>
    <row r="779" spans="1:5" x14ac:dyDescent="0.25">
      <c r="A779" s="6" t="s">
        <v>57</v>
      </c>
      <c r="B779" s="6">
        <v>0.02</v>
      </c>
      <c r="C779" s="6">
        <v>0</v>
      </c>
      <c r="D779" s="6">
        <v>6.65</v>
      </c>
      <c r="E779" s="6">
        <v>233</v>
      </c>
    </row>
    <row r="780" spans="1:5" x14ac:dyDescent="0.25">
      <c r="A780" s="6" t="s">
        <v>347</v>
      </c>
      <c r="B780" s="6">
        <v>0.03</v>
      </c>
      <c r="C780" s="6">
        <v>0</v>
      </c>
      <c r="D780" s="6">
        <v>10.5</v>
      </c>
      <c r="E780" s="6">
        <v>343</v>
      </c>
    </row>
    <row r="781" spans="1:5" x14ac:dyDescent="0.25">
      <c r="A781" s="6" t="s">
        <v>598</v>
      </c>
      <c r="B781" s="6">
        <v>0.03</v>
      </c>
      <c r="C781" s="6">
        <v>0</v>
      </c>
      <c r="D781" s="6">
        <v>7.92</v>
      </c>
      <c r="E781" s="6">
        <v>297</v>
      </c>
    </row>
    <row r="782" spans="1:5" x14ac:dyDescent="0.25">
      <c r="A782" s="6" t="s">
        <v>403</v>
      </c>
      <c r="B782" s="6">
        <v>0.03</v>
      </c>
      <c r="C782" s="6">
        <v>0</v>
      </c>
      <c r="D782" s="6">
        <v>7.69</v>
      </c>
      <c r="E782" s="6">
        <v>303</v>
      </c>
    </row>
    <row r="783" spans="1:5" x14ac:dyDescent="0.25">
      <c r="A783" s="6" t="s">
        <v>646</v>
      </c>
      <c r="B783" s="6">
        <v>0.03</v>
      </c>
      <c r="C783" s="6">
        <v>0</v>
      </c>
      <c r="D783" s="6">
        <v>7.93</v>
      </c>
      <c r="E783" s="6">
        <v>300</v>
      </c>
    </row>
    <row r="784" spans="1:5" x14ac:dyDescent="0.25">
      <c r="A784" s="6" t="s">
        <v>971</v>
      </c>
      <c r="B784" s="6">
        <v>0.02</v>
      </c>
      <c r="C784" s="6">
        <v>0</v>
      </c>
      <c r="D784" s="6">
        <v>5.91</v>
      </c>
      <c r="E784" s="6">
        <v>236</v>
      </c>
    </row>
    <row r="785" spans="1:5" x14ac:dyDescent="0.25">
      <c r="A785" s="6" t="s">
        <v>874</v>
      </c>
      <c r="B785" s="6">
        <v>0.02</v>
      </c>
      <c r="C785" s="6">
        <v>0</v>
      </c>
      <c r="D785" s="6">
        <v>4.13</v>
      </c>
      <c r="E785" s="6">
        <v>176</v>
      </c>
    </row>
    <row r="786" spans="1:5" x14ac:dyDescent="0.25">
      <c r="A786" s="6" t="s">
        <v>89</v>
      </c>
      <c r="B786" s="6">
        <v>0.02</v>
      </c>
      <c r="C786" s="6">
        <v>0</v>
      </c>
      <c r="D786" s="6">
        <v>7.33</v>
      </c>
      <c r="E786" s="6">
        <v>361</v>
      </c>
    </row>
    <row r="787" spans="1:5" x14ac:dyDescent="0.25">
      <c r="A787" s="6" t="s">
        <v>875</v>
      </c>
      <c r="B787" s="6">
        <v>0.03</v>
      </c>
      <c r="C787" s="6">
        <v>0</v>
      </c>
      <c r="D787" s="6">
        <v>7.19</v>
      </c>
      <c r="E787" s="6">
        <v>254</v>
      </c>
    </row>
    <row r="788" spans="1:5" x14ac:dyDescent="0.25">
      <c r="A788" s="6" t="s">
        <v>251</v>
      </c>
      <c r="B788" s="6">
        <v>0.03</v>
      </c>
      <c r="C788" s="6">
        <v>0</v>
      </c>
      <c r="D788" s="6">
        <v>12.66</v>
      </c>
      <c r="E788" s="6">
        <v>386</v>
      </c>
    </row>
    <row r="789" spans="1:5" x14ac:dyDescent="0.25">
      <c r="A789" s="6" t="s">
        <v>423</v>
      </c>
      <c r="B789" s="6">
        <v>0.04</v>
      </c>
      <c r="C789" s="6">
        <v>0</v>
      </c>
      <c r="D789" s="6">
        <v>13.2</v>
      </c>
      <c r="E789" s="6">
        <v>397</v>
      </c>
    </row>
    <row r="790" spans="1:5" x14ac:dyDescent="0.25">
      <c r="A790" s="6" t="s">
        <v>704</v>
      </c>
      <c r="B790" s="6">
        <v>0.25</v>
      </c>
      <c r="C790" s="6">
        <v>16</v>
      </c>
      <c r="D790" s="6">
        <v>8.1300000000000008</v>
      </c>
      <c r="E790" s="6">
        <v>272</v>
      </c>
    </row>
    <row r="791" spans="1:5" x14ac:dyDescent="0.25">
      <c r="A791" s="6" t="s">
        <v>260</v>
      </c>
      <c r="B791" s="6">
        <v>0.71</v>
      </c>
      <c r="C791" s="6">
        <v>26</v>
      </c>
      <c r="D791" s="6">
        <v>10.93</v>
      </c>
      <c r="E791" s="6">
        <v>258</v>
      </c>
    </row>
    <row r="792" spans="1:5" x14ac:dyDescent="0.25">
      <c r="A792" s="6" t="s">
        <v>876</v>
      </c>
      <c r="B792" s="6">
        <v>0.02</v>
      </c>
      <c r="C792" s="6">
        <v>0</v>
      </c>
      <c r="D792" s="6">
        <v>6.34</v>
      </c>
      <c r="E792" s="6">
        <v>215</v>
      </c>
    </row>
    <row r="793" spans="1:5" x14ac:dyDescent="0.25">
      <c r="A793" s="6" t="s">
        <v>11</v>
      </c>
      <c r="B793" s="6">
        <v>0.03</v>
      </c>
      <c r="C793" s="6">
        <v>0</v>
      </c>
      <c r="D793" s="6">
        <v>11.29</v>
      </c>
      <c r="E793" s="6">
        <v>328</v>
      </c>
    </row>
    <row r="794" spans="1:5" x14ac:dyDescent="0.25">
      <c r="A794" s="6" t="s">
        <v>463</v>
      </c>
      <c r="B794" s="6">
        <v>0.03</v>
      </c>
      <c r="C794" s="6">
        <v>0</v>
      </c>
      <c r="D794" s="6">
        <v>10.89</v>
      </c>
      <c r="E794" s="6">
        <v>340</v>
      </c>
    </row>
    <row r="795" spans="1:5" x14ac:dyDescent="0.25">
      <c r="A795" s="6" t="s">
        <v>396</v>
      </c>
      <c r="B795" s="6">
        <v>0.02</v>
      </c>
      <c r="C795" s="6">
        <v>0</v>
      </c>
      <c r="D795" s="6">
        <v>4.17</v>
      </c>
      <c r="E795" s="6">
        <v>102</v>
      </c>
    </row>
    <row r="796" spans="1:5" x14ac:dyDescent="0.25">
      <c r="A796" s="6" t="s">
        <v>537</v>
      </c>
      <c r="B796" s="6">
        <v>0.02</v>
      </c>
      <c r="C796" s="6">
        <v>0</v>
      </c>
      <c r="D796" s="6">
        <v>3.36</v>
      </c>
      <c r="E796" s="6">
        <v>111</v>
      </c>
    </row>
    <row r="797" spans="1:5" x14ac:dyDescent="0.25">
      <c r="A797" s="6" t="s">
        <v>481</v>
      </c>
      <c r="B797" s="6">
        <v>0.03</v>
      </c>
      <c r="C797" s="6">
        <v>0</v>
      </c>
      <c r="D797" s="6">
        <v>11.18</v>
      </c>
      <c r="E797" s="6">
        <v>374</v>
      </c>
    </row>
    <row r="798" spans="1:5" x14ac:dyDescent="0.25">
      <c r="A798" s="6" t="s">
        <v>676</v>
      </c>
      <c r="B798" s="6">
        <v>0.03</v>
      </c>
      <c r="C798" s="6">
        <v>0</v>
      </c>
      <c r="D798" s="6">
        <v>8.5299999999999994</v>
      </c>
      <c r="E798" s="6">
        <v>249</v>
      </c>
    </row>
    <row r="799" spans="1:5" x14ac:dyDescent="0.25">
      <c r="A799" s="6" t="s">
        <v>104</v>
      </c>
      <c r="B799" s="6">
        <v>0.02</v>
      </c>
      <c r="C799" s="6">
        <v>0</v>
      </c>
      <c r="D799" s="6">
        <v>6.65</v>
      </c>
      <c r="E799" s="6">
        <v>240</v>
      </c>
    </row>
    <row r="800" spans="1:5" x14ac:dyDescent="0.25">
      <c r="A800" s="6" t="s">
        <v>585</v>
      </c>
      <c r="B800" s="6">
        <v>0.04</v>
      </c>
      <c r="C800" s="6">
        <v>0</v>
      </c>
      <c r="D800" s="6">
        <v>5.38</v>
      </c>
      <c r="E800" s="6">
        <v>173</v>
      </c>
    </row>
    <row r="801" spans="1:5" x14ac:dyDescent="0.25">
      <c r="A801" s="6" t="s">
        <v>647</v>
      </c>
      <c r="B801" s="6">
        <v>0.02</v>
      </c>
      <c r="C801" s="6">
        <v>0</v>
      </c>
      <c r="D801" s="6">
        <v>6.33</v>
      </c>
      <c r="E801" s="6">
        <v>215</v>
      </c>
    </row>
    <row r="802" spans="1:5" x14ac:dyDescent="0.25">
      <c r="A802" s="6" t="s">
        <v>63</v>
      </c>
      <c r="B802" s="6">
        <v>0.03</v>
      </c>
      <c r="C802" s="6">
        <v>0</v>
      </c>
      <c r="D802" s="6">
        <v>10.97</v>
      </c>
      <c r="E802" s="6">
        <v>298</v>
      </c>
    </row>
    <row r="803" spans="1:5" x14ac:dyDescent="0.25">
      <c r="A803" s="6" t="s">
        <v>419</v>
      </c>
      <c r="B803" s="6">
        <v>0.36</v>
      </c>
      <c r="C803" s="6">
        <v>24</v>
      </c>
      <c r="D803" s="6">
        <v>3.83</v>
      </c>
      <c r="E803" s="6">
        <v>177</v>
      </c>
    </row>
    <row r="804" spans="1:5" x14ac:dyDescent="0.25">
      <c r="A804" s="6" t="s">
        <v>299</v>
      </c>
      <c r="B804" s="6">
        <v>0.03</v>
      </c>
      <c r="C804" s="6">
        <v>0</v>
      </c>
      <c r="D804" s="6">
        <v>6.25</v>
      </c>
      <c r="E804" s="6">
        <v>204</v>
      </c>
    </row>
    <row r="805" spans="1:5" x14ac:dyDescent="0.25">
      <c r="A805" s="6" t="s">
        <v>700</v>
      </c>
      <c r="B805" s="6">
        <v>0.03</v>
      </c>
      <c r="C805" s="6">
        <v>0</v>
      </c>
      <c r="D805" s="6">
        <v>13.39</v>
      </c>
      <c r="E805" s="6">
        <v>416</v>
      </c>
    </row>
    <row r="806" spans="1:5" x14ac:dyDescent="0.25">
      <c r="A806" s="6" t="s">
        <v>877</v>
      </c>
      <c r="B806" s="6">
        <v>0.03</v>
      </c>
      <c r="C806" s="6">
        <v>0</v>
      </c>
      <c r="D806" s="6">
        <v>19.84</v>
      </c>
      <c r="E806" s="6">
        <v>545</v>
      </c>
    </row>
    <row r="807" spans="1:5" x14ac:dyDescent="0.25">
      <c r="A807" s="6" t="s">
        <v>972</v>
      </c>
      <c r="B807" s="6">
        <v>0.03</v>
      </c>
      <c r="C807" s="6">
        <v>0</v>
      </c>
      <c r="D807" s="6">
        <v>7.9</v>
      </c>
      <c r="E807" s="6">
        <v>208</v>
      </c>
    </row>
    <row r="808" spans="1:5" x14ac:dyDescent="0.25">
      <c r="A808" s="6" t="s">
        <v>487</v>
      </c>
      <c r="B808" s="6">
        <v>0.02</v>
      </c>
      <c r="C808" s="6">
        <v>0</v>
      </c>
      <c r="D808" s="6">
        <v>5.73</v>
      </c>
      <c r="E808" s="6">
        <v>171</v>
      </c>
    </row>
    <row r="809" spans="1:5" x14ac:dyDescent="0.25">
      <c r="A809" s="6" t="s">
        <v>731</v>
      </c>
      <c r="B809" s="6">
        <v>0.02</v>
      </c>
      <c r="C809" s="6">
        <v>0</v>
      </c>
      <c r="D809" s="6">
        <v>7.11</v>
      </c>
      <c r="E809" s="6">
        <v>204</v>
      </c>
    </row>
    <row r="810" spans="1:5" x14ac:dyDescent="0.25">
      <c r="A810" s="6" t="s">
        <v>878</v>
      </c>
      <c r="B810" s="6">
        <v>0.02</v>
      </c>
      <c r="C810" s="6">
        <v>0</v>
      </c>
      <c r="D810" s="6">
        <v>4.01</v>
      </c>
      <c r="E810" s="6">
        <v>165</v>
      </c>
    </row>
    <row r="811" spans="1:5" x14ac:dyDescent="0.25">
      <c r="A811" s="6" t="s">
        <v>560</v>
      </c>
      <c r="B811" s="6">
        <v>0.16</v>
      </c>
      <c r="C811" s="6">
        <v>14</v>
      </c>
      <c r="D811" s="6">
        <v>3.28</v>
      </c>
      <c r="E811" s="6">
        <v>142</v>
      </c>
    </row>
    <row r="812" spans="1:5" x14ac:dyDescent="0.25">
      <c r="A812" s="6" t="s">
        <v>539</v>
      </c>
      <c r="B812" s="6">
        <v>0.02</v>
      </c>
      <c r="C812" s="6">
        <v>0</v>
      </c>
      <c r="D812" s="6">
        <v>3.5</v>
      </c>
      <c r="E812" s="6">
        <v>146</v>
      </c>
    </row>
    <row r="813" spans="1:5" x14ac:dyDescent="0.25">
      <c r="A813" s="6" t="s">
        <v>974</v>
      </c>
      <c r="B813" s="6">
        <v>0.03</v>
      </c>
      <c r="C813" s="6">
        <v>0</v>
      </c>
      <c r="D813" s="6">
        <v>7.48</v>
      </c>
      <c r="E813" s="6">
        <v>233</v>
      </c>
    </row>
    <row r="814" spans="1:5" x14ac:dyDescent="0.25">
      <c r="A814" s="6" t="s">
        <v>340</v>
      </c>
      <c r="B814" s="6">
        <v>0.63</v>
      </c>
      <c r="C814" s="6">
        <v>21</v>
      </c>
      <c r="D814" s="6">
        <v>13.06</v>
      </c>
      <c r="E814" s="6">
        <v>277</v>
      </c>
    </row>
    <row r="815" spans="1:5" x14ac:dyDescent="0.25">
      <c r="A815" s="6" t="s">
        <v>880</v>
      </c>
      <c r="B815" s="6">
        <v>0.03</v>
      </c>
      <c r="C815" s="6">
        <v>0</v>
      </c>
      <c r="D815" s="6">
        <v>8.3800000000000008</v>
      </c>
      <c r="E815" s="6">
        <v>284</v>
      </c>
    </row>
    <row r="816" spans="1:5" x14ac:dyDescent="0.25">
      <c r="A816" s="6" t="s">
        <v>309</v>
      </c>
      <c r="B816" s="6">
        <v>0.31</v>
      </c>
      <c r="C816" s="6">
        <v>20</v>
      </c>
      <c r="D816" s="6">
        <v>6.78</v>
      </c>
      <c r="E816" s="6">
        <v>272</v>
      </c>
    </row>
    <row r="817" spans="1:5" x14ac:dyDescent="0.25">
      <c r="A817" s="6" t="s">
        <v>746</v>
      </c>
      <c r="B817" s="6">
        <v>0.03</v>
      </c>
      <c r="C817" s="6">
        <v>0</v>
      </c>
      <c r="D817" s="6">
        <v>8.73</v>
      </c>
      <c r="E817" s="6">
        <v>198</v>
      </c>
    </row>
    <row r="818" spans="1:5" x14ac:dyDescent="0.25">
      <c r="A818" s="6" t="s">
        <v>530</v>
      </c>
      <c r="B818" s="6">
        <v>0.03</v>
      </c>
      <c r="C818" s="6">
        <v>0</v>
      </c>
      <c r="D818" s="6">
        <v>7.31</v>
      </c>
      <c r="E818" s="6">
        <v>219</v>
      </c>
    </row>
    <row r="819" spans="1:5" x14ac:dyDescent="0.25">
      <c r="A819" s="6" t="s">
        <v>701</v>
      </c>
      <c r="B819" s="6">
        <v>0.02</v>
      </c>
      <c r="C819" s="6">
        <v>0</v>
      </c>
      <c r="D819" s="6">
        <v>2.98</v>
      </c>
      <c r="E819" s="6">
        <v>161</v>
      </c>
    </row>
    <row r="820" spans="1:5" x14ac:dyDescent="0.25">
      <c r="A820" s="6" t="s">
        <v>513</v>
      </c>
      <c r="B820" s="6">
        <v>0.02</v>
      </c>
      <c r="C820" s="6">
        <v>0</v>
      </c>
      <c r="D820" s="6">
        <v>3.81</v>
      </c>
      <c r="E820" s="6">
        <v>178</v>
      </c>
    </row>
    <row r="821" spans="1:5" x14ac:dyDescent="0.25">
      <c r="A821" s="6" t="s">
        <v>976</v>
      </c>
      <c r="B821" s="6">
        <v>0.38</v>
      </c>
      <c r="C821" s="6">
        <v>25</v>
      </c>
      <c r="D821" s="6">
        <v>5.65</v>
      </c>
      <c r="E821" s="6">
        <v>222</v>
      </c>
    </row>
    <row r="822" spans="1:5" x14ac:dyDescent="0.25">
      <c r="A822" s="6" t="s">
        <v>977</v>
      </c>
      <c r="B822" s="6">
        <v>0.02</v>
      </c>
      <c r="C822" s="6">
        <v>0</v>
      </c>
      <c r="D822" s="6">
        <v>7.59</v>
      </c>
      <c r="E822" s="6">
        <v>221</v>
      </c>
    </row>
    <row r="823" spans="1:5" x14ac:dyDescent="0.25">
      <c r="A823" s="6" t="s">
        <v>377</v>
      </c>
      <c r="B823" s="6">
        <v>0.03</v>
      </c>
      <c r="C823" s="6">
        <v>0</v>
      </c>
      <c r="D823" s="6">
        <v>2.99</v>
      </c>
      <c r="E823" s="6">
        <v>67</v>
      </c>
    </row>
    <row r="824" spans="1:5" x14ac:dyDescent="0.25">
      <c r="A824" s="6" t="s">
        <v>660</v>
      </c>
      <c r="B824" s="6">
        <v>0.79</v>
      </c>
      <c r="C824" s="6">
        <v>29</v>
      </c>
      <c r="D824" s="6">
        <v>16.43</v>
      </c>
      <c r="E824" s="6">
        <v>346</v>
      </c>
    </row>
    <row r="825" spans="1:5" x14ac:dyDescent="0.25">
      <c r="A825" s="6" t="s">
        <v>5</v>
      </c>
      <c r="B825" s="6">
        <v>0.02</v>
      </c>
      <c r="C825" s="6">
        <v>0</v>
      </c>
      <c r="D825" s="6">
        <v>4.07</v>
      </c>
      <c r="E825" s="6">
        <v>178</v>
      </c>
    </row>
    <row r="826" spans="1:5" x14ac:dyDescent="0.25">
      <c r="A826" s="6" t="s">
        <v>143</v>
      </c>
      <c r="B826" s="6">
        <v>0.02</v>
      </c>
      <c r="C826" s="6">
        <v>0</v>
      </c>
      <c r="D826" s="6">
        <v>1.97</v>
      </c>
      <c r="E826" s="6">
        <v>63</v>
      </c>
    </row>
    <row r="827" spans="1:5" x14ac:dyDescent="0.25">
      <c r="A827" s="6" t="s">
        <v>527</v>
      </c>
      <c r="B827" s="6">
        <v>0.03</v>
      </c>
      <c r="C827" s="6">
        <v>0</v>
      </c>
      <c r="D827" s="6">
        <v>8.41</v>
      </c>
      <c r="E827" s="6">
        <v>236</v>
      </c>
    </row>
    <row r="828" spans="1:5" x14ac:dyDescent="0.25">
      <c r="A828" s="6" t="s">
        <v>978</v>
      </c>
      <c r="B828" s="6">
        <v>0.04</v>
      </c>
      <c r="C828" s="6">
        <v>0</v>
      </c>
      <c r="D828" s="6">
        <v>7</v>
      </c>
      <c r="E828" s="6">
        <v>278</v>
      </c>
    </row>
    <row r="829" spans="1:5" x14ac:dyDescent="0.25">
      <c r="A829" s="6" t="s">
        <v>669</v>
      </c>
      <c r="B829" s="6">
        <v>0.03</v>
      </c>
      <c r="C829" s="6">
        <v>0</v>
      </c>
      <c r="D829" s="6">
        <v>7.49</v>
      </c>
      <c r="E829" s="6">
        <v>284</v>
      </c>
    </row>
    <row r="830" spans="1:5" x14ac:dyDescent="0.25">
      <c r="A830" s="6" t="s">
        <v>570</v>
      </c>
      <c r="B830" s="6">
        <v>0.03</v>
      </c>
      <c r="C830" s="6">
        <v>0</v>
      </c>
      <c r="D830" s="6">
        <v>8.27</v>
      </c>
      <c r="E830" s="6">
        <v>164</v>
      </c>
    </row>
    <row r="831" spans="1:5" x14ac:dyDescent="0.25">
      <c r="A831" s="6" t="s">
        <v>452</v>
      </c>
      <c r="B831" s="6">
        <v>0.03</v>
      </c>
      <c r="C831" s="6">
        <v>0</v>
      </c>
      <c r="D831" s="6">
        <v>10.41</v>
      </c>
      <c r="E831" s="6">
        <v>260</v>
      </c>
    </row>
    <row r="832" spans="1:5" x14ac:dyDescent="0.25">
      <c r="A832" s="6" t="s">
        <v>705</v>
      </c>
      <c r="B832" s="6">
        <v>0.03</v>
      </c>
      <c r="C832" s="6">
        <v>0</v>
      </c>
      <c r="D832" s="6">
        <v>16.04</v>
      </c>
      <c r="E832" s="6">
        <v>374</v>
      </c>
    </row>
    <row r="833" spans="1:5" x14ac:dyDescent="0.25">
      <c r="A833" s="6" t="s">
        <v>30</v>
      </c>
      <c r="B833" s="6">
        <v>0.03</v>
      </c>
      <c r="C833" s="6">
        <v>0</v>
      </c>
      <c r="D833" s="6">
        <v>11.2</v>
      </c>
      <c r="E833" s="6">
        <v>237</v>
      </c>
    </row>
    <row r="834" spans="1:5" x14ac:dyDescent="0.25">
      <c r="A834" s="6" t="s">
        <v>424</v>
      </c>
      <c r="B834" s="6">
        <v>0.03</v>
      </c>
      <c r="C834" s="6">
        <v>0</v>
      </c>
      <c r="D834" s="6">
        <v>24.14</v>
      </c>
      <c r="E834" s="6">
        <v>606</v>
      </c>
    </row>
    <row r="835" spans="1:5" x14ac:dyDescent="0.25">
      <c r="A835" s="6" t="s">
        <v>211</v>
      </c>
      <c r="B835" s="6">
        <v>0.03</v>
      </c>
      <c r="C835" s="6">
        <v>0</v>
      </c>
      <c r="D835" s="6">
        <v>10.67</v>
      </c>
      <c r="E835" s="6">
        <v>240</v>
      </c>
    </row>
    <row r="836" spans="1:5" x14ac:dyDescent="0.25">
      <c r="A836" s="6" t="s">
        <v>514</v>
      </c>
      <c r="B836" s="6">
        <v>0.04</v>
      </c>
      <c r="C836" s="6">
        <v>0</v>
      </c>
      <c r="D836" s="6">
        <v>20.62</v>
      </c>
      <c r="E836" s="6">
        <v>663</v>
      </c>
    </row>
    <row r="837" spans="1:5" x14ac:dyDescent="0.25">
      <c r="A837" s="6" t="s">
        <v>378</v>
      </c>
      <c r="B837" s="6">
        <v>0.03</v>
      </c>
      <c r="C837" s="6">
        <v>0</v>
      </c>
      <c r="D837" s="6">
        <v>8.07</v>
      </c>
      <c r="E837" s="6">
        <v>343</v>
      </c>
    </row>
    <row r="838" spans="1:5" x14ac:dyDescent="0.25">
      <c r="A838" s="6" t="s">
        <v>711</v>
      </c>
      <c r="B838" s="6">
        <v>0.02</v>
      </c>
      <c r="C838" s="6">
        <v>0</v>
      </c>
      <c r="D838" s="6">
        <v>5.31</v>
      </c>
      <c r="E838" s="6">
        <v>172</v>
      </c>
    </row>
    <row r="839" spans="1:5" x14ac:dyDescent="0.25">
      <c r="A839" s="6" t="s">
        <v>979</v>
      </c>
      <c r="B839" s="6">
        <v>0.03</v>
      </c>
      <c r="C839" s="6">
        <v>0</v>
      </c>
      <c r="D839" s="6">
        <v>11.23</v>
      </c>
      <c r="E839" s="6">
        <v>388</v>
      </c>
    </row>
    <row r="840" spans="1:5" x14ac:dyDescent="0.25">
      <c r="A840" s="6" t="s">
        <v>379</v>
      </c>
      <c r="B840" s="6">
        <v>0.03</v>
      </c>
      <c r="C840" s="6">
        <v>0</v>
      </c>
      <c r="D840" s="6">
        <v>8.49</v>
      </c>
      <c r="E840" s="6">
        <v>273</v>
      </c>
    </row>
    <row r="841" spans="1:5" x14ac:dyDescent="0.25">
      <c r="A841" s="6" t="s">
        <v>281</v>
      </c>
      <c r="B841" s="6">
        <v>0.04</v>
      </c>
      <c r="C841" s="6">
        <v>0</v>
      </c>
      <c r="D841" s="6">
        <v>12.85</v>
      </c>
      <c r="E841" s="6">
        <v>423</v>
      </c>
    </row>
    <row r="842" spans="1:5" x14ac:dyDescent="0.25">
      <c r="A842" s="6" t="s">
        <v>455</v>
      </c>
      <c r="B842" s="6">
        <v>0.49</v>
      </c>
      <c r="C842" s="6">
        <v>25</v>
      </c>
      <c r="D842" s="6">
        <v>13.08</v>
      </c>
      <c r="E842" s="6">
        <v>342</v>
      </c>
    </row>
    <row r="843" spans="1:5" x14ac:dyDescent="0.25">
      <c r="A843" s="6" t="s">
        <v>515</v>
      </c>
      <c r="B843" s="6">
        <v>0.02</v>
      </c>
      <c r="C843" s="6">
        <v>0</v>
      </c>
      <c r="D843" s="6">
        <v>5.31</v>
      </c>
      <c r="E843" s="6">
        <v>206</v>
      </c>
    </row>
    <row r="844" spans="1:5" x14ac:dyDescent="0.25">
      <c r="A844" s="6" t="s">
        <v>341</v>
      </c>
      <c r="B844" s="6">
        <v>0.03</v>
      </c>
      <c r="C844" s="6">
        <v>0</v>
      </c>
      <c r="D844" s="6">
        <v>15.14</v>
      </c>
      <c r="E844" s="6">
        <v>369</v>
      </c>
    </row>
    <row r="845" spans="1:5" x14ac:dyDescent="0.25">
      <c r="A845" s="6" t="s">
        <v>706</v>
      </c>
      <c r="B845" s="6">
        <v>0.02</v>
      </c>
      <c r="C845" s="6">
        <v>0</v>
      </c>
      <c r="D845" s="6">
        <v>13.49</v>
      </c>
      <c r="E845" s="6">
        <v>474</v>
      </c>
    </row>
    <row r="846" spans="1:5" x14ac:dyDescent="0.25">
      <c r="A846" s="6" t="s">
        <v>384</v>
      </c>
      <c r="B846" s="6">
        <v>0.02</v>
      </c>
      <c r="C846" s="6">
        <v>0</v>
      </c>
      <c r="D846" s="6">
        <v>7.75</v>
      </c>
      <c r="E846" s="6">
        <v>360</v>
      </c>
    </row>
    <row r="847" spans="1:5" x14ac:dyDescent="0.25">
      <c r="A847" s="6" t="s">
        <v>94</v>
      </c>
      <c r="B847" s="6">
        <v>0.03</v>
      </c>
      <c r="C847" s="6">
        <v>0</v>
      </c>
      <c r="D847" s="6">
        <v>7.6</v>
      </c>
      <c r="E847" s="6">
        <v>249</v>
      </c>
    </row>
    <row r="848" spans="1:5" x14ac:dyDescent="0.25">
      <c r="A848" s="6" t="s">
        <v>707</v>
      </c>
      <c r="B848" s="6">
        <v>0.03</v>
      </c>
      <c r="C848" s="6">
        <v>0</v>
      </c>
      <c r="D848" s="6">
        <v>3.81</v>
      </c>
      <c r="E848" s="6">
        <v>102</v>
      </c>
    </row>
    <row r="849" spans="1:5" x14ac:dyDescent="0.25">
      <c r="A849" s="6" t="s">
        <v>615</v>
      </c>
      <c r="B849" s="6">
        <v>0.37</v>
      </c>
      <c r="C849" s="6">
        <v>26</v>
      </c>
      <c r="D849" s="6">
        <v>3.91</v>
      </c>
      <c r="E849" s="6">
        <v>148</v>
      </c>
    </row>
    <row r="850" spans="1:5" x14ac:dyDescent="0.25">
      <c r="A850" s="6" t="s">
        <v>323</v>
      </c>
      <c r="B850" s="6">
        <v>0.04</v>
      </c>
      <c r="C850" s="6">
        <v>0</v>
      </c>
      <c r="D850" s="6">
        <v>8.0299999999999994</v>
      </c>
      <c r="E850" s="6">
        <v>252</v>
      </c>
    </row>
    <row r="851" spans="1:5" x14ac:dyDescent="0.25">
      <c r="A851" s="6" t="s">
        <v>980</v>
      </c>
      <c r="B851" s="6">
        <v>0.02</v>
      </c>
      <c r="C851" s="6">
        <v>0</v>
      </c>
      <c r="D851" s="6">
        <v>11.38</v>
      </c>
      <c r="E851" s="6">
        <v>519</v>
      </c>
    </row>
    <row r="852" spans="1:5" x14ac:dyDescent="0.25">
      <c r="A852" s="6" t="s">
        <v>387</v>
      </c>
      <c r="B852" s="6">
        <v>0.49</v>
      </c>
      <c r="C852" s="6">
        <v>27</v>
      </c>
      <c r="D852" s="6">
        <v>5.44</v>
      </c>
      <c r="E852" s="6">
        <v>197</v>
      </c>
    </row>
    <row r="853" spans="1:5" x14ac:dyDescent="0.25">
      <c r="A853" s="6" t="s">
        <v>981</v>
      </c>
      <c r="B853" s="6">
        <v>0.02</v>
      </c>
      <c r="C853" s="6">
        <v>0</v>
      </c>
      <c r="D853" s="6">
        <v>4.8899999999999997</v>
      </c>
      <c r="E853" s="6">
        <v>236</v>
      </c>
    </row>
    <row r="854" spans="1:5" x14ac:dyDescent="0.25">
      <c r="A854" s="6" t="s">
        <v>983</v>
      </c>
      <c r="B854" s="6">
        <v>0.59</v>
      </c>
      <c r="C854" s="6">
        <v>30</v>
      </c>
      <c r="D854" s="6">
        <v>10.19</v>
      </c>
      <c r="E854" s="6">
        <v>363</v>
      </c>
    </row>
    <row r="855" spans="1:5" x14ac:dyDescent="0.25">
      <c r="A855" s="6" t="s">
        <v>630</v>
      </c>
      <c r="B855" s="6">
        <v>0.4</v>
      </c>
      <c r="C855" s="6">
        <v>23</v>
      </c>
      <c r="D855" s="6">
        <v>6.44</v>
      </c>
      <c r="E855" s="6">
        <v>220</v>
      </c>
    </row>
    <row r="856" spans="1:5" x14ac:dyDescent="0.25">
      <c r="A856" s="6" t="s">
        <v>317</v>
      </c>
      <c r="B856" s="6">
        <v>0.03</v>
      </c>
      <c r="C856" s="6">
        <v>0</v>
      </c>
      <c r="D856" s="6">
        <v>13.19</v>
      </c>
      <c r="E856" s="6">
        <v>481</v>
      </c>
    </row>
    <row r="857" spans="1:5" x14ac:dyDescent="0.25">
      <c r="A857" s="6" t="s">
        <v>882</v>
      </c>
      <c r="B857" s="6">
        <v>0.02</v>
      </c>
      <c r="C857" s="6">
        <v>0</v>
      </c>
      <c r="D857" s="6">
        <v>8.81</v>
      </c>
      <c r="E857" s="6">
        <v>295</v>
      </c>
    </row>
    <row r="858" spans="1:5" x14ac:dyDescent="0.25">
      <c r="A858" s="6" t="s">
        <v>45</v>
      </c>
      <c r="B858" s="6">
        <v>0.03</v>
      </c>
      <c r="C858" s="6">
        <v>0</v>
      </c>
      <c r="D858" s="6">
        <v>10.039999999999999</v>
      </c>
      <c r="E858" s="6">
        <v>322</v>
      </c>
    </row>
    <row r="859" spans="1:5" x14ac:dyDescent="0.25">
      <c r="A859" s="6" t="s">
        <v>984</v>
      </c>
      <c r="B859" s="6">
        <v>0.4</v>
      </c>
      <c r="C859" s="6">
        <v>23</v>
      </c>
      <c r="D859" s="6">
        <v>7.44</v>
      </c>
      <c r="E859" s="6">
        <v>240</v>
      </c>
    </row>
    <row r="860" spans="1:5" x14ac:dyDescent="0.25">
      <c r="A860" s="6" t="s">
        <v>257</v>
      </c>
      <c r="B860" s="6">
        <v>0.02</v>
      </c>
      <c r="C860" s="6">
        <v>0</v>
      </c>
      <c r="D860" s="6">
        <v>6.96</v>
      </c>
      <c r="E860" s="6">
        <v>280</v>
      </c>
    </row>
    <row r="861" spans="1:5" x14ac:dyDescent="0.25">
      <c r="A861" s="6" t="s">
        <v>65</v>
      </c>
      <c r="B861" s="6">
        <v>0.68</v>
      </c>
      <c r="C861" s="6">
        <v>36</v>
      </c>
      <c r="D861" s="6">
        <v>8.9499999999999993</v>
      </c>
      <c r="E861" s="6">
        <v>283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8754C-0032-4ABF-8B50-8123CBB8A0F5}">
  <dimension ref="A1:B717"/>
  <sheetViews>
    <sheetView workbookViewId="0">
      <selection sqref="A1:B1048576"/>
    </sheetView>
  </sheetViews>
  <sheetFormatPr defaultRowHeight="14.4" x14ac:dyDescent="0.25"/>
  <cols>
    <col min="1" max="1" width="25.109375" style="6" customWidth="1"/>
    <col min="2" max="2" width="20.77734375" style="6" customWidth="1"/>
  </cols>
  <sheetData>
    <row r="1" spans="1:2" x14ac:dyDescent="0.25">
      <c r="A1" s="6" t="s">
        <v>748</v>
      </c>
      <c r="B1" s="6" t="s">
        <v>2088</v>
      </c>
    </row>
    <row r="2" spans="1:2" x14ac:dyDescent="0.25">
      <c r="A2" s="6" t="s">
        <v>395</v>
      </c>
      <c r="B2" s="6">
        <v>2.0114557000000002E-2</v>
      </c>
    </row>
    <row r="3" spans="1:2" x14ac:dyDescent="0.25">
      <c r="A3" s="6" t="s">
        <v>82</v>
      </c>
      <c r="B3" s="6">
        <v>7.6412516E-2</v>
      </c>
    </row>
    <row r="4" spans="1:2" x14ac:dyDescent="0.25">
      <c r="A4" s="6" t="s">
        <v>698</v>
      </c>
      <c r="B4" s="6">
        <v>0.37344388499999998</v>
      </c>
    </row>
    <row r="5" spans="1:2" x14ac:dyDescent="0.25">
      <c r="A5" s="6" t="s">
        <v>417</v>
      </c>
      <c r="B5" s="6">
        <v>0.65618816700000004</v>
      </c>
    </row>
    <row r="6" spans="1:2" x14ac:dyDescent="0.25">
      <c r="A6" s="6" t="s">
        <v>534</v>
      </c>
      <c r="B6" s="6">
        <v>0.23282156500000001</v>
      </c>
    </row>
    <row r="7" spans="1:2" x14ac:dyDescent="0.25">
      <c r="A7" s="6" t="s">
        <v>517</v>
      </c>
      <c r="B7" s="6">
        <v>0.172905646</v>
      </c>
    </row>
    <row r="8" spans="1:2" x14ac:dyDescent="0.25">
      <c r="A8" s="6" t="s">
        <v>40</v>
      </c>
      <c r="B8" s="6">
        <v>0.369424629</v>
      </c>
    </row>
    <row r="9" spans="1:2" x14ac:dyDescent="0.25">
      <c r="A9" s="6" t="s">
        <v>472</v>
      </c>
      <c r="B9" s="6">
        <v>0.27533421699999999</v>
      </c>
    </row>
    <row r="10" spans="1:2" x14ac:dyDescent="0.25">
      <c r="A10" s="6" t="s">
        <v>100</v>
      </c>
      <c r="B10" s="6">
        <v>0.448656795</v>
      </c>
    </row>
    <row r="11" spans="1:2" x14ac:dyDescent="0.25">
      <c r="A11" s="6" t="s">
        <v>508</v>
      </c>
      <c r="B11" s="6">
        <v>0.13691281</v>
      </c>
    </row>
    <row r="12" spans="1:2" x14ac:dyDescent="0.25">
      <c r="A12" s="6" t="s">
        <v>884</v>
      </c>
      <c r="B12" s="6">
        <v>0.48079266799999998</v>
      </c>
    </row>
    <row r="13" spans="1:2" x14ac:dyDescent="0.25">
      <c r="A13" s="6" t="s">
        <v>473</v>
      </c>
      <c r="B13" s="6">
        <v>9.2229833999999997E-2</v>
      </c>
    </row>
    <row r="14" spans="1:2" x14ac:dyDescent="0.25">
      <c r="A14" s="6" t="s">
        <v>546</v>
      </c>
      <c r="B14" s="6">
        <v>1.1521423559999999</v>
      </c>
    </row>
    <row r="15" spans="1:2" x14ac:dyDescent="0.25">
      <c r="A15" s="6" t="s">
        <v>270</v>
      </c>
      <c r="B15" s="6">
        <v>0.27406829900000002</v>
      </c>
    </row>
    <row r="16" spans="1:2" x14ac:dyDescent="0.25">
      <c r="A16" s="6" t="s">
        <v>62</v>
      </c>
      <c r="B16" s="6">
        <v>0.69319568200000004</v>
      </c>
    </row>
    <row r="17" spans="1:2" x14ac:dyDescent="0.25">
      <c r="A17" s="6" t="s">
        <v>636</v>
      </c>
      <c r="B17" s="6">
        <v>6.0960098999999997E-2</v>
      </c>
    </row>
    <row r="18" spans="1:2" x14ac:dyDescent="0.25">
      <c r="A18" s="6" t="s">
        <v>413</v>
      </c>
      <c r="B18" s="6">
        <v>0.19106217</v>
      </c>
    </row>
    <row r="19" spans="1:2" x14ac:dyDescent="0.25">
      <c r="A19" s="6" t="s">
        <v>885</v>
      </c>
      <c r="B19" s="6">
        <v>0.118318786</v>
      </c>
    </row>
    <row r="20" spans="1:2" x14ac:dyDescent="0.25">
      <c r="A20" s="6" t="s">
        <v>683</v>
      </c>
      <c r="B20" s="6">
        <v>0.93556750300000002</v>
      </c>
    </row>
    <row r="21" spans="1:2" x14ac:dyDescent="0.25">
      <c r="A21" s="6" t="s">
        <v>171</v>
      </c>
      <c r="B21" s="6">
        <v>0.53006999399999999</v>
      </c>
    </row>
    <row r="22" spans="1:2" x14ac:dyDescent="0.25">
      <c r="A22" s="6" t="s">
        <v>590</v>
      </c>
      <c r="B22" s="6">
        <v>0.165337912</v>
      </c>
    </row>
    <row r="23" spans="1:2" x14ac:dyDescent="0.25">
      <c r="A23" s="6" t="s">
        <v>886</v>
      </c>
      <c r="B23" s="6">
        <v>0.37005505399999999</v>
      </c>
    </row>
    <row r="24" spans="1:2" x14ac:dyDescent="0.25">
      <c r="A24" s="6" t="s">
        <v>462</v>
      </c>
      <c r="B24" s="6">
        <v>0.20600481900000001</v>
      </c>
    </row>
    <row r="25" spans="1:2" x14ac:dyDescent="0.25">
      <c r="A25" s="6" t="s">
        <v>887</v>
      </c>
      <c r="B25" s="6">
        <v>0.36345980999999999</v>
      </c>
    </row>
    <row r="26" spans="1:2" x14ac:dyDescent="0.25">
      <c r="A26" s="6" t="s">
        <v>380</v>
      </c>
      <c r="B26" s="6">
        <v>0.10651693800000001</v>
      </c>
    </row>
    <row r="27" spans="1:2" x14ac:dyDescent="0.25">
      <c r="A27" s="6" t="s">
        <v>358</v>
      </c>
      <c r="B27" s="6">
        <v>0.73343652000000004</v>
      </c>
    </row>
    <row r="28" spans="1:2" x14ac:dyDescent="0.25">
      <c r="A28" s="6" t="s">
        <v>232</v>
      </c>
      <c r="B28" s="6">
        <v>0.96903263399999995</v>
      </c>
    </row>
    <row r="29" spans="1:2" x14ac:dyDescent="0.25">
      <c r="A29" s="6" t="s">
        <v>620</v>
      </c>
      <c r="B29" s="6">
        <v>0.121246009</v>
      </c>
    </row>
    <row r="30" spans="1:2" x14ac:dyDescent="0.25">
      <c r="A30" s="6" t="s">
        <v>207</v>
      </c>
      <c r="B30" s="6">
        <v>8.7435097000000003E-2</v>
      </c>
    </row>
    <row r="31" spans="1:2" x14ac:dyDescent="0.25">
      <c r="A31" s="6" t="s">
        <v>389</v>
      </c>
      <c r="B31" s="6">
        <v>0.26139058199999998</v>
      </c>
    </row>
    <row r="32" spans="1:2" x14ac:dyDescent="0.25">
      <c r="A32" s="6" t="s">
        <v>651</v>
      </c>
      <c r="B32" s="6">
        <v>0.22872948900000001</v>
      </c>
    </row>
    <row r="33" spans="1:2" x14ac:dyDescent="0.25">
      <c r="A33" s="6" t="s">
        <v>668</v>
      </c>
      <c r="B33" s="6">
        <v>0.16227671199999999</v>
      </c>
    </row>
    <row r="34" spans="1:2" x14ac:dyDescent="0.25">
      <c r="A34" s="6" t="s">
        <v>167</v>
      </c>
      <c r="B34" s="6">
        <v>0.63542994699999999</v>
      </c>
    </row>
    <row r="35" spans="1:2" x14ac:dyDescent="0.25">
      <c r="A35" s="6" t="s">
        <v>343</v>
      </c>
      <c r="B35" s="6">
        <v>0.37295829699999999</v>
      </c>
    </row>
    <row r="36" spans="1:2" x14ac:dyDescent="0.25">
      <c r="A36" s="6" t="s">
        <v>334</v>
      </c>
      <c r="B36" s="6">
        <v>9.2598497000000002E-2</v>
      </c>
    </row>
    <row r="37" spans="1:2" x14ac:dyDescent="0.25">
      <c r="A37" s="6" t="s">
        <v>72</v>
      </c>
      <c r="B37" s="6">
        <v>0.65469215000000003</v>
      </c>
    </row>
    <row r="38" spans="1:2" x14ac:dyDescent="0.25">
      <c r="A38" s="6" t="s">
        <v>725</v>
      </c>
      <c r="B38" s="6">
        <v>0.20716665200000001</v>
      </c>
    </row>
    <row r="39" spans="1:2" x14ac:dyDescent="0.25">
      <c r="A39" s="6" t="s">
        <v>248</v>
      </c>
      <c r="B39" s="6">
        <v>0.29377773000000001</v>
      </c>
    </row>
    <row r="40" spans="1:2" x14ac:dyDescent="0.25">
      <c r="A40" s="6" t="s">
        <v>721</v>
      </c>
      <c r="B40" s="6">
        <v>8.5853559999999995E-2</v>
      </c>
    </row>
    <row r="41" spans="1:2" x14ac:dyDescent="0.25">
      <c r="A41" s="6" t="s">
        <v>453</v>
      </c>
      <c r="B41" s="6">
        <v>0.14295804200000001</v>
      </c>
    </row>
    <row r="42" spans="1:2" x14ac:dyDescent="0.25">
      <c r="A42" s="6" t="s">
        <v>407</v>
      </c>
      <c r="B42" s="6">
        <v>0.17858033500000001</v>
      </c>
    </row>
    <row r="43" spans="1:2" x14ac:dyDescent="0.25">
      <c r="A43" s="6" t="s">
        <v>694</v>
      </c>
      <c r="B43" s="6">
        <v>0.181753315</v>
      </c>
    </row>
    <row r="44" spans="1:2" x14ac:dyDescent="0.25">
      <c r="A44" s="6" t="s">
        <v>697</v>
      </c>
      <c r="B44" s="6">
        <v>9.2555185999999998E-2</v>
      </c>
    </row>
    <row r="45" spans="1:2" x14ac:dyDescent="0.25">
      <c r="A45" s="6" t="s">
        <v>401</v>
      </c>
      <c r="B45" s="6">
        <v>0.53892116899999998</v>
      </c>
    </row>
    <row r="46" spans="1:2" x14ac:dyDescent="0.25">
      <c r="A46" s="6" t="s">
        <v>267</v>
      </c>
      <c r="B46" s="6">
        <v>0.12009637200000001</v>
      </c>
    </row>
    <row r="47" spans="1:2" x14ac:dyDescent="0.25">
      <c r="A47" s="6" t="s">
        <v>61</v>
      </c>
      <c r="B47" s="6">
        <v>0.67272954600000001</v>
      </c>
    </row>
    <row r="48" spans="1:2" x14ac:dyDescent="0.25">
      <c r="A48" s="6" t="s">
        <v>986</v>
      </c>
      <c r="B48" s="6">
        <v>0.109051704</v>
      </c>
    </row>
    <row r="49" spans="1:2" x14ac:dyDescent="0.25">
      <c r="A49" s="6" t="s">
        <v>119</v>
      </c>
      <c r="B49" s="6">
        <v>0.212396855</v>
      </c>
    </row>
    <row r="50" spans="1:2" x14ac:dyDescent="0.25">
      <c r="A50" s="6" t="s">
        <v>616</v>
      </c>
      <c r="B50" s="6">
        <v>0.48236517099999998</v>
      </c>
    </row>
    <row r="51" spans="1:2" x14ac:dyDescent="0.25">
      <c r="A51" s="6" t="s">
        <v>744</v>
      </c>
      <c r="B51" s="6">
        <v>0.67439689400000002</v>
      </c>
    </row>
    <row r="52" spans="1:2" x14ac:dyDescent="0.25">
      <c r="A52" s="6" t="s">
        <v>32</v>
      </c>
      <c r="B52" s="6">
        <v>0.24939788399999999</v>
      </c>
    </row>
    <row r="53" spans="1:2" x14ac:dyDescent="0.25">
      <c r="A53" s="6" t="s">
        <v>118</v>
      </c>
      <c r="B53" s="6">
        <v>0.32200525699999999</v>
      </c>
    </row>
    <row r="54" spans="1:2" x14ac:dyDescent="0.25">
      <c r="A54" s="6" t="s">
        <v>52</v>
      </c>
      <c r="B54" s="6">
        <v>0.10297121100000001</v>
      </c>
    </row>
    <row r="55" spans="1:2" x14ac:dyDescent="0.25">
      <c r="A55" s="6" t="s">
        <v>245</v>
      </c>
      <c r="B55" s="6">
        <v>0.97748992300000004</v>
      </c>
    </row>
    <row r="56" spans="1:2" x14ac:dyDescent="0.25">
      <c r="A56" s="6" t="s">
        <v>544</v>
      </c>
      <c r="B56" s="6">
        <v>0.29974181999999999</v>
      </c>
    </row>
    <row r="57" spans="1:2" x14ac:dyDescent="0.25">
      <c r="A57" s="6" t="s">
        <v>381</v>
      </c>
      <c r="B57" s="6">
        <v>0.48786228500000001</v>
      </c>
    </row>
    <row r="58" spans="1:2" x14ac:dyDescent="0.25">
      <c r="A58" s="6" t="s">
        <v>164</v>
      </c>
      <c r="B58" s="6">
        <v>0.89914457299999995</v>
      </c>
    </row>
    <row r="59" spans="1:2" x14ac:dyDescent="0.25">
      <c r="A59" s="6" t="s">
        <v>155</v>
      </c>
      <c r="B59" s="6">
        <v>8.5324699000000004E-2</v>
      </c>
    </row>
    <row r="60" spans="1:2" x14ac:dyDescent="0.25">
      <c r="A60" s="6" t="s">
        <v>573</v>
      </c>
      <c r="B60" s="6">
        <v>0.35120749899999998</v>
      </c>
    </row>
    <row r="61" spans="1:2" x14ac:dyDescent="0.25">
      <c r="A61" s="6" t="s">
        <v>22</v>
      </c>
      <c r="B61" s="6">
        <v>0.206360607</v>
      </c>
    </row>
    <row r="62" spans="1:2" x14ac:dyDescent="0.25">
      <c r="A62" s="6" t="s">
        <v>372</v>
      </c>
      <c r="B62" s="6">
        <v>0.20268666099999999</v>
      </c>
    </row>
    <row r="63" spans="1:2" x14ac:dyDescent="0.25">
      <c r="A63" s="6" t="s">
        <v>409</v>
      </c>
      <c r="B63" s="6">
        <v>0.55461585499999999</v>
      </c>
    </row>
    <row r="64" spans="1:2" x14ac:dyDescent="0.25">
      <c r="A64" s="6" t="s">
        <v>16</v>
      </c>
      <c r="B64" s="6">
        <v>0.20258183099999999</v>
      </c>
    </row>
    <row r="65" spans="1:2" x14ac:dyDescent="0.25">
      <c r="A65" s="6" t="s">
        <v>890</v>
      </c>
      <c r="B65" s="6">
        <v>0.46499126899999998</v>
      </c>
    </row>
    <row r="66" spans="1:2" x14ac:dyDescent="0.25">
      <c r="A66" s="6" t="s">
        <v>512</v>
      </c>
      <c r="B66" s="6">
        <v>0.70121330900000001</v>
      </c>
    </row>
    <row r="67" spans="1:2" x14ac:dyDescent="0.25">
      <c r="A67" s="6" t="s">
        <v>233</v>
      </c>
      <c r="B67" s="6">
        <v>0.21595168200000001</v>
      </c>
    </row>
    <row r="68" spans="1:2" x14ac:dyDescent="0.25">
      <c r="A68" s="6" t="s">
        <v>382</v>
      </c>
      <c r="B68" s="6">
        <v>7.6860886000000003E-2</v>
      </c>
    </row>
    <row r="69" spans="1:2" x14ac:dyDescent="0.25">
      <c r="A69" s="6" t="s">
        <v>482</v>
      </c>
      <c r="B69" s="6">
        <v>0.10227663100000001</v>
      </c>
    </row>
    <row r="70" spans="1:2" x14ac:dyDescent="0.25">
      <c r="A70" s="6" t="s">
        <v>680</v>
      </c>
      <c r="B70" s="6">
        <v>0.30925092199999998</v>
      </c>
    </row>
    <row r="71" spans="1:2" x14ac:dyDescent="0.25">
      <c r="A71" s="6" t="s">
        <v>581</v>
      </c>
      <c r="B71" s="6">
        <v>0.29313829699999999</v>
      </c>
    </row>
    <row r="72" spans="1:2" x14ac:dyDescent="0.25">
      <c r="A72" s="6" t="s">
        <v>892</v>
      </c>
      <c r="B72" s="6">
        <v>0.85926146599999997</v>
      </c>
    </row>
    <row r="73" spans="1:2" x14ac:dyDescent="0.25">
      <c r="A73" s="6" t="s">
        <v>304</v>
      </c>
      <c r="B73" s="6">
        <v>0.312790978</v>
      </c>
    </row>
    <row r="74" spans="1:2" x14ac:dyDescent="0.25">
      <c r="A74" s="6" t="s">
        <v>179</v>
      </c>
      <c r="B74" s="6">
        <v>0.30629104600000001</v>
      </c>
    </row>
    <row r="75" spans="1:2" x14ac:dyDescent="0.25">
      <c r="A75" s="6" t="s">
        <v>316</v>
      </c>
      <c r="B75" s="6">
        <v>0.36379009299999998</v>
      </c>
    </row>
    <row r="76" spans="1:2" x14ac:dyDescent="0.25">
      <c r="A76" s="6" t="s">
        <v>502</v>
      </c>
      <c r="B76" s="6">
        <v>9.6712389999999995E-2</v>
      </c>
    </row>
    <row r="77" spans="1:2" x14ac:dyDescent="0.25">
      <c r="A77" s="6" t="s">
        <v>575</v>
      </c>
      <c r="B77" s="6">
        <v>0.33858307700000001</v>
      </c>
    </row>
    <row r="78" spans="1:2" x14ac:dyDescent="0.25">
      <c r="A78" s="6" t="s">
        <v>320</v>
      </c>
      <c r="B78" s="6">
        <v>0.49546372500000002</v>
      </c>
    </row>
    <row r="79" spans="1:2" x14ac:dyDescent="0.25">
      <c r="A79" s="6" t="s">
        <v>629</v>
      </c>
      <c r="B79" s="6">
        <v>0.371299033</v>
      </c>
    </row>
    <row r="80" spans="1:2" x14ac:dyDescent="0.25">
      <c r="A80" s="6" t="s">
        <v>187</v>
      </c>
      <c r="B80" s="6">
        <v>0.20354797099999999</v>
      </c>
    </row>
    <row r="81" spans="1:2" x14ac:dyDescent="0.25">
      <c r="A81" s="6" t="s">
        <v>326</v>
      </c>
      <c r="B81" s="6">
        <v>0.30249964000000001</v>
      </c>
    </row>
    <row r="82" spans="1:2" x14ac:dyDescent="0.25">
      <c r="A82" s="6" t="s">
        <v>501</v>
      </c>
      <c r="B82" s="6">
        <v>0.23949962499999999</v>
      </c>
    </row>
    <row r="83" spans="1:2" x14ac:dyDescent="0.25">
      <c r="A83" s="6" t="s">
        <v>418</v>
      </c>
      <c r="B83" s="6">
        <v>0.46638970699999999</v>
      </c>
    </row>
    <row r="84" spans="1:2" x14ac:dyDescent="0.25">
      <c r="A84" s="6" t="s">
        <v>174</v>
      </c>
      <c r="B84" s="6">
        <v>0.215789856</v>
      </c>
    </row>
    <row r="85" spans="1:2" x14ac:dyDescent="0.25">
      <c r="A85" s="6" t="s">
        <v>690</v>
      </c>
      <c r="B85" s="6">
        <v>0.28490235699999999</v>
      </c>
    </row>
    <row r="86" spans="1:2" x14ac:dyDescent="0.25">
      <c r="A86" s="6" t="s">
        <v>536</v>
      </c>
      <c r="B86" s="6">
        <v>0.31222564000000003</v>
      </c>
    </row>
    <row r="87" spans="1:2" x14ac:dyDescent="0.25">
      <c r="A87" s="6" t="s">
        <v>893</v>
      </c>
      <c r="B87" s="6">
        <v>0.39320151800000003</v>
      </c>
    </row>
    <row r="88" spans="1:2" x14ac:dyDescent="0.25">
      <c r="A88" s="6" t="s">
        <v>450</v>
      </c>
      <c r="B88" s="6">
        <v>0.27059941799999998</v>
      </c>
    </row>
    <row r="89" spans="1:2" x14ac:dyDescent="0.25">
      <c r="A89" s="6" t="s">
        <v>238</v>
      </c>
      <c r="B89" s="6">
        <v>0.45070401900000001</v>
      </c>
    </row>
    <row r="90" spans="1:2" x14ac:dyDescent="0.25">
      <c r="A90" s="6" t="s">
        <v>988</v>
      </c>
      <c r="B90" s="6">
        <v>0.37237288400000002</v>
      </c>
    </row>
    <row r="91" spans="1:2" x14ac:dyDescent="0.25">
      <c r="A91" s="6" t="s">
        <v>643</v>
      </c>
      <c r="B91" s="6">
        <v>0.493807049</v>
      </c>
    </row>
    <row r="92" spans="1:2" x14ac:dyDescent="0.25">
      <c r="A92" s="6" t="s">
        <v>535</v>
      </c>
      <c r="B92" s="6">
        <v>0.23233055799999999</v>
      </c>
    </row>
    <row r="93" spans="1:2" x14ac:dyDescent="0.25">
      <c r="A93" s="6" t="s">
        <v>29</v>
      </c>
      <c r="B93" s="6">
        <v>0.53218137099999996</v>
      </c>
    </row>
    <row r="94" spans="1:2" x14ac:dyDescent="0.25">
      <c r="A94" s="6" t="s">
        <v>291</v>
      </c>
      <c r="B94" s="6">
        <v>0.36435761500000002</v>
      </c>
    </row>
    <row r="95" spans="1:2" x14ac:dyDescent="0.25">
      <c r="A95" s="6" t="s">
        <v>520</v>
      </c>
      <c r="B95" s="6">
        <v>0.49645956400000002</v>
      </c>
    </row>
    <row r="96" spans="1:2" x14ac:dyDescent="0.25">
      <c r="A96" s="6" t="s">
        <v>745</v>
      </c>
      <c r="B96" s="6">
        <v>0.33996892699999998</v>
      </c>
    </row>
    <row r="97" spans="1:2" x14ac:dyDescent="0.25">
      <c r="A97" s="6" t="s">
        <v>226</v>
      </c>
      <c r="B97" s="6">
        <v>0.20309748799999999</v>
      </c>
    </row>
    <row r="98" spans="1:2" x14ac:dyDescent="0.25">
      <c r="A98" s="6" t="s">
        <v>84</v>
      </c>
      <c r="B98" s="6">
        <v>7.9157911999999997E-2</v>
      </c>
    </row>
    <row r="99" spans="1:2" x14ac:dyDescent="0.25">
      <c r="A99" s="6" t="s">
        <v>34</v>
      </c>
      <c r="B99" s="6">
        <v>0.39455309500000002</v>
      </c>
    </row>
    <row r="100" spans="1:2" x14ac:dyDescent="0.25">
      <c r="A100" s="6" t="s">
        <v>319</v>
      </c>
      <c r="B100" s="6">
        <v>5.0226076000000001E-2</v>
      </c>
    </row>
    <row r="101" spans="1:2" x14ac:dyDescent="0.25">
      <c r="A101" s="6" t="s">
        <v>168</v>
      </c>
      <c r="B101" s="6">
        <v>0.48311968799999999</v>
      </c>
    </row>
    <row r="102" spans="1:2" x14ac:dyDescent="0.25">
      <c r="A102" s="6" t="s">
        <v>240</v>
      </c>
      <c r="B102" s="6">
        <v>0.20295084699999999</v>
      </c>
    </row>
    <row r="103" spans="1:2" x14ac:dyDescent="0.25">
      <c r="A103" s="6" t="s">
        <v>895</v>
      </c>
      <c r="B103" s="6">
        <v>0.14704968400000001</v>
      </c>
    </row>
    <row r="104" spans="1:2" x14ac:dyDescent="0.25">
      <c r="A104" s="6" t="s">
        <v>571</v>
      </c>
      <c r="B104" s="6">
        <v>0.14016287199999999</v>
      </c>
    </row>
    <row r="105" spans="1:2" x14ac:dyDescent="0.25">
      <c r="A105" s="6" t="s">
        <v>252</v>
      </c>
      <c r="B105" s="6">
        <v>0.11265204099999999</v>
      </c>
    </row>
    <row r="106" spans="1:2" x14ac:dyDescent="0.25">
      <c r="A106" s="6" t="s">
        <v>376</v>
      </c>
      <c r="B106" s="6">
        <v>0.31633101800000002</v>
      </c>
    </row>
    <row r="107" spans="1:2" x14ac:dyDescent="0.25">
      <c r="A107" s="6" t="s">
        <v>742</v>
      </c>
      <c r="B107" s="6">
        <v>0.21061944699999999</v>
      </c>
    </row>
    <row r="108" spans="1:2" x14ac:dyDescent="0.25">
      <c r="A108" s="6" t="s">
        <v>218</v>
      </c>
      <c r="B108" s="6">
        <v>0.61125830400000003</v>
      </c>
    </row>
    <row r="109" spans="1:2" x14ac:dyDescent="0.25">
      <c r="A109" s="6" t="s">
        <v>639</v>
      </c>
      <c r="B109" s="6">
        <v>0.131039398</v>
      </c>
    </row>
    <row r="110" spans="1:2" x14ac:dyDescent="0.25">
      <c r="A110" s="6" t="s">
        <v>531</v>
      </c>
      <c r="B110" s="6">
        <v>9.6861501000000003E-2</v>
      </c>
    </row>
    <row r="111" spans="1:2" x14ac:dyDescent="0.25">
      <c r="A111" s="6" t="s">
        <v>428</v>
      </c>
      <c r="B111" s="6">
        <v>0.34053789299999998</v>
      </c>
    </row>
    <row r="112" spans="1:2" x14ac:dyDescent="0.25">
      <c r="A112" s="6" t="s">
        <v>897</v>
      </c>
      <c r="B112" s="6">
        <v>0.108618696</v>
      </c>
    </row>
    <row r="113" spans="1:2" x14ac:dyDescent="0.25">
      <c r="A113" s="6" t="s">
        <v>670</v>
      </c>
      <c r="B113" s="6">
        <v>0.227698822</v>
      </c>
    </row>
    <row r="114" spans="1:2" x14ac:dyDescent="0.25">
      <c r="A114" s="6" t="s">
        <v>258</v>
      </c>
      <c r="B114" s="6">
        <v>3.2589165000000003E-2</v>
      </c>
    </row>
    <row r="115" spans="1:2" x14ac:dyDescent="0.25">
      <c r="A115" s="6" t="s">
        <v>727</v>
      </c>
      <c r="B115" s="6">
        <v>0.25619981200000003</v>
      </c>
    </row>
    <row r="116" spans="1:2" x14ac:dyDescent="0.25">
      <c r="A116" s="6" t="s">
        <v>632</v>
      </c>
      <c r="B116" s="6">
        <v>0.23884612899999999</v>
      </c>
    </row>
    <row r="117" spans="1:2" x14ac:dyDescent="0.25">
      <c r="A117" s="6" t="s">
        <v>728</v>
      </c>
      <c r="B117" s="6">
        <v>0.16613689000000001</v>
      </c>
    </row>
    <row r="118" spans="1:2" x14ac:dyDescent="0.25">
      <c r="A118" s="6" t="s">
        <v>898</v>
      </c>
      <c r="B118" s="6">
        <v>0.16121617399999999</v>
      </c>
    </row>
    <row r="119" spans="1:2" x14ac:dyDescent="0.25">
      <c r="A119" s="6" t="s">
        <v>301</v>
      </c>
      <c r="B119" s="6">
        <v>0.261074786</v>
      </c>
    </row>
    <row r="120" spans="1:2" x14ac:dyDescent="0.25">
      <c r="A120" s="6" t="s">
        <v>145</v>
      </c>
      <c r="B120" s="6">
        <v>0.70588671400000003</v>
      </c>
    </row>
    <row r="121" spans="1:2" x14ac:dyDescent="0.25">
      <c r="A121" s="6" t="s">
        <v>716</v>
      </c>
      <c r="B121" s="6">
        <v>0.98808615799999999</v>
      </c>
    </row>
    <row r="122" spans="1:2" x14ac:dyDescent="0.25">
      <c r="A122" s="6" t="s">
        <v>217</v>
      </c>
      <c r="B122" s="6">
        <v>4.4995687999999999E-2</v>
      </c>
    </row>
    <row r="123" spans="1:2" x14ac:dyDescent="0.25">
      <c r="A123" s="6" t="s">
        <v>375</v>
      </c>
      <c r="B123" s="6">
        <v>0.34001309099999999</v>
      </c>
    </row>
    <row r="124" spans="1:2" x14ac:dyDescent="0.25">
      <c r="A124" s="6" t="s">
        <v>723</v>
      </c>
      <c r="B124" s="6">
        <v>0.27364498199999998</v>
      </c>
    </row>
    <row r="125" spans="1:2" x14ac:dyDescent="0.25">
      <c r="A125" s="6" t="s">
        <v>108</v>
      </c>
      <c r="B125" s="6">
        <v>0.59024086499999995</v>
      </c>
    </row>
    <row r="126" spans="1:2" x14ac:dyDescent="0.25">
      <c r="A126" s="6" t="s">
        <v>504</v>
      </c>
      <c r="B126" s="6">
        <v>0.32012781800000001</v>
      </c>
    </row>
    <row r="127" spans="1:2" x14ac:dyDescent="0.25">
      <c r="A127" s="6" t="s">
        <v>68</v>
      </c>
      <c r="B127" s="6">
        <v>0.13326914200000001</v>
      </c>
    </row>
    <row r="128" spans="1:2" x14ac:dyDescent="0.25">
      <c r="A128" s="6" t="s">
        <v>175</v>
      </c>
      <c r="B128" s="6">
        <v>0.238096688</v>
      </c>
    </row>
    <row r="129" spans="1:2" x14ac:dyDescent="0.25">
      <c r="A129" s="6" t="s">
        <v>332</v>
      </c>
      <c r="B129" s="6">
        <v>0.17226444299999999</v>
      </c>
    </row>
    <row r="130" spans="1:2" x14ac:dyDescent="0.25">
      <c r="A130" s="6" t="s">
        <v>256</v>
      </c>
      <c r="B130" s="6">
        <v>0.32853138799999998</v>
      </c>
    </row>
    <row r="131" spans="1:2" x14ac:dyDescent="0.25">
      <c r="A131" s="6" t="s">
        <v>408</v>
      </c>
      <c r="B131" s="6">
        <v>0.20892379599999999</v>
      </c>
    </row>
    <row r="132" spans="1:2" x14ac:dyDescent="0.25">
      <c r="A132" s="6" t="s">
        <v>123</v>
      </c>
      <c r="B132" s="6">
        <v>0.14748267900000001</v>
      </c>
    </row>
    <row r="133" spans="1:2" x14ac:dyDescent="0.25">
      <c r="A133" s="6" t="s">
        <v>618</v>
      </c>
      <c r="B133" s="6">
        <v>0.110879678</v>
      </c>
    </row>
    <row r="134" spans="1:2" x14ac:dyDescent="0.25">
      <c r="A134" s="6" t="s">
        <v>158</v>
      </c>
      <c r="B134" s="6">
        <v>7.0520484999999994E-2</v>
      </c>
    </row>
    <row r="135" spans="1:2" x14ac:dyDescent="0.25">
      <c r="A135" s="6" t="s">
        <v>330</v>
      </c>
      <c r="B135" s="6">
        <v>0.28972318800000002</v>
      </c>
    </row>
    <row r="136" spans="1:2" x14ac:dyDescent="0.25">
      <c r="A136" s="6" t="s">
        <v>180</v>
      </c>
      <c r="B136" s="6">
        <v>0.27068970199999998</v>
      </c>
    </row>
    <row r="137" spans="1:2" x14ac:dyDescent="0.25">
      <c r="A137" s="6" t="s">
        <v>199</v>
      </c>
      <c r="B137" s="6">
        <v>0.14019262399999999</v>
      </c>
    </row>
    <row r="138" spans="1:2" x14ac:dyDescent="0.25">
      <c r="A138" s="6" t="s">
        <v>337</v>
      </c>
      <c r="B138" s="6">
        <v>0.26367524599999997</v>
      </c>
    </row>
    <row r="139" spans="1:2" x14ac:dyDescent="0.25">
      <c r="A139" s="6" t="s">
        <v>900</v>
      </c>
      <c r="B139" s="6">
        <v>0.28896972799999998</v>
      </c>
    </row>
    <row r="140" spans="1:2" x14ac:dyDescent="0.25">
      <c r="A140" s="6" t="s">
        <v>466</v>
      </c>
      <c r="B140" s="6">
        <v>0.24274553200000001</v>
      </c>
    </row>
    <row r="141" spans="1:2" x14ac:dyDescent="0.25">
      <c r="A141" s="6" t="s">
        <v>602</v>
      </c>
      <c r="B141" s="6">
        <v>0.39346115100000001</v>
      </c>
    </row>
    <row r="142" spans="1:2" x14ac:dyDescent="0.25">
      <c r="A142" s="6" t="s">
        <v>599</v>
      </c>
      <c r="B142" s="6">
        <v>0.196469693</v>
      </c>
    </row>
    <row r="143" spans="1:2" x14ac:dyDescent="0.25">
      <c r="A143" s="6" t="s">
        <v>902</v>
      </c>
      <c r="B143" s="6">
        <v>9.4856840999999997E-2</v>
      </c>
    </row>
    <row r="144" spans="1:2" x14ac:dyDescent="0.25">
      <c r="A144" s="6" t="s">
        <v>46</v>
      </c>
      <c r="B144" s="6">
        <v>0.120787621</v>
      </c>
    </row>
    <row r="145" spans="1:2" x14ac:dyDescent="0.25">
      <c r="A145" s="6" t="s">
        <v>605</v>
      </c>
      <c r="B145" s="6">
        <v>0.37809728399999998</v>
      </c>
    </row>
    <row r="146" spans="1:2" x14ac:dyDescent="0.25">
      <c r="A146" s="6" t="s">
        <v>533</v>
      </c>
      <c r="B146" s="6">
        <v>0.152614108</v>
      </c>
    </row>
    <row r="147" spans="1:2" x14ac:dyDescent="0.25">
      <c r="A147" s="6" t="s">
        <v>13</v>
      </c>
      <c r="B147" s="6">
        <v>0.51988597999999997</v>
      </c>
    </row>
    <row r="148" spans="1:2" x14ac:dyDescent="0.25">
      <c r="A148" s="6" t="s">
        <v>406</v>
      </c>
      <c r="B148" s="6">
        <v>1.1963702389999999</v>
      </c>
    </row>
    <row r="149" spans="1:2" x14ac:dyDescent="0.25">
      <c r="A149" s="6" t="s">
        <v>212</v>
      </c>
      <c r="B149" s="6">
        <v>0.417251027</v>
      </c>
    </row>
    <row r="150" spans="1:2" x14ac:dyDescent="0.25">
      <c r="A150" s="6" t="s">
        <v>6</v>
      </c>
      <c r="B150" s="6">
        <v>0.242088465</v>
      </c>
    </row>
    <row r="151" spans="1:2" x14ac:dyDescent="0.25">
      <c r="A151" s="6" t="s">
        <v>307</v>
      </c>
      <c r="B151" s="6">
        <v>0.109157854</v>
      </c>
    </row>
    <row r="152" spans="1:2" x14ac:dyDescent="0.25">
      <c r="A152" s="6" t="s">
        <v>385</v>
      </c>
      <c r="B152" s="6">
        <v>0.431964458</v>
      </c>
    </row>
    <row r="153" spans="1:2" x14ac:dyDescent="0.25">
      <c r="A153" s="6" t="s">
        <v>101</v>
      </c>
      <c r="B153" s="6">
        <v>0.77029404800000001</v>
      </c>
    </row>
    <row r="154" spans="1:2" x14ac:dyDescent="0.25">
      <c r="A154" s="6" t="s">
        <v>719</v>
      </c>
      <c r="B154" s="6">
        <v>0.13926207299999999</v>
      </c>
    </row>
    <row r="155" spans="1:2" x14ac:dyDescent="0.25">
      <c r="A155" s="6" t="s">
        <v>484</v>
      </c>
      <c r="B155" s="6">
        <v>0.22688341100000001</v>
      </c>
    </row>
    <row r="156" spans="1:2" x14ac:dyDescent="0.25">
      <c r="A156" s="6" t="s">
        <v>576</v>
      </c>
      <c r="B156" s="6">
        <v>0.25205014999999997</v>
      </c>
    </row>
    <row r="157" spans="1:2" x14ac:dyDescent="0.25">
      <c r="A157" s="6" t="s">
        <v>611</v>
      </c>
      <c r="B157" s="6">
        <v>0.555059305</v>
      </c>
    </row>
    <row r="158" spans="1:2" x14ac:dyDescent="0.25">
      <c r="A158" s="6" t="s">
        <v>186</v>
      </c>
      <c r="B158" s="6">
        <v>0.196714361</v>
      </c>
    </row>
    <row r="159" spans="1:2" x14ac:dyDescent="0.25">
      <c r="A159" s="6" t="s">
        <v>86</v>
      </c>
      <c r="B159" s="6">
        <v>0.45668123300000002</v>
      </c>
    </row>
    <row r="160" spans="1:2" x14ac:dyDescent="0.25">
      <c r="A160" s="6" t="s">
        <v>558</v>
      </c>
      <c r="B160" s="6">
        <v>0.393239387</v>
      </c>
    </row>
    <row r="161" spans="1:2" x14ac:dyDescent="0.25">
      <c r="A161" s="6" t="s">
        <v>447</v>
      </c>
      <c r="B161" s="6">
        <v>8.0119217000000006E-2</v>
      </c>
    </row>
    <row r="162" spans="1:2" x14ac:dyDescent="0.25">
      <c r="A162" s="6" t="s">
        <v>465</v>
      </c>
      <c r="B162" s="6">
        <v>0.36671579199999998</v>
      </c>
    </row>
    <row r="163" spans="1:2" x14ac:dyDescent="0.25">
      <c r="A163" s="6" t="s">
        <v>457</v>
      </c>
      <c r="B163" s="6">
        <v>0.209121586</v>
      </c>
    </row>
    <row r="164" spans="1:2" x14ac:dyDescent="0.25">
      <c r="A164" s="6" t="s">
        <v>904</v>
      </c>
      <c r="B164" s="6">
        <v>0.404096911</v>
      </c>
    </row>
    <row r="165" spans="1:2" x14ac:dyDescent="0.25">
      <c r="A165" s="6" t="s">
        <v>8</v>
      </c>
      <c r="B165" s="6">
        <v>0.184679805</v>
      </c>
    </row>
    <row r="166" spans="1:2" x14ac:dyDescent="0.25">
      <c r="A166" s="6" t="s">
        <v>44</v>
      </c>
      <c r="B166" s="6">
        <v>0.25250188699999998</v>
      </c>
    </row>
    <row r="167" spans="1:2" x14ac:dyDescent="0.25">
      <c r="A167" s="6" t="s">
        <v>206</v>
      </c>
      <c r="B167" s="6">
        <v>0.221148605</v>
      </c>
    </row>
    <row r="168" spans="1:2" x14ac:dyDescent="0.25">
      <c r="A168" s="6" t="s">
        <v>71</v>
      </c>
      <c r="B168" s="6">
        <v>0.30956973199999999</v>
      </c>
    </row>
    <row r="169" spans="1:2" x14ac:dyDescent="0.25">
      <c r="A169" s="6" t="s">
        <v>722</v>
      </c>
      <c r="B169" s="6">
        <v>0.176757308</v>
      </c>
    </row>
    <row r="170" spans="1:2" x14ac:dyDescent="0.25">
      <c r="A170" s="6" t="s">
        <v>203</v>
      </c>
      <c r="B170" s="6">
        <v>0.38353865700000001</v>
      </c>
    </row>
    <row r="171" spans="1:2" x14ac:dyDescent="0.25">
      <c r="A171" s="6" t="s">
        <v>210</v>
      </c>
      <c r="B171" s="6">
        <v>0.14551842800000001</v>
      </c>
    </row>
    <row r="172" spans="1:2" x14ac:dyDescent="0.25">
      <c r="A172" s="6" t="s">
        <v>451</v>
      </c>
      <c r="B172" s="6">
        <v>0.98028756800000005</v>
      </c>
    </row>
    <row r="173" spans="1:2" x14ac:dyDescent="0.25">
      <c r="A173" s="6" t="s">
        <v>91</v>
      </c>
      <c r="B173" s="6">
        <v>0.10885155000000001</v>
      </c>
    </row>
    <row r="174" spans="1:2" x14ac:dyDescent="0.25">
      <c r="A174" s="6" t="s">
        <v>152</v>
      </c>
      <c r="B174" s="6">
        <v>0.40058533099999999</v>
      </c>
    </row>
    <row r="175" spans="1:2" x14ac:dyDescent="0.25">
      <c r="A175" s="6" t="s">
        <v>672</v>
      </c>
      <c r="B175" s="6">
        <v>7.2835216999999994E-2</v>
      </c>
    </row>
    <row r="176" spans="1:2" x14ac:dyDescent="0.25">
      <c r="A176" s="6" t="s">
        <v>70</v>
      </c>
      <c r="B176" s="6">
        <v>0.41798882599999998</v>
      </c>
    </row>
    <row r="177" spans="1:2" x14ac:dyDescent="0.25">
      <c r="A177" s="6" t="s">
        <v>907</v>
      </c>
      <c r="B177" s="6">
        <v>0.25998849699999999</v>
      </c>
    </row>
    <row r="178" spans="1:2" x14ac:dyDescent="0.25">
      <c r="A178" s="6" t="s">
        <v>656</v>
      </c>
      <c r="B178" s="6">
        <v>0.150950791</v>
      </c>
    </row>
    <row r="179" spans="1:2" x14ac:dyDescent="0.25">
      <c r="A179" s="6" t="s">
        <v>388</v>
      </c>
      <c r="B179" s="6">
        <v>7.4428015E-2</v>
      </c>
    </row>
    <row r="180" spans="1:2" x14ac:dyDescent="0.25">
      <c r="A180" s="6" t="s">
        <v>110</v>
      </c>
      <c r="B180" s="6">
        <v>0.233844469</v>
      </c>
    </row>
    <row r="181" spans="1:2" x14ac:dyDescent="0.25">
      <c r="A181" s="6" t="s">
        <v>292</v>
      </c>
      <c r="B181" s="6">
        <v>0.25418153599999999</v>
      </c>
    </row>
    <row r="182" spans="1:2" x14ac:dyDescent="0.25">
      <c r="A182" s="6" t="s">
        <v>663</v>
      </c>
      <c r="B182" s="6">
        <v>1.0914996889999999</v>
      </c>
    </row>
    <row r="183" spans="1:2" x14ac:dyDescent="0.25">
      <c r="A183" s="6" t="s">
        <v>734</v>
      </c>
      <c r="B183" s="6">
        <v>9.5311515999999999E-2</v>
      </c>
    </row>
    <row r="184" spans="1:2" x14ac:dyDescent="0.25">
      <c r="A184" s="6" t="s">
        <v>613</v>
      </c>
      <c r="B184" s="6">
        <v>8.3600362999999997E-2</v>
      </c>
    </row>
    <row r="185" spans="1:2" x14ac:dyDescent="0.25">
      <c r="A185" s="6" t="s">
        <v>569</v>
      </c>
      <c r="B185" s="6">
        <v>0.15417362300000001</v>
      </c>
    </row>
    <row r="186" spans="1:2" x14ac:dyDescent="0.25">
      <c r="A186" s="6" t="s">
        <v>671</v>
      </c>
      <c r="B186" s="6">
        <v>0.36090257199999998</v>
      </c>
    </row>
    <row r="187" spans="1:2" x14ac:dyDescent="0.25">
      <c r="A187" s="6" t="s">
        <v>255</v>
      </c>
      <c r="B187" s="6">
        <v>0.28507916799999999</v>
      </c>
    </row>
    <row r="188" spans="1:2" x14ac:dyDescent="0.25">
      <c r="A188" s="6" t="s">
        <v>432</v>
      </c>
      <c r="B188" s="6">
        <v>0.53625069700000005</v>
      </c>
    </row>
    <row r="189" spans="1:2" x14ac:dyDescent="0.25">
      <c r="A189" s="6" t="s">
        <v>223</v>
      </c>
      <c r="B189" s="6">
        <v>0.54052764900000005</v>
      </c>
    </row>
    <row r="190" spans="1:2" x14ac:dyDescent="0.25">
      <c r="A190" s="6" t="s">
        <v>294</v>
      </c>
      <c r="B190" s="6">
        <v>0.29461040100000002</v>
      </c>
    </row>
    <row r="191" spans="1:2" x14ac:dyDescent="0.25">
      <c r="A191" s="6" t="s">
        <v>726</v>
      </c>
      <c r="B191" s="6">
        <v>0.17290750299999999</v>
      </c>
    </row>
    <row r="192" spans="1:2" x14ac:dyDescent="0.25">
      <c r="A192" s="6" t="s">
        <v>303</v>
      </c>
      <c r="B192" s="6">
        <v>0.950333129</v>
      </c>
    </row>
    <row r="193" spans="1:2" x14ac:dyDescent="0.25">
      <c r="A193" s="6" t="s">
        <v>657</v>
      </c>
      <c r="B193" s="6">
        <v>0.213442461</v>
      </c>
    </row>
    <row r="194" spans="1:2" x14ac:dyDescent="0.25">
      <c r="A194" s="6" t="s">
        <v>365</v>
      </c>
      <c r="B194" s="6">
        <v>0.46198152399999998</v>
      </c>
    </row>
    <row r="195" spans="1:2" x14ac:dyDescent="0.25">
      <c r="A195" s="6" t="s">
        <v>298</v>
      </c>
      <c r="B195" s="6">
        <v>0.30826227099999998</v>
      </c>
    </row>
    <row r="196" spans="1:2" x14ac:dyDescent="0.25">
      <c r="A196" s="6" t="s">
        <v>910</v>
      </c>
      <c r="B196" s="6">
        <v>0.32889600299999999</v>
      </c>
    </row>
    <row r="197" spans="1:2" x14ac:dyDescent="0.25">
      <c r="A197" s="6" t="s">
        <v>542</v>
      </c>
      <c r="B197" s="6">
        <v>0.19108792399999999</v>
      </c>
    </row>
    <row r="198" spans="1:2" x14ac:dyDescent="0.25">
      <c r="A198" s="6" t="s">
        <v>154</v>
      </c>
      <c r="B198" s="6">
        <v>0.70962845100000005</v>
      </c>
    </row>
    <row r="199" spans="1:2" x14ac:dyDescent="0.25">
      <c r="A199" s="6" t="s">
        <v>10</v>
      </c>
      <c r="B199" s="6">
        <v>0.32076958</v>
      </c>
    </row>
    <row r="200" spans="1:2" x14ac:dyDescent="0.25">
      <c r="A200" s="6" t="s">
        <v>594</v>
      </c>
      <c r="B200" s="6">
        <v>0.181750414</v>
      </c>
    </row>
    <row r="201" spans="1:2" x14ac:dyDescent="0.25">
      <c r="A201" s="6" t="s">
        <v>627</v>
      </c>
      <c r="B201" s="6">
        <v>9.4430343999999999E-2</v>
      </c>
    </row>
    <row r="202" spans="1:2" x14ac:dyDescent="0.25">
      <c r="A202" s="6" t="s">
        <v>353</v>
      </c>
      <c r="B202" s="6">
        <v>0.11918646400000001</v>
      </c>
    </row>
    <row r="203" spans="1:2" x14ac:dyDescent="0.25">
      <c r="A203" s="6" t="s">
        <v>434</v>
      </c>
      <c r="B203" s="6">
        <v>0.121396691</v>
      </c>
    </row>
    <row r="204" spans="1:2" x14ac:dyDescent="0.25">
      <c r="A204" s="6" t="s">
        <v>139</v>
      </c>
      <c r="B204" s="6">
        <v>0.23739143700000001</v>
      </c>
    </row>
    <row r="205" spans="1:2" x14ac:dyDescent="0.25">
      <c r="A205" s="6" t="s">
        <v>913</v>
      </c>
      <c r="B205" s="6">
        <v>0.30763347899999999</v>
      </c>
    </row>
    <row r="206" spans="1:2" x14ac:dyDescent="0.25">
      <c r="A206" s="6" t="s">
        <v>631</v>
      </c>
      <c r="B206" s="6">
        <v>0.71873216200000001</v>
      </c>
    </row>
    <row r="207" spans="1:2" x14ac:dyDescent="0.25">
      <c r="A207" s="6" t="s">
        <v>321</v>
      </c>
      <c r="B207" s="6">
        <v>0.49199836200000002</v>
      </c>
    </row>
    <row r="208" spans="1:2" x14ac:dyDescent="0.25">
      <c r="A208" s="6" t="s">
        <v>296</v>
      </c>
      <c r="B208" s="6">
        <v>0.31549374499999999</v>
      </c>
    </row>
    <row r="209" spans="1:2" x14ac:dyDescent="0.25">
      <c r="A209" s="6" t="s">
        <v>649</v>
      </c>
      <c r="B209" s="6">
        <v>0.26483929499999997</v>
      </c>
    </row>
    <row r="210" spans="1:2" x14ac:dyDescent="0.25">
      <c r="A210" s="6" t="s">
        <v>693</v>
      </c>
      <c r="B210" s="6">
        <v>0.33792390300000003</v>
      </c>
    </row>
    <row r="211" spans="1:2" x14ac:dyDescent="0.25">
      <c r="A211" s="6" t="s">
        <v>494</v>
      </c>
      <c r="B211" s="6">
        <v>0.35840519799999998</v>
      </c>
    </row>
    <row r="212" spans="1:2" x14ac:dyDescent="0.25">
      <c r="A212" s="6" t="s">
        <v>7</v>
      </c>
      <c r="B212" s="6">
        <v>0.82241302999999999</v>
      </c>
    </row>
    <row r="213" spans="1:2" x14ac:dyDescent="0.25">
      <c r="A213" s="6" t="s">
        <v>493</v>
      </c>
      <c r="B213" s="6">
        <v>0.29311853300000001</v>
      </c>
    </row>
    <row r="214" spans="1:2" x14ac:dyDescent="0.25">
      <c r="A214" s="6" t="s">
        <v>460</v>
      </c>
      <c r="B214" s="6">
        <v>0.13493218600000001</v>
      </c>
    </row>
    <row r="215" spans="1:2" x14ac:dyDescent="0.25">
      <c r="A215" s="6" t="s">
        <v>318</v>
      </c>
      <c r="B215" s="6">
        <v>0.22396392300000001</v>
      </c>
    </row>
    <row r="216" spans="1:2" x14ac:dyDescent="0.25">
      <c r="A216" s="6" t="s">
        <v>150</v>
      </c>
      <c r="B216" s="6">
        <v>0.49864602400000002</v>
      </c>
    </row>
    <row r="217" spans="1:2" x14ac:dyDescent="0.25">
      <c r="A217" s="6" t="s">
        <v>147</v>
      </c>
      <c r="B217" s="6">
        <v>0.20951457400000001</v>
      </c>
    </row>
    <row r="218" spans="1:2" x14ac:dyDescent="0.25">
      <c r="A218" s="6" t="s">
        <v>483</v>
      </c>
      <c r="B218" s="6">
        <v>0.21371636099999999</v>
      </c>
    </row>
    <row r="219" spans="1:2" x14ac:dyDescent="0.25">
      <c r="A219" s="6" t="s">
        <v>308</v>
      </c>
      <c r="B219" s="6">
        <v>0.20928095799999999</v>
      </c>
    </row>
    <row r="220" spans="1:2" x14ac:dyDescent="0.25">
      <c r="A220" s="6" t="s">
        <v>664</v>
      </c>
      <c r="B220" s="6">
        <v>0.86173540599999998</v>
      </c>
    </row>
    <row r="221" spans="1:2" x14ac:dyDescent="0.25">
      <c r="A221" s="6" t="s">
        <v>214</v>
      </c>
      <c r="B221" s="6">
        <v>0.31684132700000001</v>
      </c>
    </row>
    <row r="222" spans="1:2" x14ac:dyDescent="0.25">
      <c r="A222" s="6" t="s">
        <v>404</v>
      </c>
      <c r="B222" s="6">
        <v>0.128247483</v>
      </c>
    </row>
    <row r="223" spans="1:2" x14ac:dyDescent="0.25">
      <c r="A223" s="6" t="s">
        <v>117</v>
      </c>
      <c r="B223" s="6">
        <v>0.39103113</v>
      </c>
    </row>
    <row r="224" spans="1:2" x14ac:dyDescent="0.25">
      <c r="A224" s="6" t="s">
        <v>90</v>
      </c>
      <c r="B224" s="6">
        <v>0.225539616</v>
      </c>
    </row>
    <row r="225" spans="1:2" x14ac:dyDescent="0.25">
      <c r="A225" s="6" t="s">
        <v>286</v>
      </c>
      <c r="B225" s="6">
        <v>0.22979714300000001</v>
      </c>
    </row>
    <row r="226" spans="1:2" x14ac:dyDescent="0.25">
      <c r="A226" s="6" t="s">
        <v>290</v>
      </c>
      <c r="B226" s="6">
        <v>0.40068292900000002</v>
      </c>
    </row>
    <row r="227" spans="1:2" x14ac:dyDescent="0.25">
      <c r="A227" s="6" t="s">
        <v>266</v>
      </c>
      <c r="B227" s="6">
        <v>0.251108732</v>
      </c>
    </row>
    <row r="228" spans="1:2" x14ac:dyDescent="0.25">
      <c r="A228" s="6" t="s">
        <v>730</v>
      </c>
      <c r="B228" s="6">
        <v>6.8158338999999998E-2</v>
      </c>
    </row>
    <row r="229" spans="1:2" x14ac:dyDescent="0.25">
      <c r="A229" s="6" t="s">
        <v>9</v>
      </c>
      <c r="B229" s="6">
        <v>0.12311554399999999</v>
      </c>
    </row>
    <row r="230" spans="1:2" x14ac:dyDescent="0.25">
      <c r="A230" s="6" t="s">
        <v>249</v>
      </c>
      <c r="B230" s="6">
        <v>0.79850119500000005</v>
      </c>
    </row>
    <row r="231" spans="1:2" x14ac:dyDescent="0.25">
      <c r="A231" s="6" t="s">
        <v>287</v>
      </c>
      <c r="B231" s="6">
        <v>0.30607172799999999</v>
      </c>
    </row>
    <row r="232" spans="1:2" x14ac:dyDescent="0.25">
      <c r="A232" s="6" t="s">
        <v>477</v>
      </c>
      <c r="B232" s="6">
        <v>0.25062822000000001</v>
      </c>
    </row>
    <row r="233" spans="1:2" x14ac:dyDescent="0.25">
      <c r="A233" s="6" t="s">
        <v>234</v>
      </c>
      <c r="B233" s="6">
        <v>0.199256129</v>
      </c>
    </row>
    <row r="234" spans="1:2" x14ac:dyDescent="0.25">
      <c r="A234" s="6" t="s">
        <v>276</v>
      </c>
      <c r="B234" s="6">
        <v>6.6744525999999998E-2</v>
      </c>
    </row>
    <row r="235" spans="1:2" x14ac:dyDescent="0.25">
      <c r="A235" s="6" t="s">
        <v>609</v>
      </c>
      <c r="B235" s="6">
        <v>0.169234882</v>
      </c>
    </row>
    <row r="236" spans="1:2" x14ac:dyDescent="0.25">
      <c r="A236" s="6" t="s">
        <v>109</v>
      </c>
      <c r="B236" s="6">
        <v>0.21169987900000001</v>
      </c>
    </row>
    <row r="237" spans="1:2" x14ac:dyDescent="0.25">
      <c r="A237" s="6" t="s">
        <v>692</v>
      </c>
      <c r="B237" s="6">
        <v>0.240330821</v>
      </c>
    </row>
    <row r="238" spans="1:2" x14ac:dyDescent="0.25">
      <c r="A238" s="6" t="s">
        <v>160</v>
      </c>
      <c r="B238" s="6">
        <v>0.40252757</v>
      </c>
    </row>
    <row r="239" spans="1:2" x14ac:dyDescent="0.25">
      <c r="A239" s="6" t="s">
        <v>666</v>
      </c>
      <c r="B239" s="6">
        <v>0.73038586599999999</v>
      </c>
    </row>
    <row r="240" spans="1:2" x14ac:dyDescent="0.25">
      <c r="A240" s="6" t="s">
        <v>200</v>
      </c>
      <c r="B240" s="6">
        <v>0.94951605699999997</v>
      </c>
    </row>
    <row r="241" spans="1:2" x14ac:dyDescent="0.25">
      <c r="A241" s="6" t="s">
        <v>336</v>
      </c>
      <c r="B241" s="6">
        <v>0.245731757</v>
      </c>
    </row>
    <row r="242" spans="1:2" x14ac:dyDescent="0.25">
      <c r="A242" s="6" t="s">
        <v>614</v>
      </c>
      <c r="B242" s="6">
        <v>5.8403121000000002E-2</v>
      </c>
    </row>
    <row r="243" spans="1:2" x14ac:dyDescent="0.25">
      <c r="A243" s="6" t="s">
        <v>102</v>
      </c>
      <c r="B243" s="6">
        <v>0.19502493600000001</v>
      </c>
    </row>
    <row r="244" spans="1:2" x14ac:dyDescent="0.25">
      <c r="A244" s="6" t="s">
        <v>392</v>
      </c>
      <c r="B244" s="6">
        <v>0.543052961</v>
      </c>
    </row>
    <row r="245" spans="1:2" x14ac:dyDescent="0.25">
      <c r="A245" s="6" t="s">
        <v>915</v>
      </c>
      <c r="B245" s="6">
        <v>0.17661782000000001</v>
      </c>
    </row>
    <row r="246" spans="1:2" x14ac:dyDescent="0.25">
      <c r="A246" s="6" t="s">
        <v>519</v>
      </c>
      <c r="B246" s="6">
        <v>8.7961199000000004E-2</v>
      </c>
    </row>
    <row r="247" spans="1:2" x14ac:dyDescent="0.25">
      <c r="A247" s="6" t="s">
        <v>77</v>
      </c>
      <c r="B247" s="6">
        <v>0.53295960200000003</v>
      </c>
    </row>
    <row r="248" spans="1:2" x14ac:dyDescent="0.25">
      <c r="A248" s="6" t="s">
        <v>325</v>
      </c>
      <c r="B248" s="6">
        <v>0.18395979900000001</v>
      </c>
    </row>
    <row r="249" spans="1:2" x14ac:dyDescent="0.25">
      <c r="A249" s="6" t="s">
        <v>592</v>
      </c>
      <c r="B249" s="6">
        <v>0.54196455700000001</v>
      </c>
    </row>
    <row r="250" spans="1:2" x14ac:dyDescent="0.25">
      <c r="A250" s="6" t="s">
        <v>429</v>
      </c>
      <c r="B250" s="6">
        <v>8.0866424000000006E-2</v>
      </c>
    </row>
    <row r="251" spans="1:2" x14ac:dyDescent="0.25">
      <c r="A251" s="6" t="s">
        <v>991</v>
      </c>
      <c r="B251" s="6">
        <v>0.127552796</v>
      </c>
    </row>
    <row r="252" spans="1:2" x14ac:dyDescent="0.25">
      <c r="A252" s="6" t="s">
        <v>78</v>
      </c>
      <c r="B252" s="6">
        <v>0.42608596500000001</v>
      </c>
    </row>
    <row r="253" spans="1:2" x14ac:dyDescent="0.25">
      <c r="A253" s="6" t="s">
        <v>468</v>
      </c>
      <c r="B253" s="6">
        <v>0.11056398200000001</v>
      </c>
    </row>
    <row r="254" spans="1:2" x14ac:dyDescent="0.25">
      <c r="A254" s="6" t="s">
        <v>740</v>
      </c>
      <c r="B254" s="6">
        <v>8.7033078E-2</v>
      </c>
    </row>
    <row r="255" spans="1:2" x14ac:dyDescent="0.25">
      <c r="A255" s="6" t="s">
        <v>362</v>
      </c>
      <c r="B255" s="6">
        <v>0.46385846400000003</v>
      </c>
    </row>
    <row r="256" spans="1:2" x14ac:dyDescent="0.25">
      <c r="A256" s="6" t="s">
        <v>182</v>
      </c>
      <c r="B256" s="6">
        <v>0.15485400699999999</v>
      </c>
    </row>
    <row r="257" spans="1:2" x14ac:dyDescent="0.25">
      <c r="A257" s="6" t="s">
        <v>43</v>
      </c>
      <c r="B257" s="6">
        <v>0.49817161599999998</v>
      </c>
    </row>
    <row r="258" spans="1:2" x14ac:dyDescent="0.25">
      <c r="A258" s="6" t="s">
        <v>696</v>
      </c>
      <c r="B258" s="6">
        <v>0.42542673399999997</v>
      </c>
    </row>
    <row r="259" spans="1:2" x14ac:dyDescent="0.25">
      <c r="A259" s="6" t="s">
        <v>638</v>
      </c>
      <c r="B259" s="6">
        <v>0.13489324499999999</v>
      </c>
    </row>
    <row r="260" spans="1:2" x14ac:dyDescent="0.25">
      <c r="A260" s="6" t="s">
        <v>264</v>
      </c>
      <c r="B260" s="6">
        <v>0.22997124699999999</v>
      </c>
    </row>
    <row r="261" spans="1:2" x14ac:dyDescent="0.25">
      <c r="A261" s="6" t="s">
        <v>553</v>
      </c>
      <c r="B261" s="6">
        <v>0.168896412</v>
      </c>
    </row>
    <row r="262" spans="1:2" x14ac:dyDescent="0.25">
      <c r="A262" s="6" t="s">
        <v>398</v>
      </c>
      <c r="B262" s="6">
        <v>0.16419130600000001</v>
      </c>
    </row>
    <row r="263" spans="1:2" x14ac:dyDescent="0.25">
      <c r="A263" s="6" t="s">
        <v>612</v>
      </c>
      <c r="B263" s="6">
        <v>0.27877814200000001</v>
      </c>
    </row>
    <row r="264" spans="1:2" x14ac:dyDescent="0.25">
      <c r="A264" s="6" t="s">
        <v>244</v>
      </c>
      <c r="B264" s="6">
        <v>0.42517369900000002</v>
      </c>
    </row>
    <row r="265" spans="1:2" x14ac:dyDescent="0.25">
      <c r="A265" s="6" t="s">
        <v>348</v>
      </c>
      <c r="B265" s="6">
        <v>0.269328234</v>
      </c>
    </row>
    <row r="266" spans="1:2" x14ac:dyDescent="0.25">
      <c r="A266" s="6" t="s">
        <v>496</v>
      </c>
      <c r="B266" s="6">
        <v>0.89559142899999999</v>
      </c>
    </row>
    <row r="267" spans="1:2" x14ac:dyDescent="0.25">
      <c r="A267" s="6" t="s">
        <v>241</v>
      </c>
      <c r="B267" s="6">
        <v>0.39379375799999999</v>
      </c>
    </row>
    <row r="268" spans="1:2" x14ac:dyDescent="0.25">
      <c r="A268" s="6" t="s">
        <v>633</v>
      </c>
      <c r="B268" s="6">
        <v>0.85994219500000002</v>
      </c>
    </row>
    <row r="269" spans="1:2" x14ac:dyDescent="0.25">
      <c r="A269" s="6" t="s">
        <v>919</v>
      </c>
      <c r="B269" s="6">
        <v>0.12699827299999999</v>
      </c>
    </row>
    <row r="270" spans="1:2" x14ac:dyDescent="0.25">
      <c r="A270" s="6" t="s">
        <v>53</v>
      </c>
      <c r="B270" s="6">
        <v>0.17361238900000001</v>
      </c>
    </row>
    <row r="271" spans="1:2" x14ac:dyDescent="0.25">
      <c r="A271" s="6" t="s">
        <v>26</v>
      </c>
      <c r="B271" s="6">
        <v>0.37182202600000003</v>
      </c>
    </row>
    <row r="272" spans="1:2" x14ac:dyDescent="0.25">
      <c r="A272" s="6" t="s">
        <v>485</v>
      </c>
      <c r="B272" s="6">
        <v>0.225154623</v>
      </c>
    </row>
    <row r="273" spans="1:2" x14ac:dyDescent="0.25">
      <c r="A273" s="6" t="s">
        <v>295</v>
      </c>
      <c r="B273" s="6">
        <v>0.61248385900000002</v>
      </c>
    </row>
    <row r="274" spans="1:2" x14ac:dyDescent="0.25">
      <c r="A274" s="6" t="s">
        <v>201</v>
      </c>
      <c r="B274" s="6">
        <v>0.21019568399999999</v>
      </c>
    </row>
    <row r="275" spans="1:2" x14ac:dyDescent="0.25">
      <c r="A275" s="6" t="s">
        <v>12</v>
      </c>
      <c r="B275" s="6">
        <v>0.34972699000000002</v>
      </c>
    </row>
    <row r="276" spans="1:2" x14ac:dyDescent="0.25">
      <c r="A276" s="6" t="s">
        <v>595</v>
      </c>
      <c r="B276" s="6">
        <v>0.29540266799999998</v>
      </c>
    </row>
    <row r="277" spans="1:2" x14ac:dyDescent="0.25">
      <c r="A277" s="6" t="s">
        <v>391</v>
      </c>
      <c r="B277" s="6">
        <v>0.136115136</v>
      </c>
    </row>
    <row r="278" spans="1:2" x14ac:dyDescent="0.25">
      <c r="A278" s="6" t="s">
        <v>488</v>
      </c>
      <c r="B278" s="6">
        <v>0.52194370800000001</v>
      </c>
    </row>
    <row r="279" spans="1:2" x14ac:dyDescent="0.25">
      <c r="A279" s="6" t="s">
        <v>565</v>
      </c>
      <c r="B279" s="6">
        <v>0.245830365</v>
      </c>
    </row>
    <row r="280" spans="1:2" x14ac:dyDescent="0.25">
      <c r="A280" s="6" t="s">
        <v>412</v>
      </c>
      <c r="B280" s="6">
        <v>0.27360664499999998</v>
      </c>
    </row>
    <row r="281" spans="1:2" x14ac:dyDescent="0.25">
      <c r="A281" s="6" t="s">
        <v>349</v>
      </c>
      <c r="B281" s="6">
        <v>0.116932651</v>
      </c>
    </row>
    <row r="282" spans="1:2" x14ac:dyDescent="0.25">
      <c r="A282" s="6" t="s">
        <v>480</v>
      </c>
      <c r="B282" s="6">
        <v>0.17254444999999999</v>
      </c>
    </row>
    <row r="283" spans="1:2" x14ac:dyDescent="0.25">
      <c r="A283" s="6" t="s">
        <v>474</v>
      </c>
      <c r="B283" s="6">
        <v>0.181245345</v>
      </c>
    </row>
    <row r="284" spans="1:2" x14ac:dyDescent="0.25">
      <c r="A284" s="6" t="s">
        <v>31</v>
      </c>
      <c r="B284" s="6">
        <v>7.9720394E-2</v>
      </c>
    </row>
    <row r="285" spans="1:2" x14ac:dyDescent="0.25">
      <c r="A285" s="6" t="s">
        <v>386</v>
      </c>
      <c r="B285" s="6">
        <v>0.80725838800000005</v>
      </c>
    </row>
    <row r="286" spans="1:2" x14ac:dyDescent="0.25">
      <c r="A286" s="6" t="s">
        <v>122</v>
      </c>
      <c r="B286" s="6">
        <v>0.10731742700000001</v>
      </c>
    </row>
    <row r="287" spans="1:2" x14ac:dyDescent="0.25">
      <c r="A287" s="6" t="s">
        <v>230</v>
      </c>
      <c r="B287" s="6">
        <v>0.41429169300000002</v>
      </c>
    </row>
    <row r="288" spans="1:2" x14ac:dyDescent="0.25">
      <c r="A288" s="6" t="s">
        <v>448</v>
      </c>
      <c r="B288" s="6">
        <v>0.184161723</v>
      </c>
    </row>
    <row r="289" spans="1:2" x14ac:dyDescent="0.25">
      <c r="A289" s="6" t="s">
        <v>305</v>
      </c>
      <c r="B289" s="6">
        <v>0.23425791200000001</v>
      </c>
    </row>
    <row r="290" spans="1:2" x14ac:dyDescent="0.25">
      <c r="A290" s="6" t="s">
        <v>583</v>
      </c>
      <c r="B290" s="6">
        <v>1.2016700849999999</v>
      </c>
    </row>
    <row r="291" spans="1:2" x14ac:dyDescent="0.25">
      <c r="A291" s="6" t="s">
        <v>505</v>
      </c>
      <c r="B291" s="6">
        <v>0.180587471</v>
      </c>
    </row>
    <row r="292" spans="1:2" x14ac:dyDescent="0.25">
      <c r="A292" s="6" t="s">
        <v>95</v>
      </c>
      <c r="B292" s="6">
        <v>0.16729233399999999</v>
      </c>
    </row>
    <row r="293" spans="1:2" x14ac:dyDescent="0.25">
      <c r="A293" s="6" t="s">
        <v>563</v>
      </c>
      <c r="B293" s="6">
        <v>0.63450464399999995</v>
      </c>
    </row>
    <row r="294" spans="1:2" x14ac:dyDescent="0.25">
      <c r="A294" s="6" t="s">
        <v>146</v>
      </c>
      <c r="B294" s="6">
        <v>0.28716442199999997</v>
      </c>
    </row>
    <row r="295" spans="1:2" x14ac:dyDescent="0.25">
      <c r="A295" s="6" t="s">
        <v>402</v>
      </c>
      <c r="B295" s="6">
        <v>0.121270445</v>
      </c>
    </row>
    <row r="296" spans="1:2" x14ac:dyDescent="0.25">
      <c r="A296" s="6" t="s">
        <v>990</v>
      </c>
      <c r="B296" s="6">
        <v>0.59196626100000005</v>
      </c>
    </row>
    <row r="297" spans="1:2" x14ac:dyDescent="0.25">
      <c r="A297" s="6" t="s">
        <v>105</v>
      </c>
      <c r="B297" s="6">
        <v>0.12531215700000001</v>
      </c>
    </row>
    <row r="298" spans="1:2" x14ac:dyDescent="0.25">
      <c r="A298" s="6" t="s">
        <v>709</v>
      </c>
      <c r="B298" s="6">
        <v>0.54508782899999997</v>
      </c>
    </row>
    <row r="299" spans="1:2" x14ac:dyDescent="0.25">
      <c r="A299" s="6" t="s">
        <v>47</v>
      </c>
      <c r="B299" s="6">
        <v>6.8685496999999998E-2</v>
      </c>
    </row>
    <row r="300" spans="1:2" x14ac:dyDescent="0.25">
      <c r="A300" s="6" t="s">
        <v>242</v>
      </c>
      <c r="B300" s="6">
        <v>2.9114675999999999E-2</v>
      </c>
    </row>
    <row r="301" spans="1:2" x14ac:dyDescent="0.25">
      <c r="A301" s="6" t="s">
        <v>425</v>
      </c>
      <c r="B301" s="6">
        <v>7.0902732999999996E-2</v>
      </c>
    </row>
    <row r="302" spans="1:2" x14ac:dyDescent="0.25">
      <c r="A302" s="6" t="s">
        <v>176</v>
      </c>
      <c r="B302" s="6">
        <v>0.149635507</v>
      </c>
    </row>
    <row r="303" spans="1:2" x14ac:dyDescent="0.25">
      <c r="A303" s="6" t="s">
        <v>922</v>
      </c>
      <c r="B303" s="6">
        <v>0.25291492900000001</v>
      </c>
    </row>
    <row r="304" spans="1:2" x14ac:dyDescent="0.25">
      <c r="A304" s="6" t="s">
        <v>923</v>
      </c>
      <c r="B304" s="6">
        <v>0.69940169299999999</v>
      </c>
    </row>
    <row r="305" spans="1:2" x14ac:dyDescent="0.25">
      <c r="A305" s="6" t="s">
        <v>924</v>
      </c>
      <c r="B305" s="6">
        <v>0.18183569899999999</v>
      </c>
    </row>
    <row r="306" spans="1:2" x14ac:dyDescent="0.25">
      <c r="A306" s="6" t="s">
        <v>712</v>
      </c>
      <c r="B306" s="6">
        <v>0.237513365</v>
      </c>
    </row>
    <row r="307" spans="1:2" x14ac:dyDescent="0.25">
      <c r="A307" s="6" t="s">
        <v>366</v>
      </c>
      <c r="B307" s="6">
        <v>0.255152347</v>
      </c>
    </row>
    <row r="308" spans="1:2" x14ac:dyDescent="0.25">
      <c r="A308" s="6" t="s">
        <v>467</v>
      </c>
      <c r="B308" s="6">
        <v>0.125863749</v>
      </c>
    </row>
    <row r="309" spans="1:2" x14ac:dyDescent="0.25">
      <c r="A309" s="6" t="s">
        <v>300</v>
      </c>
      <c r="B309" s="6">
        <v>0.130879091</v>
      </c>
    </row>
    <row r="310" spans="1:2" x14ac:dyDescent="0.25">
      <c r="A310" s="6" t="s">
        <v>165</v>
      </c>
      <c r="B310" s="6">
        <v>0.41318162200000003</v>
      </c>
    </row>
    <row r="311" spans="1:2" x14ac:dyDescent="0.25">
      <c r="A311" s="6" t="s">
        <v>327</v>
      </c>
      <c r="B311" s="6">
        <v>0.13799995500000001</v>
      </c>
    </row>
    <row r="312" spans="1:2" x14ac:dyDescent="0.25">
      <c r="A312" s="6" t="s">
        <v>464</v>
      </c>
      <c r="B312" s="6">
        <v>0.15326968299999999</v>
      </c>
    </row>
    <row r="313" spans="1:2" x14ac:dyDescent="0.25">
      <c r="A313" s="6" t="s">
        <v>310</v>
      </c>
      <c r="B313" s="6">
        <v>0.18882389499999999</v>
      </c>
    </row>
    <row r="314" spans="1:2" x14ac:dyDescent="0.25">
      <c r="A314" s="6" t="s">
        <v>498</v>
      </c>
      <c r="B314" s="6">
        <v>0.200181893</v>
      </c>
    </row>
    <row r="315" spans="1:2" x14ac:dyDescent="0.25">
      <c r="A315" s="6" t="s">
        <v>673</v>
      </c>
      <c r="B315" s="6">
        <v>0.80070708999999995</v>
      </c>
    </row>
    <row r="316" spans="1:2" x14ac:dyDescent="0.25">
      <c r="A316" s="6" t="s">
        <v>644</v>
      </c>
      <c r="B316" s="6">
        <v>9.8561624E-2</v>
      </c>
    </row>
    <row r="317" spans="1:2" x14ac:dyDescent="0.25">
      <c r="A317" s="6" t="s">
        <v>597</v>
      </c>
      <c r="B317" s="6">
        <v>0.73683708699999995</v>
      </c>
    </row>
    <row r="318" spans="1:2" x14ac:dyDescent="0.25">
      <c r="A318" s="6" t="s">
        <v>685</v>
      </c>
      <c r="B318" s="6">
        <v>0.101908621</v>
      </c>
    </row>
    <row r="319" spans="1:2" x14ac:dyDescent="0.25">
      <c r="A319" s="6" t="s">
        <v>729</v>
      </c>
      <c r="B319" s="6">
        <v>0.85787612499999999</v>
      </c>
    </row>
    <row r="320" spans="1:2" x14ac:dyDescent="0.25">
      <c r="A320" s="6" t="s">
        <v>23</v>
      </c>
      <c r="B320" s="6">
        <v>0.135147935</v>
      </c>
    </row>
    <row r="321" spans="1:2" x14ac:dyDescent="0.25">
      <c r="A321" s="6" t="s">
        <v>490</v>
      </c>
      <c r="B321" s="6">
        <v>0.20713427500000001</v>
      </c>
    </row>
    <row r="322" spans="1:2" x14ac:dyDescent="0.25">
      <c r="A322" s="6" t="s">
        <v>650</v>
      </c>
      <c r="B322" s="6">
        <v>0.84786451299999999</v>
      </c>
    </row>
    <row r="323" spans="1:2" x14ac:dyDescent="0.25">
      <c r="A323" s="6" t="s">
        <v>509</v>
      </c>
      <c r="B323" s="6">
        <v>0.17617766500000001</v>
      </c>
    </row>
    <row r="324" spans="1:2" x14ac:dyDescent="0.25">
      <c r="A324" s="6" t="s">
        <v>161</v>
      </c>
      <c r="B324" s="6">
        <v>0.126496581</v>
      </c>
    </row>
    <row r="325" spans="1:2" x14ac:dyDescent="0.25">
      <c r="A325" s="6" t="s">
        <v>552</v>
      </c>
      <c r="B325" s="6">
        <v>0.15039680899999999</v>
      </c>
    </row>
    <row r="326" spans="1:2" x14ac:dyDescent="0.25">
      <c r="A326" s="6" t="s">
        <v>528</v>
      </c>
      <c r="B326" s="6">
        <v>0.144801596</v>
      </c>
    </row>
    <row r="327" spans="1:2" x14ac:dyDescent="0.25">
      <c r="A327" s="6" t="s">
        <v>394</v>
      </c>
      <c r="B327" s="6">
        <v>0.25855128100000002</v>
      </c>
    </row>
    <row r="328" spans="1:2" x14ac:dyDescent="0.25">
      <c r="A328" s="6" t="s">
        <v>24</v>
      </c>
      <c r="B328" s="6">
        <v>0.159455494</v>
      </c>
    </row>
    <row r="329" spans="1:2" x14ac:dyDescent="0.25">
      <c r="A329" s="6" t="s">
        <v>439</v>
      </c>
      <c r="B329" s="6">
        <v>0.12977260199999999</v>
      </c>
    </row>
    <row r="330" spans="1:2" x14ac:dyDescent="0.25">
      <c r="A330" s="6" t="s">
        <v>541</v>
      </c>
      <c r="B330" s="6">
        <v>0.28976116000000002</v>
      </c>
    </row>
    <row r="331" spans="1:2" x14ac:dyDescent="0.25">
      <c r="A331" s="6" t="s">
        <v>204</v>
      </c>
      <c r="B331" s="6">
        <v>0.34532459900000001</v>
      </c>
    </row>
    <row r="332" spans="1:2" x14ac:dyDescent="0.25">
      <c r="A332" s="6" t="s">
        <v>236</v>
      </c>
      <c r="B332" s="6">
        <v>0.21285984099999999</v>
      </c>
    </row>
    <row r="333" spans="1:2" x14ac:dyDescent="0.25">
      <c r="A333" s="6" t="s">
        <v>133</v>
      </c>
      <c r="B333" s="6">
        <v>0.240977992</v>
      </c>
    </row>
    <row r="334" spans="1:2" x14ac:dyDescent="0.25">
      <c r="A334" s="6" t="s">
        <v>928</v>
      </c>
      <c r="B334" s="6">
        <v>0.94531213199999997</v>
      </c>
    </row>
    <row r="335" spans="1:2" x14ac:dyDescent="0.25">
      <c r="A335" s="6" t="s">
        <v>66</v>
      </c>
      <c r="B335" s="6">
        <v>0.18923823400000001</v>
      </c>
    </row>
    <row r="336" spans="1:2" x14ac:dyDescent="0.25">
      <c r="A336" s="6" t="s">
        <v>3</v>
      </c>
      <c r="B336" s="6">
        <v>0.115694802</v>
      </c>
    </row>
    <row r="337" spans="1:2" x14ac:dyDescent="0.25">
      <c r="A337" s="6" t="s">
        <v>564</v>
      </c>
      <c r="B337" s="6">
        <v>0.30928558099999998</v>
      </c>
    </row>
    <row r="338" spans="1:2" x14ac:dyDescent="0.25">
      <c r="A338" s="6" t="s">
        <v>430</v>
      </c>
      <c r="B338" s="6">
        <v>0.126625982</v>
      </c>
    </row>
    <row r="339" spans="1:2" x14ac:dyDescent="0.25">
      <c r="A339" s="6" t="s">
        <v>159</v>
      </c>
      <c r="B339" s="6">
        <v>9.5636969000000002E-2</v>
      </c>
    </row>
    <row r="340" spans="1:2" x14ac:dyDescent="0.25">
      <c r="A340" s="6" t="s">
        <v>405</v>
      </c>
      <c r="B340" s="6">
        <v>0.34647311200000003</v>
      </c>
    </row>
    <row r="341" spans="1:2" x14ac:dyDescent="0.25">
      <c r="A341" s="6" t="s">
        <v>929</v>
      </c>
      <c r="B341" s="6">
        <v>0.13582085199999999</v>
      </c>
    </row>
    <row r="342" spans="1:2" x14ac:dyDescent="0.25">
      <c r="A342" s="6" t="s">
        <v>277</v>
      </c>
      <c r="B342" s="6">
        <v>0.26130497400000002</v>
      </c>
    </row>
    <row r="343" spans="1:2" x14ac:dyDescent="0.25">
      <c r="A343" s="6" t="s">
        <v>278</v>
      </c>
      <c r="B343" s="6">
        <v>0.23671429499999999</v>
      </c>
    </row>
    <row r="344" spans="1:2" x14ac:dyDescent="0.25">
      <c r="A344" s="6" t="s">
        <v>930</v>
      </c>
      <c r="B344" s="6">
        <v>0.51783319400000005</v>
      </c>
    </row>
    <row r="345" spans="1:2" x14ac:dyDescent="0.25">
      <c r="A345" s="6" t="s">
        <v>421</v>
      </c>
      <c r="B345" s="6">
        <v>0.22774256100000001</v>
      </c>
    </row>
    <row r="346" spans="1:2" x14ac:dyDescent="0.25">
      <c r="A346" s="6" t="s">
        <v>331</v>
      </c>
      <c r="B346" s="6">
        <v>0.14993773899999999</v>
      </c>
    </row>
    <row r="347" spans="1:2" x14ac:dyDescent="0.25">
      <c r="A347" s="6" t="s">
        <v>619</v>
      </c>
      <c r="B347" s="6">
        <v>0.28431662099999999</v>
      </c>
    </row>
    <row r="348" spans="1:2" x14ac:dyDescent="0.25">
      <c r="A348" s="6" t="s">
        <v>142</v>
      </c>
      <c r="B348" s="6">
        <v>0.38951117600000001</v>
      </c>
    </row>
    <row r="349" spans="1:2" x14ac:dyDescent="0.25">
      <c r="A349" s="6" t="s">
        <v>93</v>
      </c>
      <c r="B349" s="6">
        <v>0.12852070500000001</v>
      </c>
    </row>
    <row r="350" spans="1:2" x14ac:dyDescent="0.25">
      <c r="A350" s="6" t="s">
        <v>435</v>
      </c>
      <c r="B350" s="6">
        <v>0.152486438</v>
      </c>
    </row>
    <row r="351" spans="1:2" x14ac:dyDescent="0.25">
      <c r="A351" s="6" t="s">
        <v>156</v>
      </c>
      <c r="B351" s="6">
        <v>0.45894130500000002</v>
      </c>
    </row>
    <row r="352" spans="1:2" x14ac:dyDescent="0.25">
      <c r="A352" s="6" t="s">
        <v>551</v>
      </c>
      <c r="B352" s="6">
        <v>8.5970750999999998E-2</v>
      </c>
    </row>
    <row r="353" spans="1:2" x14ac:dyDescent="0.25">
      <c r="A353" s="6" t="s">
        <v>170</v>
      </c>
      <c r="B353" s="6">
        <v>0.117501391</v>
      </c>
    </row>
    <row r="354" spans="1:2" x14ac:dyDescent="0.25">
      <c r="A354" s="6" t="s">
        <v>691</v>
      </c>
      <c r="B354" s="6">
        <v>0.25409964400000001</v>
      </c>
    </row>
    <row r="355" spans="1:2" x14ac:dyDescent="0.25">
      <c r="A355" s="6" t="s">
        <v>675</v>
      </c>
      <c r="B355" s="6">
        <v>0.24368315099999999</v>
      </c>
    </row>
    <row r="356" spans="1:2" x14ac:dyDescent="0.25">
      <c r="A356" s="6" t="s">
        <v>625</v>
      </c>
      <c r="B356" s="6">
        <v>0.124161412</v>
      </c>
    </row>
    <row r="357" spans="1:2" x14ac:dyDescent="0.25">
      <c r="A357" s="6" t="s">
        <v>134</v>
      </c>
      <c r="B357" s="6">
        <v>0.48150256699999999</v>
      </c>
    </row>
    <row r="358" spans="1:2" x14ac:dyDescent="0.25">
      <c r="A358" s="6" t="s">
        <v>282</v>
      </c>
      <c r="B358" s="6">
        <v>0.16820587300000001</v>
      </c>
    </row>
    <row r="359" spans="1:2" x14ac:dyDescent="0.25">
      <c r="A359" s="6" t="s">
        <v>642</v>
      </c>
      <c r="B359" s="6">
        <v>0.106943881</v>
      </c>
    </row>
    <row r="360" spans="1:2" x14ac:dyDescent="0.25">
      <c r="A360" s="6" t="s">
        <v>469</v>
      </c>
      <c r="B360" s="6">
        <v>0.37799775899999999</v>
      </c>
    </row>
    <row r="361" spans="1:2" x14ac:dyDescent="0.25">
      <c r="A361" s="6" t="s">
        <v>399</v>
      </c>
      <c r="B361" s="6">
        <v>0.288455028</v>
      </c>
    </row>
    <row r="362" spans="1:2" x14ac:dyDescent="0.25">
      <c r="A362" s="6" t="s">
        <v>116</v>
      </c>
      <c r="B362" s="6">
        <v>0.21457896200000001</v>
      </c>
    </row>
    <row r="363" spans="1:2" x14ac:dyDescent="0.25">
      <c r="A363" s="6" t="s">
        <v>427</v>
      </c>
      <c r="B363" s="6">
        <v>0.16592954900000001</v>
      </c>
    </row>
    <row r="364" spans="1:2" x14ac:dyDescent="0.25">
      <c r="A364" s="6" t="s">
        <v>933</v>
      </c>
      <c r="B364" s="6">
        <v>0.29961273100000002</v>
      </c>
    </row>
    <row r="365" spans="1:2" x14ac:dyDescent="0.25">
      <c r="A365" s="6" t="s">
        <v>280</v>
      </c>
      <c r="B365" s="6">
        <v>0.44872036300000001</v>
      </c>
    </row>
    <row r="366" spans="1:2" x14ac:dyDescent="0.25">
      <c r="A366" s="6" t="s">
        <v>140</v>
      </c>
      <c r="B366" s="6">
        <v>0.14070531999999999</v>
      </c>
    </row>
    <row r="367" spans="1:2" x14ac:dyDescent="0.25">
      <c r="A367" s="6" t="s">
        <v>648</v>
      </c>
      <c r="B367" s="6">
        <v>0.29848448900000002</v>
      </c>
    </row>
    <row r="368" spans="1:2" x14ac:dyDescent="0.25">
      <c r="A368" s="6" t="s">
        <v>521</v>
      </c>
      <c r="B368" s="6">
        <v>0.121656417</v>
      </c>
    </row>
    <row r="369" spans="1:2" x14ac:dyDescent="0.25">
      <c r="A369" s="6" t="s">
        <v>114</v>
      </c>
      <c r="B369" s="6">
        <v>0.50978594799999999</v>
      </c>
    </row>
    <row r="370" spans="1:2" x14ac:dyDescent="0.25">
      <c r="A370" s="6" t="s">
        <v>213</v>
      </c>
      <c r="B370" s="6">
        <v>0.16385506699999999</v>
      </c>
    </row>
    <row r="371" spans="1:2" x14ac:dyDescent="0.25">
      <c r="A371" s="6" t="s">
        <v>652</v>
      </c>
      <c r="B371" s="6">
        <v>0.47142321300000001</v>
      </c>
    </row>
    <row r="372" spans="1:2" x14ac:dyDescent="0.25">
      <c r="A372" s="6" t="s">
        <v>136</v>
      </c>
      <c r="B372" s="6">
        <v>0.35917057400000002</v>
      </c>
    </row>
    <row r="373" spans="1:2" x14ac:dyDescent="0.25">
      <c r="A373" s="6" t="s">
        <v>665</v>
      </c>
      <c r="B373" s="6">
        <v>9.3083029999999997E-2</v>
      </c>
    </row>
    <row r="374" spans="1:2" x14ac:dyDescent="0.25">
      <c r="A374" s="6" t="s">
        <v>328</v>
      </c>
      <c r="B374" s="6">
        <v>0.14470183</v>
      </c>
    </row>
    <row r="375" spans="1:2" x14ac:dyDescent="0.25">
      <c r="A375" s="6" t="s">
        <v>293</v>
      </c>
      <c r="B375" s="6">
        <v>0.170766063</v>
      </c>
    </row>
    <row r="376" spans="1:2" x14ac:dyDescent="0.25">
      <c r="A376" s="6" t="s">
        <v>193</v>
      </c>
      <c r="B376" s="6">
        <v>0.33480759399999999</v>
      </c>
    </row>
    <row r="377" spans="1:2" x14ac:dyDescent="0.25">
      <c r="A377" s="6" t="s">
        <v>510</v>
      </c>
      <c r="B377" s="6">
        <v>0.30660377999999999</v>
      </c>
    </row>
    <row r="378" spans="1:2" x14ac:dyDescent="0.25">
      <c r="A378" s="6" t="s">
        <v>192</v>
      </c>
      <c r="B378" s="6">
        <v>0.14014164100000001</v>
      </c>
    </row>
    <row r="379" spans="1:2" x14ac:dyDescent="0.25">
      <c r="A379" s="6" t="s">
        <v>162</v>
      </c>
      <c r="B379" s="6">
        <v>0.35572134799999999</v>
      </c>
    </row>
    <row r="380" spans="1:2" x14ac:dyDescent="0.25">
      <c r="A380" s="6" t="s">
        <v>135</v>
      </c>
      <c r="B380" s="6">
        <v>0.59129093499999996</v>
      </c>
    </row>
    <row r="381" spans="1:2" x14ac:dyDescent="0.25">
      <c r="A381" s="6" t="s">
        <v>499</v>
      </c>
      <c r="B381" s="6">
        <v>0.26459926700000003</v>
      </c>
    </row>
    <row r="382" spans="1:2" x14ac:dyDescent="0.25">
      <c r="A382" s="6" t="s">
        <v>178</v>
      </c>
      <c r="B382" s="6">
        <v>0.215544657</v>
      </c>
    </row>
    <row r="383" spans="1:2" x14ac:dyDescent="0.25">
      <c r="A383" s="6" t="s">
        <v>934</v>
      </c>
      <c r="B383" s="6">
        <v>1.1450608799999999</v>
      </c>
    </row>
    <row r="384" spans="1:2" x14ac:dyDescent="0.25">
      <c r="A384" s="6" t="s">
        <v>285</v>
      </c>
      <c r="B384" s="6">
        <v>0.21311179199999999</v>
      </c>
    </row>
    <row r="385" spans="1:2" x14ac:dyDescent="0.25">
      <c r="A385" s="6" t="s">
        <v>415</v>
      </c>
      <c r="B385" s="6">
        <v>0.35202778200000001</v>
      </c>
    </row>
    <row r="386" spans="1:2" x14ac:dyDescent="0.25">
      <c r="A386" s="6" t="s">
        <v>14</v>
      </c>
      <c r="B386" s="6">
        <v>0.38537491600000001</v>
      </c>
    </row>
    <row r="387" spans="1:2" x14ac:dyDescent="0.25">
      <c r="A387" s="6" t="s">
        <v>516</v>
      </c>
      <c r="B387" s="6">
        <v>0.12353534400000001</v>
      </c>
    </row>
    <row r="388" spans="1:2" x14ac:dyDescent="0.25">
      <c r="A388" s="6" t="s">
        <v>661</v>
      </c>
      <c r="B388" s="6">
        <v>0.15974870299999999</v>
      </c>
    </row>
    <row r="389" spans="1:2" x14ac:dyDescent="0.25">
      <c r="A389" s="6" t="s">
        <v>189</v>
      </c>
      <c r="B389" s="6">
        <v>0.41420247799999999</v>
      </c>
    </row>
    <row r="390" spans="1:2" x14ac:dyDescent="0.25">
      <c r="A390" s="6" t="s">
        <v>75</v>
      </c>
      <c r="B390" s="6">
        <v>0.48764306000000002</v>
      </c>
    </row>
    <row r="391" spans="1:2" x14ac:dyDescent="0.25">
      <c r="A391" s="6" t="s">
        <v>58</v>
      </c>
      <c r="B391" s="6">
        <v>0.109141245</v>
      </c>
    </row>
    <row r="392" spans="1:2" x14ac:dyDescent="0.25">
      <c r="A392" s="6" t="s">
        <v>322</v>
      </c>
      <c r="B392" s="6">
        <v>0.21867521700000001</v>
      </c>
    </row>
    <row r="393" spans="1:2" x14ac:dyDescent="0.25">
      <c r="A393" s="6" t="s">
        <v>682</v>
      </c>
      <c r="B393" s="6">
        <v>0.22173763899999999</v>
      </c>
    </row>
    <row r="394" spans="1:2" x14ac:dyDescent="0.25">
      <c r="A394" s="6" t="s">
        <v>747</v>
      </c>
      <c r="B394" s="6">
        <v>0.108450409</v>
      </c>
    </row>
    <row r="395" spans="1:2" x14ac:dyDescent="0.25">
      <c r="A395" s="6" t="s">
        <v>73</v>
      </c>
      <c r="B395" s="6">
        <v>0.35693697800000002</v>
      </c>
    </row>
    <row r="396" spans="1:2" x14ac:dyDescent="0.25">
      <c r="A396" s="6" t="s">
        <v>191</v>
      </c>
      <c r="B396" s="6">
        <v>0.60128067200000002</v>
      </c>
    </row>
    <row r="397" spans="1:2" x14ac:dyDescent="0.25">
      <c r="A397" s="6" t="s">
        <v>562</v>
      </c>
      <c r="B397" s="6">
        <v>0.18410257899999999</v>
      </c>
    </row>
    <row r="398" spans="1:2" x14ac:dyDescent="0.25">
      <c r="A398" s="6" t="s">
        <v>526</v>
      </c>
      <c r="B398" s="6">
        <v>0.33755698299999998</v>
      </c>
    </row>
    <row r="399" spans="1:2" x14ac:dyDescent="0.25">
      <c r="A399" s="6" t="s">
        <v>503</v>
      </c>
      <c r="B399" s="6">
        <v>0.60596732099999995</v>
      </c>
    </row>
    <row r="400" spans="1:2" x14ac:dyDescent="0.25">
      <c r="A400" s="6" t="s">
        <v>699</v>
      </c>
      <c r="B400" s="6">
        <v>0.234035984</v>
      </c>
    </row>
    <row r="401" spans="1:2" x14ac:dyDescent="0.25">
      <c r="A401" s="6" t="s">
        <v>288</v>
      </c>
      <c r="B401" s="6">
        <v>0.20099412799999999</v>
      </c>
    </row>
    <row r="402" spans="1:2" x14ac:dyDescent="0.25">
      <c r="A402" s="6" t="s">
        <v>454</v>
      </c>
      <c r="B402" s="6">
        <v>0.536027578</v>
      </c>
    </row>
    <row r="403" spans="1:2" x14ac:dyDescent="0.25">
      <c r="A403" s="6" t="s">
        <v>935</v>
      </c>
      <c r="B403" s="6">
        <v>0.23993625099999999</v>
      </c>
    </row>
    <row r="404" spans="1:2" x14ac:dyDescent="0.25">
      <c r="A404" s="6" t="s">
        <v>743</v>
      </c>
      <c r="B404" s="6">
        <v>0.17427740899999999</v>
      </c>
    </row>
    <row r="405" spans="1:2" x14ac:dyDescent="0.25">
      <c r="A405" s="6" t="s">
        <v>506</v>
      </c>
      <c r="B405" s="6">
        <v>0.87795911599999998</v>
      </c>
    </row>
    <row r="406" spans="1:2" x14ac:dyDescent="0.25">
      <c r="A406" s="6" t="s">
        <v>357</v>
      </c>
      <c r="B406" s="6">
        <v>0.55236463400000002</v>
      </c>
    </row>
    <row r="407" spans="1:2" x14ac:dyDescent="0.25">
      <c r="A407" s="6" t="s">
        <v>69</v>
      </c>
      <c r="B407" s="6">
        <v>8.9154292999999996E-2</v>
      </c>
    </row>
    <row r="408" spans="1:2" x14ac:dyDescent="0.25">
      <c r="A408" s="6" t="s">
        <v>269</v>
      </c>
      <c r="B408" s="6">
        <v>0.56201861799999997</v>
      </c>
    </row>
    <row r="409" spans="1:2" x14ac:dyDescent="0.25">
      <c r="A409" s="6" t="s">
        <v>739</v>
      </c>
      <c r="B409" s="6">
        <v>0.13934595999999999</v>
      </c>
    </row>
    <row r="410" spans="1:2" x14ac:dyDescent="0.25">
      <c r="A410" s="6" t="s">
        <v>431</v>
      </c>
      <c r="B410" s="6">
        <v>8.2055817000000003E-2</v>
      </c>
    </row>
    <row r="411" spans="1:2" x14ac:dyDescent="0.25">
      <c r="A411" s="6" t="s">
        <v>36</v>
      </c>
      <c r="B411" s="6">
        <v>5.6958677999999999E-2</v>
      </c>
    </row>
    <row r="412" spans="1:2" x14ac:dyDescent="0.25">
      <c r="A412" s="6" t="s">
        <v>586</v>
      </c>
      <c r="B412" s="6">
        <v>4.4222855999999998E-2</v>
      </c>
    </row>
    <row r="413" spans="1:2" x14ac:dyDescent="0.25">
      <c r="A413" s="6" t="s">
        <v>397</v>
      </c>
      <c r="B413" s="6">
        <v>0.40616032200000002</v>
      </c>
    </row>
    <row r="414" spans="1:2" x14ac:dyDescent="0.25">
      <c r="A414" s="6" t="s">
        <v>443</v>
      </c>
      <c r="B414" s="6">
        <v>0.32626983500000001</v>
      </c>
    </row>
    <row r="415" spans="1:2" x14ac:dyDescent="0.25">
      <c r="A415" s="6" t="s">
        <v>261</v>
      </c>
      <c r="B415" s="6">
        <v>0.351417969</v>
      </c>
    </row>
    <row r="416" spans="1:2" x14ac:dyDescent="0.25">
      <c r="A416" s="6" t="s">
        <v>718</v>
      </c>
      <c r="B416" s="6">
        <v>0.198726136</v>
      </c>
    </row>
    <row r="417" spans="1:2" x14ac:dyDescent="0.25">
      <c r="A417" s="6" t="s">
        <v>50</v>
      </c>
      <c r="B417" s="6">
        <v>0.34353984300000001</v>
      </c>
    </row>
    <row r="418" spans="1:2" x14ac:dyDescent="0.25">
      <c r="A418" s="6" t="s">
        <v>120</v>
      </c>
      <c r="B418" s="6">
        <v>7.2890495999999999E-2</v>
      </c>
    </row>
    <row r="419" spans="1:2" x14ac:dyDescent="0.25">
      <c r="A419" s="6" t="s">
        <v>662</v>
      </c>
      <c r="B419" s="6">
        <v>0.106756066</v>
      </c>
    </row>
    <row r="420" spans="1:2" x14ac:dyDescent="0.25">
      <c r="A420" s="6" t="s">
        <v>333</v>
      </c>
      <c r="B420" s="6">
        <v>0.21376899599999999</v>
      </c>
    </row>
    <row r="421" spans="1:2" x14ac:dyDescent="0.25">
      <c r="A421" s="6" t="s">
        <v>67</v>
      </c>
      <c r="B421" s="6">
        <v>0.11682908</v>
      </c>
    </row>
    <row r="422" spans="1:2" x14ac:dyDescent="0.25">
      <c r="A422" s="6" t="s">
        <v>225</v>
      </c>
      <c r="B422" s="6">
        <v>0.155423965</v>
      </c>
    </row>
    <row r="423" spans="1:2" x14ac:dyDescent="0.25">
      <c r="A423" s="6" t="s">
        <v>591</v>
      </c>
      <c r="B423" s="6">
        <v>0.19909886299999999</v>
      </c>
    </row>
    <row r="424" spans="1:2" x14ac:dyDescent="0.25">
      <c r="A424" s="6" t="s">
        <v>987</v>
      </c>
      <c r="B424" s="6">
        <v>0.20862887199999999</v>
      </c>
    </row>
    <row r="425" spans="1:2" x14ac:dyDescent="0.25">
      <c r="A425" s="6" t="s">
        <v>126</v>
      </c>
      <c r="B425" s="6">
        <v>0.293151569</v>
      </c>
    </row>
    <row r="426" spans="1:2" x14ac:dyDescent="0.25">
      <c r="A426" s="6" t="s">
        <v>702</v>
      </c>
      <c r="B426" s="6">
        <v>0.32918196900000002</v>
      </c>
    </row>
    <row r="427" spans="1:2" x14ac:dyDescent="0.25">
      <c r="A427" s="6" t="s">
        <v>440</v>
      </c>
      <c r="B427" s="6">
        <v>0.38677191999999999</v>
      </c>
    </row>
    <row r="428" spans="1:2" x14ac:dyDescent="0.25">
      <c r="A428" s="6" t="s">
        <v>107</v>
      </c>
      <c r="B428" s="6">
        <v>0.50897923700000003</v>
      </c>
    </row>
    <row r="429" spans="1:2" x14ac:dyDescent="0.25">
      <c r="A429" s="6" t="s">
        <v>42</v>
      </c>
      <c r="B429" s="6">
        <v>0.56342504699999996</v>
      </c>
    </row>
    <row r="430" spans="1:2" x14ac:dyDescent="0.25">
      <c r="A430" s="6" t="s">
        <v>724</v>
      </c>
      <c r="B430" s="6">
        <v>0.29838616499999998</v>
      </c>
    </row>
    <row r="431" spans="1:2" x14ac:dyDescent="0.25">
      <c r="A431" s="6" t="s">
        <v>989</v>
      </c>
      <c r="B431" s="6">
        <v>0.15735854599999999</v>
      </c>
    </row>
    <row r="432" spans="1:2" x14ac:dyDescent="0.25">
      <c r="A432" s="6" t="s">
        <v>741</v>
      </c>
      <c r="B432" s="6">
        <v>0.105403416</v>
      </c>
    </row>
    <row r="433" spans="1:2" x14ac:dyDescent="0.25">
      <c r="A433" s="6" t="s">
        <v>738</v>
      </c>
      <c r="B433" s="6">
        <v>0.10928067900000001</v>
      </c>
    </row>
    <row r="434" spans="1:2" x14ac:dyDescent="0.25">
      <c r="A434" s="6" t="s">
        <v>543</v>
      </c>
      <c r="B434" s="6">
        <v>0.47092952799999999</v>
      </c>
    </row>
    <row r="435" spans="1:2" x14ac:dyDescent="0.25">
      <c r="A435" s="6" t="s">
        <v>737</v>
      </c>
      <c r="B435" s="6">
        <v>0.373819707</v>
      </c>
    </row>
    <row r="436" spans="1:2" x14ac:dyDescent="0.25">
      <c r="A436" s="6" t="s">
        <v>383</v>
      </c>
      <c r="B436" s="6">
        <v>0.36394147500000001</v>
      </c>
    </row>
    <row r="437" spans="1:2" x14ac:dyDescent="0.25">
      <c r="A437" s="6" t="s">
        <v>97</v>
      </c>
      <c r="B437" s="6">
        <v>0.24172621399999999</v>
      </c>
    </row>
    <row r="438" spans="1:2" x14ac:dyDescent="0.25">
      <c r="A438" s="6" t="s">
        <v>196</v>
      </c>
      <c r="B438" s="6">
        <v>0.13131879699999999</v>
      </c>
    </row>
    <row r="439" spans="1:2" x14ac:dyDescent="0.25">
      <c r="A439" s="6" t="s">
        <v>129</v>
      </c>
      <c r="B439" s="6">
        <v>0.289255345</v>
      </c>
    </row>
    <row r="440" spans="1:2" x14ac:dyDescent="0.25">
      <c r="A440" s="6" t="s">
        <v>228</v>
      </c>
      <c r="B440" s="6">
        <v>9.1345657999999996E-2</v>
      </c>
    </row>
    <row r="441" spans="1:2" x14ac:dyDescent="0.25">
      <c r="A441" s="6" t="s">
        <v>658</v>
      </c>
      <c r="B441" s="6">
        <v>1.1234383830000001</v>
      </c>
    </row>
    <row r="442" spans="1:2" x14ac:dyDescent="0.25">
      <c r="A442" s="6" t="s">
        <v>617</v>
      </c>
      <c r="B442" s="6">
        <v>0.165902683</v>
      </c>
    </row>
    <row r="443" spans="1:2" x14ac:dyDescent="0.25">
      <c r="A443" s="6" t="s">
        <v>39</v>
      </c>
      <c r="B443" s="6">
        <v>0.13446560699999999</v>
      </c>
    </row>
    <row r="444" spans="1:2" x14ac:dyDescent="0.25">
      <c r="A444" s="6" t="s">
        <v>188</v>
      </c>
      <c r="B444" s="6">
        <v>0.82702505299999995</v>
      </c>
    </row>
    <row r="445" spans="1:2" x14ac:dyDescent="0.25">
      <c r="A445" s="6" t="s">
        <v>689</v>
      </c>
      <c r="B445" s="6">
        <v>0.22323432800000001</v>
      </c>
    </row>
    <row r="446" spans="1:2" x14ac:dyDescent="0.25">
      <c r="A446" s="6" t="s">
        <v>559</v>
      </c>
      <c r="B446" s="6">
        <v>0.15651426399999999</v>
      </c>
    </row>
    <row r="447" spans="1:2" x14ac:dyDescent="0.25">
      <c r="A447" s="6" t="s">
        <v>370</v>
      </c>
      <c r="B447" s="6">
        <v>0.30134710999999997</v>
      </c>
    </row>
    <row r="448" spans="1:2" x14ac:dyDescent="0.25">
      <c r="A448" s="6" t="s">
        <v>548</v>
      </c>
      <c r="B448" s="6">
        <v>9.8395484000000005E-2</v>
      </c>
    </row>
    <row r="449" spans="1:2" x14ac:dyDescent="0.25">
      <c r="A449" s="6" t="s">
        <v>131</v>
      </c>
      <c r="B449" s="6">
        <v>0.44247195499999997</v>
      </c>
    </row>
    <row r="450" spans="1:2" x14ac:dyDescent="0.25">
      <c r="A450" s="6" t="s">
        <v>312</v>
      </c>
      <c r="B450" s="6">
        <v>0.72826650000000004</v>
      </c>
    </row>
    <row r="451" spans="1:2" x14ac:dyDescent="0.25">
      <c r="A451" s="6" t="s">
        <v>221</v>
      </c>
      <c r="B451" s="6">
        <v>0.10651516699999999</v>
      </c>
    </row>
    <row r="452" spans="1:2" x14ac:dyDescent="0.25">
      <c r="A452" s="6" t="s">
        <v>733</v>
      </c>
      <c r="B452" s="6">
        <v>0.26041998599999999</v>
      </c>
    </row>
    <row r="453" spans="1:2" x14ac:dyDescent="0.25">
      <c r="A453" s="6" t="s">
        <v>582</v>
      </c>
      <c r="B453" s="6">
        <v>0.73136843100000004</v>
      </c>
    </row>
    <row r="454" spans="1:2" x14ac:dyDescent="0.25">
      <c r="A454" s="6" t="s">
        <v>939</v>
      </c>
      <c r="B454" s="6">
        <v>0.12001869499999999</v>
      </c>
    </row>
    <row r="455" spans="1:2" x14ac:dyDescent="0.25">
      <c r="A455" s="6" t="s">
        <v>15</v>
      </c>
      <c r="B455" s="6">
        <v>0.94035320300000003</v>
      </c>
    </row>
    <row r="456" spans="1:2" x14ac:dyDescent="0.25">
      <c r="A456" s="6" t="s">
        <v>400</v>
      </c>
      <c r="B456" s="6">
        <v>0.27034008399999998</v>
      </c>
    </row>
    <row r="457" spans="1:2" x14ac:dyDescent="0.25">
      <c r="A457" s="6" t="s">
        <v>352</v>
      </c>
      <c r="B457" s="6">
        <v>0.13448262999999999</v>
      </c>
    </row>
    <row r="458" spans="1:2" x14ac:dyDescent="0.25">
      <c r="A458" s="6" t="s">
        <v>315</v>
      </c>
      <c r="B458" s="6">
        <v>0.62400376400000002</v>
      </c>
    </row>
    <row r="459" spans="1:2" x14ac:dyDescent="0.25">
      <c r="A459" s="6" t="s">
        <v>600</v>
      </c>
      <c r="B459" s="6">
        <v>0.24686950599999999</v>
      </c>
    </row>
    <row r="460" spans="1:2" x14ac:dyDescent="0.25">
      <c r="A460" s="6" t="s">
        <v>262</v>
      </c>
      <c r="B460" s="6">
        <v>0.74201134700000004</v>
      </c>
    </row>
    <row r="461" spans="1:2" x14ac:dyDescent="0.25">
      <c r="A461" s="6" t="s">
        <v>128</v>
      </c>
      <c r="B461" s="6">
        <v>0.35237559800000001</v>
      </c>
    </row>
    <row r="462" spans="1:2" x14ac:dyDescent="0.25">
      <c r="A462" s="6" t="s">
        <v>674</v>
      </c>
      <c r="B462" s="6">
        <v>0.260315729</v>
      </c>
    </row>
    <row r="463" spans="1:2" x14ac:dyDescent="0.25">
      <c r="A463" s="6" t="s">
        <v>329</v>
      </c>
      <c r="B463" s="6">
        <v>0.63385387100000001</v>
      </c>
    </row>
    <row r="464" spans="1:2" x14ac:dyDescent="0.25">
      <c r="A464" s="6" t="s">
        <v>163</v>
      </c>
      <c r="B464" s="6">
        <v>0.16079046999999999</v>
      </c>
    </row>
    <row r="465" spans="1:2" x14ac:dyDescent="0.25">
      <c r="A465" s="6" t="s">
        <v>587</v>
      </c>
      <c r="B465" s="6">
        <v>0.28198014300000002</v>
      </c>
    </row>
    <row r="466" spans="1:2" x14ac:dyDescent="0.25">
      <c r="A466" s="6" t="s">
        <v>83</v>
      </c>
      <c r="B466" s="6">
        <v>0.31602393299999998</v>
      </c>
    </row>
    <row r="467" spans="1:2" x14ac:dyDescent="0.25">
      <c r="A467" s="6" t="s">
        <v>81</v>
      </c>
      <c r="B467" s="6">
        <v>0.36149474500000001</v>
      </c>
    </row>
    <row r="468" spans="1:2" x14ac:dyDescent="0.25">
      <c r="A468" s="6" t="s">
        <v>540</v>
      </c>
      <c r="B468" s="6">
        <v>0.158067816</v>
      </c>
    </row>
    <row r="469" spans="1:2" x14ac:dyDescent="0.25">
      <c r="A469" s="6" t="s">
        <v>354</v>
      </c>
      <c r="B469" s="6">
        <v>0.21589261800000001</v>
      </c>
    </row>
    <row r="470" spans="1:2" x14ac:dyDescent="0.25">
      <c r="A470" s="6" t="s">
        <v>2</v>
      </c>
      <c r="B470" s="6">
        <v>0.128872505</v>
      </c>
    </row>
    <row r="471" spans="1:2" x14ac:dyDescent="0.25">
      <c r="A471" s="6" t="s">
        <v>940</v>
      </c>
      <c r="B471" s="6">
        <v>0.49216175000000001</v>
      </c>
    </row>
    <row r="472" spans="1:2" x14ac:dyDescent="0.25">
      <c r="A472" s="6" t="s">
        <v>172</v>
      </c>
      <c r="B472" s="6">
        <v>0.31277057000000003</v>
      </c>
    </row>
    <row r="473" spans="1:2" x14ac:dyDescent="0.25">
      <c r="A473" s="6" t="s">
        <v>361</v>
      </c>
      <c r="B473" s="6">
        <v>5.5191349000000001E-2</v>
      </c>
    </row>
    <row r="474" spans="1:2" x14ac:dyDescent="0.25">
      <c r="A474" s="6" t="s">
        <v>263</v>
      </c>
      <c r="B474" s="6">
        <v>0.163098668</v>
      </c>
    </row>
    <row r="475" spans="1:2" x14ac:dyDescent="0.25">
      <c r="A475" s="6" t="s">
        <v>250</v>
      </c>
      <c r="B475" s="6">
        <v>0.32033589600000001</v>
      </c>
    </row>
    <row r="476" spans="1:2" x14ac:dyDescent="0.25">
      <c r="A476" s="6" t="s">
        <v>634</v>
      </c>
      <c r="B476" s="6">
        <v>0.47847430200000002</v>
      </c>
    </row>
    <row r="477" spans="1:2" x14ac:dyDescent="0.25">
      <c r="A477" s="6" t="s">
        <v>532</v>
      </c>
      <c r="B477" s="6">
        <v>0.135365019</v>
      </c>
    </row>
    <row r="478" spans="1:2" x14ac:dyDescent="0.25">
      <c r="A478" s="6" t="s">
        <v>525</v>
      </c>
      <c r="B478" s="6">
        <v>0.32209565400000001</v>
      </c>
    </row>
    <row r="479" spans="1:2" x14ac:dyDescent="0.25">
      <c r="A479" s="6" t="s">
        <v>190</v>
      </c>
      <c r="B479" s="6">
        <v>0.124803339</v>
      </c>
    </row>
    <row r="480" spans="1:2" x14ac:dyDescent="0.25">
      <c r="A480" s="6" t="s">
        <v>197</v>
      </c>
      <c r="B480" s="6">
        <v>0.12590800899999999</v>
      </c>
    </row>
    <row r="481" spans="1:2" x14ac:dyDescent="0.25">
      <c r="A481" s="6" t="s">
        <v>593</v>
      </c>
      <c r="B481" s="6">
        <v>0.226927668</v>
      </c>
    </row>
    <row r="482" spans="1:2" x14ac:dyDescent="0.25">
      <c r="A482" s="6" t="s">
        <v>667</v>
      </c>
      <c r="B482" s="6">
        <v>0.268881278</v>
      </c>
    </row>
    <row r="483" spans="1:2" x14ac:dyDescent="0.25">
      <c r="A483" s="6" t="s">
        <v>253</v>
      </c>
      <c r="B483" s="6">
        <v>0.147489706</v>
      </c>
    </row>
    <row r="484" spans="1:2" x14ac:dyDescent="0.25">
      <c r="A484" s="6" t="s">
        <v>235</v>
      </c>
      <c r="B484" s="6">
        <v>0.84836151400000004</v>
      </c>
    </row>
    <row r="485" spans="1:2" x14ac:dyDescent="0.25">
      <c r="A485" s="6" t="s">
        <v>641</v>
      </c>
      <c r="B485" s="6">
        <v>0.35651107199999998</v>
      </c>
    </row>
    <row r="486" spans="1:2" x14ac:dyDescent="0.25">
      <c r="A486" s="6" t="s">
        <v>522</v>
      </c>
      <c r="B486" s="6">
        <v>0.28575020499999998</v>
      </c>
    </row>
    <row r="487" spans="1:2" x14ac:dyDescent="0.25">
      <c r="A487" s="6" t="s">
        <v>25</v>
      </c>
      <c r="B487" s="6">
        <v>0.235743862</v>
      </c>
    </row>
    <row r="488" spans="1:2" x14ac:dyDescent="0.25">
      <c r="A488" s="6" t="s">
        <v>271</v>
      </c>
      <c r="B488" s="6">
        <v>0.28889527300000001</v>
      </c>
    </row>
    <row r="489" spans="1:2" x14ac:dyDescent="0.25">
      <c r="A489" s="6" t="s">
        <v>446</v>
      </c>
      <c r="B489" s="6">
        <v>0.21512146700000001</v>
      </c>
    </row>
    <row r="490" spans="1:2" x14ac:dyDescent="0.25">
      <c r="A490" s="6" t="s">
        <v>169</v>
      </c>
      <c r="B490" s="6">
        <v>0.48100741400000002</v>
      </c>
    </row>
    <row r="491" spans="1:2" x14ac:dyDescent="0.25">
      <c r="A491" s="6" t="s">
        <v>943</v>
      </c>
      <c r="B491" s="6">
        <v>0.12366548600000001</v>
      </c>
    </row>
    <row r="492" spans="1:2" x14ac:dyDescent="0.25">
      <c r="A492" s="6" t="s">
        <v>27</v>
      </c>
      <c r="B492" s="6">
        <v>0.35862284999999999</v>
      </c>
    </row>
    <row r="493" spans="1:2" x14ac:dyDescent="0.25">
      <c r="A493" s="6" t="s">
        <v>479</v>
      </c>
      <c r="B493" s="6">
        <v>9.1377232000000003E-2</v>
      </c>
    </row>
    <row r="494" spans="1:2" x14ac:dyDescent="0.25">
      <c r="A494" s="6" t="s">
        <v>359</v>
      </c>
      <c r="B494" s="6">
        <v>0.20535403099999999</v>
      </c>
    </row>
    <row r="495" spans="1:2" x14ac:dyDescent="0.25">
      <c r="A495" s="6" t="s">
        <v>35</v>
      </c>
      <c r="B495" s="6">
        <v>6.9155659999999994E-2</v>
      </c>
    </row>
    <row r="496" spans="1:2" x14ac:dyDescent="0.25">
      <c r="A496" s="6" t="s">
        <v>113</v>
      </c>
      <c r="B496" s="6">
        <v>0.29882120899999998</v>
      </c>
    </row>
    <row r="497" spans="1:2" x14ac:dyDescent="0.25">
      <c r="A497" s="6" t="s">
        <v>289</v>
      </c>
      <c r="B497" s="6">
        <v>0.57205846800000004</v>
      </c>
    </row>
    <row r="498" spans="1:2" x14ac:dyDescent="0.25">
      <c r="A498" s="6" t="s">
        <v>227</v>
      </c>
      <c r="B498" s="6">
        <v>0.105428727</v>
      </c>
    </row>
    <row r="499" spans="1:2" x14ac:dyDescent="0.25">
      <c r="A499" s="6" t="s">
        <v>41</v>
      </c>
      <c r="B499" s="6">
        <v>0.423123519</v>
      </c>
    </row>
    <row r="500" spans="1:2" x14ac:dyDescent="0.25">
      <c r="A500" s="6" t="s">
        <v>195</v>
      </c>
      <c r="B500" s="6">
        <v>0.73002999599999996</v>
      </c>
    </row>
    <row r="501" spans="1:2" x14ac:dyDescent="0.25">
      <c r="A501" s="6" t="s">
        <v>621</v>
      </c>
      <c r="B501" s="6">
        <v>0.20756137199999999</v>
      </c>
    </row>
    <row r="502" spans="1:2" x14ac:dyDescent="0.25">
      <c r="A502" s="6" t="s">
        <v>554</v>
      </c>
      <c r="B502" s="6">
        <v>0.385048322</v>
      </c>
    </row>
    <row r="503" spans="1:2" x14ac:dyDescent="0.25">
      <c r="A503" s="6" t="s">
        <v>103</v>
      </c>
      <c r="B503" s="6">
        <v>0.117712148</v>
      </c>
    </row>
    <row r="504" spans="1:2" x14ac:dyDescent="0.25">
      <c r="A504" s="6" t="s">
        <v>577</v>
      </c>
      <c r="B504" s="6">
        <v>0.34257231799999999</v>
      </c>
    </row>
    <row r="505" spans="1:2" x14ac:dyDescent="0.25">
      <c r="A505" s="6" t="s">
        <v>945</v>
      </c>
      <c r="B505" s="6">
        <v>0.18274610399999999</v>
      </c>
    </row>
    <row r="506" spans="1:2" x14ac:dyDescent="0.25">
      <c r="A506" s="6" t="s">
        <v>74</v>
      </c>
      <c r="B506" s="6">
        <v>0.154862531</v>
      </c>
    </row>
    <row r="507" spans="1:2" x14ac:dyDescent="0.25">
      <c r="A507" s="6" t="s">
        <v>254</v>
      </c>
      <c r="B507" s="6">
        <v>0.17737455799999999</v>
      </c>
    </row>
    <row r="508" spans="1:2" x14ac:dyDescent="0.25">
      <c r="A508" s="6" t="s">
        <v>177</v>
      </c>
      <c r="B508" s="6">
        <v>8.5997008E-2</v>
      </c>
    </row>
    <row r="509" spans="1:2" x14ac:dyDescent="0.25">
      <c r="A509" s="6" t="s">
        <v>272</v>
      </c>
      <c r="B509" s="6">
        <v>0.11845249400000001</v>
      </c>
    </row>
    <row r="510" spans="1:2" x14ac:dyDescent="0.25">
      <c r="A510" s="6" t="s">
        <v>947</v>
      </c>
      <c r="B510" s="6">
        <v>0.42929561100000002</v>
      </c>
    </row>
    <row r="511" spans="1:2" x14ac:dyDescent="0.25">
      <c r="A511" s="6" t="s">
        <v>736</v>
      </c>
      <c r="B511" s="6">
        <v>6.8681565999999999E-2</v>
      </c>
    </row>
    <row r="512" spans="1:2" x14ac:dyDescent="0.25">
      <c r="A512" s="6" t="s">
        <v>414</v>
      </c>
      <c r="B512" s="6">
        <v>0.28158490400000002</v>
      </c>
    </row>
    <row r="513" spans="1:2" x14ac:dyDescent="0.25">
      <c r="A513" s="6" t="s">
        <v>458</v>
      </c>
      <c r="B513" s="6">
        <v>0.197934259</v>
      </c>
    </row>
    <row r="514" spans="1:2" x14ac:dyDescent="0.25">
      <c r="A514" s="6" t="s">
        <v>371</v>
      </c>
      <c r="B514" s="6">
        <v>0.154347387</v>
      </c>
    </row>
    <row r="515" spans="1:2" x14ac:dyDescent="0.25">
      <c r="A515" s="6" t="s">
        <v>231</v>
      </c>
      <c r="B515" s="6">
        <v>0.34009077599999998</v>
      </c>
    </row>
    <row r="516" spans="1:2" x14ac:dyDescent="0.25">
      <c r="A516" s="6" t="s">
        <v>274</v>
      </c>
      <c r="B516" s="6">
        <v>0.30590214399999999</v>
      </c>
    </row>
    <row r="517" spans="1:2" x14ac:dyDescent="0.25">
      <c r="A517" s="6" t="s">
        <v>229</v>
      </c>
      <c r="B517" s="6">
        <v>0.60155701500000003</v>
      </c>
    </row>
    <row r="518" spans="1:2" x14ac:dyDescent="0.25">
      <c r="A518" s="6" t="s">
        <v>306</v>
      </c>
      <c r="B518" s="6">
        <v>0.24013118999999999</v>
      </c>
    </row>
    <row r="519" spans="1:2" x14ac:dyDescent="0.25">
      <c r="A519" s="6" t="s">
        <v>710</v>
      </c>
      <c r="B519" s="6">
        <v>0.209998878</v>
      </c>
    </row>
    <row r="520" spans="1:2" x14ac:dyDescent="0.25">
      <c r="A520" s="6" t="s">
        <v>684</v>
      </c>
      <c r="B520" s="6">
        <v>0.499013655</v>
      </c>
    </row>
    <row r="521" spans="1:2" x14ac:dyDescent="0.25">
      <c r="A521" s="6" t="s">
        <v>420</v>
      </c>
      <c r="B521" s="6">
        <v>0.154378025</v>
      </c>
    </row>
    <row r="522" spans="1:2" x14ac:dyDescent="0.25">
      <c r="A522" s="6" t="s">
        <v>949</v>
      </c>
      <c r="B522" s="6">
        <v>0.330440858</v>
      </c>
    </row>
    <row r="523" spans="1:2" x14ac:dyDescent="0.25">
      <c r="A523" s="6" t="s">
        <v>489</v>
      </c>
      <c r="B523" s="6">
        <v>0.17331524100000001</v>
      </c>
    </row>
    <row r="524" spans="1:2" x14ac:dyDescent="0.25">
      <c r="A524" s="6" t="s">
        <v>550</v>
      </c>
      <c r="B524" s="6">
        <v>0.34130306300000002</v>
      </c>
    </row>
    <row r="525" spans="1:2" x14ac:dyDescent="0.25">
      <c r="A525" s="6" t="s">
        <v>678</v>
      </c>
      <c r="B525" s="6">
        <v>0.21761487099999999</v>
      </c>
    </row>
    <row r="526" spans="1:2" x14ac:dyDescent="0.25">
      <c r="A526" s="6" t="s">
        <v>579</v>
      </c>
      <c r="B526" s="6">
        <v>0.150855251</v>
      </c>
    </row>
    <row r="527" spans="1:2" x14ac:dyDescent="0.25">
      <c r="A527" s="6" t="s">
        <v>87</v>
      </c>
      <c r="B527" s="6">
        <v>0.20004554399999999</v>
      </c>
    </row>
    <row r="528" spans="1:2" x14ac:dyDescent="0.25">
      <c r="A528" s="6" t="s">
        <v>112</v>
      </c>
      <c r="B528" s="6">
        <v>0.29197077199999999</v>
      </c>
    </row>
    <row r="529" spans="1:2" x14ac:dyDescent="0.25">
      <c r="A529" s="6" t="s">
        <v>433</v>
      </c>
      <c r="B529" s="6">
        <v>0.79440621099999997</v>
      </c>
    </row>
    <row r="530" spans="1:2" x14ac:dyDescent="0.25">
      <c r="A530" s="6" t="s">
        <v>950</v>
      </c>
      <c r="B530" s="6">
        <v>0.48054496600000002</v>
      </c>
    </row>
    <row r="531" spans="1:2" x14ac:dyDescent="0.25">
      <c r="A531" s="6" t="s">
        <v>529</v>
      </c>
      <c r="B531" s="6">
        <v>0.23184638799999999</v>
      </c>
    </row>
    <row r="532" spans="1:2" x14ac:dyDescent="0.25">
      <c r="A532" s="6" t="s">
        <v>538</v>
      </c>
      <c r="B532" s="6">
        <v>0.53848704400000003</v>
      </c>
    </row>
    <row r="533" spans="1:2" x14ac:dyDescent="0.25">
      <c r="A533" s="6" t="s">
        <v>659</v>
      </c>
      <c r="B533" s="6">
        <v>0.36153313799999998</v>
      </c>
    </row>
    <row r="534" spans="1:2" x14ac:dyDescent="0.25">
      <c r="A534" s="6" t="s">
        <v>951</v>
      </c>
      <c r="B534" s="6">
        <v>0.14829035600000001</v>
      </c>
    </row>
    <row r="535" spans="1:2" x14ac:dyDescent="0.25">
      <c r="A535" s="6" t="s">
        <v>622</v>
      </c>
      <c r="B535" s="6">
        <v>0.33776433099999997</v>
      </c>
    </row>
    <row r="536" spans="1:2" x14ac:dyDescent="0.25">
      <c r="A536" s="6" t="s">
        <v>185</v>
      </c>
      <c r="B536" s="6">
        <v>0.56341179299999999</v>
      </c>
    </row>
    <row r="537" spans="1:2" x14ac:dyDescent="0.25">
      <c r="A537" s="6" t="s">
        <v>640</v>
      </c>
      <c r="B537" s="6">
        <v>0.181003779</v>
      </c>
    </row>
    <row r="538" spans="1:2" x14ac:dyDescent="0.25">
      <c r="A538" s="6" t="s">
        <v>653</v>
      </c>
      <c r="B538" s="6">
        <v>0.15498092299999999</v>
      </c>
    </row>
    <row r="539" spans="1:2" x14ac:dyDescent="0.25">
      <c r="A539" s="6" t="s">
        <v>606</v>
      </c>
      <c r="B539" s="6">
        <v>0.28582380299999999</v>
      </c>
    </row>
    <row r="540" spans="1:2" x14ac:dyDescent="0.25">
      <c r="A540" s="6" t="s">
        <v>411</v>
      </c>
      <c r="B540" s="6">
        <v>0.175564266</v>
      </c>
    </row>
    <row r="541" spans="1:2" x14ac:dyDescent="0.25">
      <c r="A541" s="6" t="s">
        <v>449</v>
      </c>
      <c r="B541" s="6">
        <v>0.27797774400000003</v>
      </c>
    </row>
    <row r="542" spans="1:2" x14ac:dyDescent="0.25">
      <c r="A542" s="6" t="s">
        <v>141</v>
      </c>
      <c r="B542" s="6">
        <v>0.38210045500000001</v>
      </c>
    </row>
    <row r="543" spans="1:2" x14ac:dyDescent="0.25">
      <c r="A543" s="6" t="s">
        <v>314</v>
      </c>
      <c r="B543" s="6">
        <v>0.46335562600000002</v>
      </c>
    </row>
    <row r="544" spans="1:2" x14ac:dyDescent="0.25">
      <c r="A544" s="6" t="s">
        <v>209</v>
      </c>
      <c r="B544" s="6">
        <v>0.48982500000000001</v>
      </c>
    </row>
    <row r="545" spans="1:2" x14ac:dyDescent="0.25">
      <c r="A545" s="6" t="s">
        <v>85</v>
      </c>
      <c r="B545" s="6">
        <v>9.5251671999999996E-2</v>
      </c>
    </row>
    <row r="546" spans="1:2" x14ac:dyDescent="0.25">
      <c r="A546" s="6" t="s">
        <v>157</v>
      </c>
      <c r="B546" s="6">
        <v>0.2036288</v>
      </c>
    </row>
    <row r="547" spans="1:2" x14ac:dyDescent="0.25">
      <c r="A547" s="6" t="s">
        <v>952</v>
      </c>
      <c r="B547" s="6">
        <v>0.71938257999999999</v>
      </c>
    </row>
    <row r="548" spans="1:2" x14ac:dyDescent="0.25">
      <c r="A548" s="6" t="s">
        <v>88</v>
      </c>
      <c r="B548" s="6">
        <v>0.57996345000000005</v>
      </c>
    </row>
    <row r="549" spans="1:2" x14ac:dyDescent="0.25">
      <c r="A549" s="6" t="s">
        <v>302</v>
      </c>
      <c r="B549" s="6">
        <v>8.6071221000000003E-2</v>
      </c>
    </row>
    <row r="550" spans="1:2" x14ac:dyDescent="0.25">
      <c r="A550" s="6" t="s">
        <v>511</v>
      </c>
      <c r="B550" s="6">
        <v>0.480953929</v>
      </c>
    </row>
    <row r="551" spans="1:2" x14ac:dyDescent="0.25">
      <c r="A551" s="6" t="s">
        <v>224</v>
      </c>
      <c r="B551" s="6">
        <v>0.119448783</v>
      </c>
    </row>
    <row r="552" spans="1:2" x14ac:dyDescent="0.25">
      <c r="A552" s="6" t="s">
        <v>346</v>
      </c>
      <c r="B552" s="6">
        <v>0.23440549999999999</v>
      </c>
    </row>
    <row r="553" spans="1:2" x14ac:dyDescent="0.25">
      <c r="A553" s="6" t="s">
        <v>547</v>
      </c>
      <c r="B553" s="6">
        <v>0.35633603400000002</v>
      </c>
    </row>
    <row r="554" spans="1:2" x14ac:dyDescent="0.25">
      <c r="A554" s="6" t="s">
        <v>56</v>
      </c>
      <c r="B554" s="6">
        <v>0.123646966</v>
      </c>
    </row>
    <row r="555" spans="1:2" x14ac:dyDescent="0.25">
      <c r="A555" s="6" t="s">
        <v>953</v>
      </c>
      <c r="B555" s="6">
        <v>0.175517587</v>
      </c>
    </row>
    <row r="556" spans="1:2" x14ac:dyDescent="0.25">
      <c r="A556" s="6" t="s">
        <v>148</v>
      </c>
      <c r="B556" s="6">
        <v>0.52167223900000004</v>
      </c>
    </row>
    <row r="557" spans="1:2" x14ac:dyDescent="0.25">
      <c r="A557" s="6" t="s">
        <v>954</v>
      </c>
      <c r="B557" s="6">
        <v>0.46627235099999997</v>
      </c>
    </row>
    <row r="558" spans="1:2" x14ac:dyDescent="0.25">
      <c r="A558" s="6" t="s">
        <v>96</v>
      </c>
      <c r="B558" s="6">
        <v>0.45126477799999998</v>
      </c>
    </row>
    <row r="559" spans="1:2" x14ac:dyDescent="0.25">
      <c r="A559" s="6" t="s">
        <v>470</v>
      </c>
      <c r="B559" s="6">
        <v>0.130945912</v>
      </c>
    </row>
    <row r="560" spans="1:2" x14ac:dyDescent="0.25">
      <c r="A560" s="6" t="s">
        <v>695</v>
      </c>
      <c r="B560" s="6">
        <v>0.29544788500000002</v>
      </c>
    </row>
    <row r="561" spans="1:2" x14ac:dyDescent="0.25">
      <c r="A561" s="6" t="s">
        <v>18</v>
      </c>
      <c r="B561" s="6">
        <v>0.20846484200000001</v>
      </c>
    </row>
    <row r="562" spans="1:2" x14ac:dyDescent="0.25">
      <c r="A562" s="6" t="s">
        <v>623</v>
      </c>
      <c r="B562" s="6">
        <v>0.21672739999999999</v>
      </c>
    </row>
    <row r="563" spans="1:2" x14ac:dyDescent="0.25">
      <c r="A563" s="6" t="s">
        <v>205</v>
      </c>
      <c r="B563" s="6">
        <v>0.23040644900000001</v>
      </c>
    </row>
    <row r="564" spans="1:2" x14ac:dyDescent="0.25">
      <c r="A564" s="6" t="s">
        <v>99</v>
      </c>
      <c r="B564" s="6">
        <v>0.15031802799999999</v>
      </c>
    </row>
    <row r="565" spans="1:2" x14ac:dyDescent="0.25">
      <c r="A565" s="6" t="s">
        <v>21</v>
      </c>
      <c r="B565" s="6">
        <v>0.19860549999999999</v>
      </c>
    </row>
    <row r="566" spans="1:2" x14ac:dyDescent="0.25">
      <c r="A566" s="6" t="s">
        <v>216</v>
      </c>
      <c r="B566" s="6">
        <v>0.13843854799999999</v>
      </c>
    </row>
    <row r="567" spans="1:2" x14ac:dyDescent="0.25">
      <c r="A567" s="6" t="s">
        <v>637</v>
      </c>
      <c r="B567" s="6">
        <v>7.7223441000000004E-2</v>
      </c>
    </row>
    <row r="568" spans="1:2" x14ac:dyDescent="0.25">
      <c r="A568" s="6" t="s">
        <v>138</v>
      </c>
      <c r="B568" s="6">
        <v>0.159448325</v>
      </c>
    </row>
    <row r="569" spans="1:2" x14ac:dyDescent="0.25">
      <c r="A569" s="6" t="s">
        <v>311</v>
      </c>
      <c r="B569" s="6">
        <v>0.50322733200000003</v>
      </c>
    </row>
    <row r="570" spans="1:2" x14ac:dyDescent="0.25">
      <c r="A570" s="6" t="s">
        <v>60</v>
      </c>
      <c r="B570" s="6">
        <v>0.46910631899999999</v>
      </c>
    </row>
    <row r="571" spans="1:2" x14ac:dyDescent="0.25">
      <c r="A571" s="6" t="s">
        <v>717</v>
      </c>
      <c r="B571" s="6">
        <v>0.25425571299999999</v>
      </c>
    </row>
    <row r="572" spans="1:2" x14ac:dyDescent="0.25">
      <c r="A572" s="6" t="s">
        <v>416</v>
      </c>
      <c r="B572" s="6">
        <v>0.19495510799999999</v>
      </c>
    </row>
    <row r="573" spans="1:2" x14ac:dyDescent="0.25">
      <c r="A573" s="6" t="s">
        <v>955</v>
      </c>
      <c r="B573" s="6">
        <v>0.244173048</v>
      </c>
    </row>
    <row r="574" spans="1:2" x14ac:dyDescent="0.25">
      <c r="A574" s="6" t="s">
        <v>572</v>
      </c>
      <c r="B574" s="6">
        <v>0.13316235400000001</v>
      </c>
    </row>
    <row r="575" spans="1:2" x14ac:dyDescent="0.25">
      <c r="A575" s="6" t="s">
        <v>715</v>
      </c>
      <c r="B575" s="6">
        <v>0.189019348</v>
      </c>
    </row>
    <row r="576" spans="1:2" x14ac:dyDescent="0.25">
      <c r="A576" s="6" t="s">
        <v>436</v>
      </c>
      <c r="B576" s="6">
        <v>0.289980232</v>
      </c>
    </row>
    <row r="577" spans="1:2" x14ac:dyDescent="0.25">
      <c r="A577" s="6" t="s">
        <v>268</v>
      </c>
      <c r="B577" s="6">
        <v>7.1030156999999997E-2</v>
      </c>
    </row>
    <row r="578" spans="1:2" x14ac:dyDescent="0.25">
      <c r="A578" s="6" t="s">
        <v>438</v>
      </c>
      <c r="B578" s="6">
        <v>0.102693175</v>
      </c>
    </row>
    <row r="579" spans="1:2" x14ac:dyDescent="0.25">
      <c r="A579" s="6" t="s">
        <v>735</v>
      </c>
      <c r="B579" s="6">
        <v>0.28273458000000001</v>
      </c>
    </row>
    <row r="580" spans="1:2" x14ac:dyDescent="0.25">
      <c r="A580" s="6" t="s">
        <v>655</v>
      </c>
      <c r="B580" s="6">
        <v>0.11426583999999999</v>
      </c>
    </row>
    <row r="581" spans="1:2" x14ac:dyDescent="0.25">
      <c r="A581" s="6" t="s">
        <v>957</v>
      </c>
      <c r="B581" s="6">
        <v>0.38390982099999998</v>
      </c>
    </row>
    <row r="582" spans="1:2" x14ac:dyDescent="0.25">
      <c r="A582" s="6" t="s">
        <v>471</v>
      </c>
      <c r="B582" s="6">
        <v>0.25841850700000002</v>
      </c>
    </row>
    <row r="583" spans="1:2" x14ac:dyDescent="0.25">
      <c r="A583" s="6" t="s">
        <v>688</v>
      </c>
      <c r="B583" s="6">
        <v>0.13254967500000001</v>
      </c>
    </row>
    <row r="584" spans="1:2" x14ac:dyDescent="0.25">
      <c r="A584" s="6" t="s">
        <v>958</v>
      </c>
      <c r="B584" s="6">
        <v>0.134946118</v>
      </c>
    </row>
    <row r="585" spans="1:2" x14ac:dyDescent="0.25">
      <c r="A585" s="6" t="s">
        <v>364</v>
      </c>
      <c r="B585" s="6">
        <v>0.28178454200000003</v>
      </c>
    </row>
    <row r="586" spans="1:2" x14ac:dyDescent="0.25">
      <c r="A586" s="6" t="s">
        <v>959</v>
      </c>
      <c r="B586" s="6">
        <v>1.003052847</v>
      </c>
    </row>
    <row r="587" spans="1:2" x14ac:dyDescent="0.25">
      <c r="A587" s="6" t="s">
        <v>55</v>
      </c>
      <c r="B587" s="6">
        <v>0.48475781000000001</v>
      </c>
    </row>
    <row r="588" spans="1:2" x14ac:dyDescent="0.25">
      <c r="A588" s="6" t="s">
        <v>19</v>
      </c>
      <c r="B588" s="6">
        <v>0.23669153900000001</v>
      </c>
    </row>
    <row r="589" spans="1:2" x14ac:dyDescent="0.25">
      <c r="A589" s="6" t="s">
        <v>183</v>
      </c>
      <c r="B589" s="6">
        <v>0.164019571</v>
      </c>
    </row>
    <row r="590" spans="1:2" x14ac:dyDescent="0.25">
      <c r="A590" s="6" t="s">
        <v>687</v>
      </c>
      <c r="B590" s="6">
        <v>0.37101589000000001</v>
      </c>
    </row>
    <row r="591" spans="1:2" x14ac:dyDescent="0.25">
      <c r="A591" s="6" t="s">
        <v>51</v>
      </c>
      <c r="B591" s="6">
        <v>0.236881904</v>
      </c>
    </row>
    <row r="592" spans="1:2" x14ac:dyDescent="0.25">
      <c r="A592" s="6" t="s">
        <v>960</v>
      </c>
      <c r="B592" s="6">
        <v>0.208179425</v>
      </c>
    </row>
    <row r="593" spans="1:2" x14ac:dyDescent="0.25">
      <c r="A593" s="6" t="s">
        <v>106</v>
      </c>
      <c r="B593" s="6">
        <v>0.34792355000000003</v>
      </c>
    </row>
    <row r="594" spans="1:2" x14ac:dyDescent="0.25">
      <c r="A594" s="6" t="s">
        <v>297</v>
      </c>
      <c r="B594" s="6">
        <v>8.7137983000000002E-2</v>
      </c>
    </row>
    <row r="595" spans="1:2" x14ac:dyDescent="0.25">
      <c r="A595" s="6" t="s">
        <v>961</v>
      </c>
      <c r="B595" s="6">
        <v>0.445095878</v>
      </c>
    </row>
    <row r="596" spans="1:2" x14ac:dyDescent="0.25">
      <c r="A596" s="6" t="s">
        <v>500</v>
      </c>
      <c r="B596" s="6">
        <v>0.30305921000000002</v>
      </c>
    </row>
    <row r="597" spans="1:2" x14ac:dyDescent="0.25">
      <c r="A597" s="6" t="s">
        <v>962</v>
      </c>
      <c r="B597" s="6">
        <v>0.10107351000000001</v>
      </c>
    </row>
    <row r="598" spans="1:2" x14ac:dyDescent="0.25">
      <c r="A598" s="6" t="s">
        <v>518</v>
      </c>
      <c r="B598" s="6">
        <v>0.14721789399999999</v>
      </c>
    </row>
    <row r="599" spans="1:2" x14ac:dyDescent="0.25">
      <c r="A599" s="6" t="s">
        <v>624</v>
      </c>
      <c r="B599" s="6">
        <v>0.13889267599999999</v>
      </c>
    </row>
    <row r="600" spans="1:2" x14ac:dyDescent="0.25">
      <c r="A600" s="6" t="s">
        <v>344</v>
      </c>
      <c r="B600" s="6">
        <v>0.50657310300000002</v>
      </c>
    </row>
    <row r="601" spans="1:2" x14ac:dyDescent="0.25">
      <c r="A601" s="6" t="s">
        <v>273</v>
      </c>
      <c r="B601" s="6">
        <v>0.29034823999999998</v>
      </c>
    </row>
    <row r="602" spans="1:2" x14ac:dyDescent="0.25">
      <c r="A602" s="6" t="s">
        <v>149</v>
      </c>
      <c r="B602" s="6">
        <v>0.42484387200000001</v>
      </c>
    </row>
    <row r="603" spans="1:2" x14ac:dyDescent="0.25">
      <c r="A603" s="6" t="s">
        <v>76</v>
      </c>
      <c r="B603" s="6">
        <v>0.14099289000000001</v>
      </c>
    </row>
    <row r="604" spans="1:2" x14ac:dyDescent="0.25">
      <c r="A604" s="6" t="s">
        <v>33</v>
      </c>
      <c r="B604" s="6">
        <v>0.33535482599999999</v>
      </c>
    </row>
    <row r="605" spans="1:2" x14ac:dyDescent="0.25">
      <c r="A605" s="6" t="s">
        <v>568</v>
      </c>
      <c r="B605" s="6">
        <v>0.83676736900000004</v>
      </c>
    </row>
    <row r="606" spans="1:2" x14ac:dyDescent="0.25">
      <c r="A606" s="6" t="s">
        <v>98</v>
      </c>
      <c r="B606" s="6">
        <v>0.12432329</v>
      </c>
    </row>
    <row r="607" spans="1:2" x14ac:dyDescent="0.25">
      <c r="A607" s="6" t="s">
        <v>574</v>
      </c>
      <c r="B607" s="6">
        <v>0.117566925</v>
      </c>
    </row>
    <row r="608" spans="1:2" x14ac:dyDescent="0.25">
      <c r="A608" s="6" t="s">
        <v>111</v>
      </c>
      <c r="B608" s="6">
        <v>0.33216593</v>
      </c>
    </row>
    <row r="609" spans="1:2" x14ac:dyDescent="0.25">
      <c r="A609" s="6" t="s">
        <v>247</v>
      </c>
      <c r="B609" s="6">
        <v>0.12559295500000001</v>
      </c>
    </row>
    <row r="610" spans="1:2" x14ac:dyDescent="0.25">
      <c r="A610" s="6" t="s">
        <v>37</v>
      </c>
      <c r="B610" s="6">
        <v>0.18385726899999999</v>
      </c>
    </row>
    <row r="611" spans="1:2" x14ac:dyDescent="0.25">
      <c r="A611" s="6" t="s">
        <v>115</v>
      </c>
      <c r="B611" s="6">
        <v>0.10153398199999999</v>
      </c>
    </row>
    <row r="612" spans="1:2" x14ac:dyDescent="0.25">
      <c r="A612" s="6" t="s">
        <v>549</v>
      </c>
      <c r="B612" s="6">
        <v>0.287166643</v>
      </c>
    </row>
    <row r="613" spans="1:2" x14ac:dyDescent="0.25">
      <c r="A613" s="6" t="s">
        <v>222</v>
      </c>
      <c r="B613" s="6">
        <v>0.16864388699999999</v>
      </c>
    </row>
    <row r="614" spans="1:2" x14ac:dyDescent="0.25">
      <c r="A614" s="6" t="s">
        <v>963</v>
      </c>
      <c r="B614" s="6">
        <v>0.198255819</v>
      </c>
    </row>
    <row r="615" spans="1:2" x14ac:dyDescent="0.25">
      <c r="A615" s="6" t="s">
        <v>20</v>
      </c>
      <c r="B615" s="6">
        <v>0.19156541199999999</v>
      </c>
    </row>
    <row r="616" spans="1:2" x14ac:dyDescent="0.25">
      <c r="A616" s="6" t="s">
        <v>0</v>
      </c>
      <c r="B616" s="6">
        <v>0.27118046000000001</v>
      </c>
    </row>
    <row r="617" spans="1:2" x14ac:dyDescent="0.25">
      <c r="A617" s="6" t="s">
        <v>345</v>
      </c>
      <c r="B617" s="6">
        <v>0.41149854000000002</v>
      </c>
    </row>
    <row r="618" spans="1:2" x14ac:dyDescent="0.25">
      <c r="A618" s="6" t="s">
        <v>275</v>
      </c>
      <c r="B618" s="6">
        <v>5.9987416000000002E-2</v>
      </c>
    </row>
    <row r="619" spans="1:2" x14ac:dyDescent="0.25">
      <c r="A619" s="6" t="s">
        <v>604</v>
      </c>
      <c r="B619" s="6">
        <v>0.19453489900000001</v>
      </c>
    </row>
    <row r="620" spans="1:2" x14ac:dyDescent="0.25">
      <c r="A620" s="6" t="s">
        <v>495</v>
      </c>
      <c r="B620" s="6">
        <v>0.36210783099999999</v>
      </c>
    </row>
    <row r="621" spans="1:2" x14ac:dyDescent="0.25">
      <c r="A621" s="6" t="s">
        <v>49</v>
      </c>
      <c r="B621" s="6">
        <v>0.38195979600000002</v>
      </c>
    </row>
    <row r="622" spans="1:2" x14ac:dyDescent="0.25">
      <c r="A622" s="6" t="s">
        <v>390</v>
      </c>
      <c r="B622" s="6">
        <v>0.36358582</v>
      </c>
    </row>
    <row r="623" spans="1:2" x14ac:dyDescent="0.25">
      <c r="A623" s="6" t="s">
        <v>350</v>
      </c>
      <c r="B623" s="6">
        <v>5.2013836000000001E-2</v>
      </c>
    </row>
    <row r="624" spans="1:2" x14ac:dyDescent="0.25">
      <c r="A624" s="6" t="s">
        <v>545</v>
      </c>
      <c r="B624" s="6">
        <v>0.104622478</v>
      </c>
    </row>
    <row r="625" spans="1:2" x14ac:dyDescent="0.25">
      <c r="A625" s="6" t="s">
        <v>28</v>
      </c>
      <c r="B625" s="6">
        <v>0.3923507</v>
      </c>
    </row>
    <row r="626" spans="1:2" x14ac:dyDescent="0.25">
      <c r="A626" s="6" t="s">
        <v>368</v>
      </c>
      <c r="B626" s="6">
        <v>0.34848226500000001</v>
      </c>
    </row>
    <row r="627" spans="1:2" x14ac:dyDescent="0.25">
      <c r="A627" s="6" t="s">
        <v>198</v>
      </c>
      <c r="B627" s="6">
        <v>0.12689424199999999</v>
      </c>
    </row>
    <row r="628" spans="1:2" x14ac:dyDescent="0.25">
      <c r="A628" s="6" t="s">
        <v>461</v>
      </c>
      <c r="B628" s="6">
        <v>0.41905754699999997</v>
      </c>
    </row>
    <row r="629" spans="1:2" x14ac:dyDescent="0.25">
      <c r="A629" s="6" t="s">
        <v>324</v>
      </c>
      <c r="B629" s="6">
        <v>0.216066969</v>
      </c>
    </row>
    <row r="630" spans="1:2" x14ac:dyDescent="0.25">
      <c r="A630" s="6" t="s">
        <v>373</v>
      </c>
      <c r="B630" s="6">
        <v>0.25140709999999999</v>
      </c>
    </row>
    <row r="631" spans="1:2" x14ac:dyDescent="0.25">
      <c r="A631" s="6" t="s">
        <v>578</v>
      </c>
      <c r="B631" s="6">
        <v>0.37826732899999999</v>
      </c>
    </row>
    <row r="632" spans="1:2" x14ac:dyDescent="0.25">
      <c r="A632" s="6" t="s">
        <v>153</v>
      </c>
      <c r="B632" s="6">
        <v>0.66111708300000005</v>
      </c>
    </row>
    <row r="633" spans="1:2" x14ac:dyDescent="0.25">
      <c r="A633" s="6" t="s">
        <v>491</v>
      </c>
      <c r="B633" s="6">
        <v>0.15547878400000001</v>
      </c>
    </row>
    <row r="634" spans="1:2" x14ac:dyDescent="0.25">
      <c r="A634" s="6" t="s">
        <v>132</v>
      </c>
      <c r="B634" s="6">
        <v>0.1084866</v>
      </c>
    </row>
    <row r="635" spans="1:2" x14ac:dyDescent="0.25">
      <c r="A635" s="6" t="s">
        <v>677</v>
      </c>
      <c r="B635" s="6">
        <v>0.176693084</v>
      </c>
    </row>
    <row r="636" spans="1:2" x14ac:dyDescent="0.25">
      <c r="A636" s="6" t="s">
        <v>166</v>
      </c>
      <c r="B636" s="6">
        <v>7.1310571000000003E-2</v>
      </c>
    </row>
    <row r="637" spans="1:2" x14ac:dyDescent="0.25">
      <c r="A637" s="6" t="s">
        <v>588</v>
      </c>
      <c r="B637" s="6">
        <v>0.22015311900000001</v>
      </c>
    </row>
    <row r="638" spans="1:2" x14ac:dyDescent="0.25">
      <c r="A638" s="6" t="s">
        <v>441</v>
      </c>
      <c r="B638" s="6">
        <v>0.37272708100000002</v>
      </c>
    </row>
    <row r="639" spans="1:2" x14ac:dyDescent="0.25">
      <c r="A639" s="6" t="s">
        <v>681</v>
      </c>
      <c r="B639" s="6">
        <v>0.19039819399999999</v>
      </c>
    </row>
    <row r="640" spans="1:2" x14ac:dyDescent="0.25">
      <c r="A640" s="6" t="s">
        <v>351</v>
      </c>
      <c r="B640" s="6">
        <v>9.1808182000000002E-2</v>
      </c>
    </row>
    <row r="641" spans="1:2" x14ac:dyDescent="0.25">
      <c r="A641" s="6" t="s">
        <v>202</v>
      </c>
      <c r="B641" s="6">
        <v>0.41156335999999999</v>
      </c>
    </row>
    <row r="642" spans="1:2" x14ac:dyDescent="0.25">
      <c r="A642" s="6" t="s">
        <v>475</v>
      </c>
      <c r="B642" s="6">
        <v>0.24045509500000001</v>
      </c>
    </row>
    <row r="643" spans="1:2" x14ac:dyDescent="0.25">
      <c r="A643" s="6" t="s">
        <v>335</v>
      </c>
      <c r="B643" s="6">
        <v>0.69294202000000005</v>
      </c>
    </row>
    <row r="644" spans="1:2" x14ac:dyDescent="0.25">
      <c r="A644" s="6" t="s">
        <v>703</v>
      </c>
      <c r="B644" s="6">
        <v>0.26837976800000002</v>
      </c>
    </row>
    <row r="645" spans="1:2" x14ac:dyDescent="0.25">
      <c r="A645" s="6" t="s">
        <v>492</v>
      </c>
      <c r="B645" s="6">
        <v>0.103865282</v>
      </c>
    </row>
    <row r="646" spans="1:2" x14ac:dyDescent="0.25">
      <c r="A646" s="6" t="s">
        <v>608</v>
      </c>
      <c r="B646" s="6">
        <v>0.20764397800000001</v>
      </c>
    </row>
    <row r="647" spans="1:2" x14ac:dyDescent="0.25">
      <c r="A647" s="6" t="s">
        <v>57</v>
      </c>
      <c r="B647" s="6">
        <v>0.42240686999999999</v>
      </c>
    </row>
    <row r="648" spans="1:2" x14ac:dyDescent="0.25">
      <c r="A648" s="6" t="s">
        <v>347</v>
      </c>
      <c r="B648" s="6">
        <v>0.168940803</v>
      </c>
    </row>
    <row r="649" spans="1:2" x14ac:dyDescent="0.25">
      <c r="A649" s="6" t="s">
        <v>598</v>
      </c>
      <c r="B649" s="6">
        <v>0.11923674500000001</v>
      </c>
    </row>
    <row r="650" spans="1:2" x14ac:dyDescent="0.25">
      <c r="A650" s="6" t="s">
        <v>403</v>
      </c>
      <c r="B650" s="6">
        <v>1.0321748399999999</v>
      </c>
    </row>
    <row r="651" spans="1:2" x14ac:dyDescent="0.25">
      <c r="A651" s="6" t="s">
        <v>646</v>
      </c>
      <c r="B651" s="6">
        <v>0.59675772000000005</v>
      </c>
    </row>
    <row r="652" spans="1:2" x14ac:dyDescent="0.25">
      <c r="A652" s="6" t="s">
        <v>971</v>
      </c>
      <c r="B652" s="6">
        <v>0.29500264599999998</v>
      </c>
    </row>
    <row r="653" spans="1:2" x14ac:dyDescent="0.25">
      <c r="A653" s="6" t="s">
        <v>89</v>
      </c>
      <c r="B653" s="6">
        <v>0.51047657300000004</v>
      </c>
    </row>
    <row r="654" spans="1:2" x14ac:dyDescent="0.25">
      <c r="A654" s="6" t="s">
        <v>251</v>
      </c>
      <c r="B654" s="6">
        <v>0.25705685700000003</v>
      </c>
    </row>
    <row r="655" spans="1:2" x14ac:dyDescent="0.25">
      <c r="A655" s="6" t="s">
        <v>423</v>
      </c>
      <c r="B655" s="6">
        <v>0.10511957199999999</v>
      </c>
    </row>
    <row r="656" spans="1:2" x14ac:dyDescent="0.25">
      <c r="A656" s="6" t="s">
        <v>704</v>
      </c>
      <c r="B656" s="6">
        <v>0.14412535800000001</v>
      </c>
    </row>
    <row r="657" spans="1:2" x14ac:dyDescent="0.25">
      <c r="A657" s="6" t="s">
        <v>260</v>
      </c>
      <c r="B657" s="6">
        <v>0.41407799899999997</v>
      </c>
    </row>
    <row r="658" spans="1:2" x14ac:dyDescent="0.25">
      <c r="A658" s="6" t="s">
        <v>11</v>
      </c>
      <c r="B658" s="6">
        <v>0.376515141</v>
      </c>
    </row>
    <row r="659" spans="1:2" x14ac:dyDescent="0.25">
      <c r="A659" s="6" t="s">
        <v>463</v>
      </c>
      <c r="B659" s="6">
        <v>0.28105740099999998</v>
      </c>
    </row>
    <row r="660" spans="1:2" x14ac:dyDescent="0.25">
      <c r="A660" s="6" t="s">
        <v>396</v>
      </c>
      <c r="B660" s="6">
        <v>0.74657719600000005</v>
      </c>
    </row>
    <row r="661" spans="1:2" x14ac:dyDescent="0.25">
      <c r="A661" s="6" t="s">
        <v>537</v>
      </c>
      <c r="B661" s="6">
        <v>0.11095037100000001</v>
      </c>
    </row>
    <row r="662" spans="1:2" x14ac:dyDescent="0.25">
      <c r="A662" s="6" t="s">
        <v>481</v>
      </c>
      <c r="B662" s="6">
        <v>0.23513608499999999</v>
      </c>
    </row>
    <row r="663" spans="1:2" x14ac:dyDescent="0.25">
      <c r="A663" s="6" t="s">
        <v>676</v>
      </c>
      <c r="B663" s="6">
        <v>0.63199553399999997</v>
      </c>
    </row>
    <row r="664" spans="1:2" x14ac:dyDescent="0.25">
      <c r="A664" s="6" t="s">
        <v>104</v>
      </c>
      <c r="B664" s="6">
        <v>0.104492399</v>
      </c>
    </row>
    <row r="665" spans="1:2" x14ac:dyDescent="0.25">
      <c r="A665" s="6" t="s">
        <v>585</v>
      </c>
      <c r="B665" s="6">
        <v>0.30122855199999998</v>
      </c>
    </row>
    <row r="666" spans="1:2" x14ac:dyDescent="0.25">
      <c r="A666" s="6" t="s">
        <v>647</v>
      </c>
      <c r="B666" s="6">
        <v>9.2005901000000001E-2</v>
      </c>
    </row>
    <row r="667" spans="1:2" x14ac:dyDescent="0.25">
      <c r="A667" s="6" t="s">
        <v>63</v>
      </c>
      <c r="B667" s="6">
        <v>0.77774053899999995</v>
      </c>
    </row>
    <row r="668" spans="1:2" x14ac:dyDescent="0.25">
      <c r="A668" s="6" t="s">
        <v>419</v>
      </c>
      <c r="B668" s="6">
        <v>8.8193662000000006E-2</v>
      </c>
    </row>
    <row r="669" spans="1:2" x14ac:dyDescent="0.25">
      <c r="A669" s="6" t="s">
        <v>299</v>
      </c>
      <c r="B669" s="6">
        <v>0.23690844799999999</v>
      </c>
    </row>
    <row r="670" spans="1:2" x14ac:dyDescent="0.25">
      <c r="A670" s="6" t="s">
        <v>700</v>
      </c>
      <c r="B670" s="6">
        <v>0.33197767900000003</v>
      </c>
    </row>
    <row r="671" spans="1:2" x14ac:dyDescent="0.25">
      <c r="A671" s="6" t="s">
        <v>972</v>
      </c>
      <c r="B671" s="6">
        <v>0.419635641</v>
      </c>
    </row>
    <row r="672" spans="1:2" x14ac:dyDescent="0.25">
      <c r="A672" s="6" t="s">
        <v>487</v>
      </c>
      <c r="B672" s="6">
        <v>0.102251551</v>
      </c>
    </row>
    <row r="673" spans="1:2" x14ac:dyDescent="0.25">
      <c r="A673" s="6" t="s">
        <v>731</v>
      </c>
      <c r="B673" s="6">
        <v>0.18597043799999999</v>
      </c>
    </row>
    <row r="674" spans="1:2" x14ac:dyDescent="0.25">
      <c r="A674" s="6" t="s">
        <v>560</v>
      </c>
      <c r="B674" s="6">
        <v>0.38257013299999998</v>
      </c>
    </row>
    <row r="675" spans="1:2" x14ac:dyDescent="0.25">
      <c r="A675" s="6" t="s">
        <v>539</v>
      </c>
      <c r="B675" s="6">
        <v>0.13852798199999999</v>
      </c>
    </row>
    <row r="676" spans="1:2" x14ac:dyDescent="0.25">
      <c r="A676" s="6" t="s">
        <v>974</v>
      </c>
      <c r="B676" s="6">
        <v>0.65096842399999999</v>
      </c>
    </row>
    <row r="677" spans="1:2" x14ac:dyDescent="0.25">
      <c r="A677" s="6" t="s">
        <v>340</v>
      </c>
      <c r="B677" s="6">
        <v>0.43152706099999999</v>
      </c>
    </row>
    <row r="678" spans="1:2" x14ac:dyDescent="0.25">
      <c r="A678" s="6" t="s">
        <v>309</v>
      </c>
      <c r="B678" s="6">
        <v>0.29165593200000001</v>
      </c>
    </row>
    <row r="679" spans="1:2" x14ac:dyDescent="0.25">
      <c r="A679" s="6" t="s">
        <v>746</v>
      </c>
      <c r="B679" s="6">
        <v>0.37294885700000002</v>
      </c>
    </row>
    <row r="680" spans="1:2" x14ac:dyDescent="0.25">
      <c r="A680" s="6" t="s">
        <v>530</v>
      </c>
      <c r="B680" s="6">
        <v>0.28289604499999998</v>
      </c>
    </row>
    <row r="681" spans="1:2" x14ac:dyDescent="0.25">
      <c r="A681" s="6" t="s">
        <v>701</v>
      </c>
      <c r="B681" s="6">
        <v>0.10280671600000001</v>
      </c>
    </row>
    <row r="682" spans="1:2" x14ac:dyDescent="0.25">
      <c r="A682" s="6" t="s">
        <v>513</v>
      </c>
      <c r="B682" s="6">
        <v>0.47346856999999998</v>
      </c>
    </row>
    <row r="683" spans="1:2" x14ac:dyDescent="0.25">
      <c r="A683" s="6" t="s">
        <v>976</v>
      </c>
      <c r="B683" s="6">
        <v>6.6127157000000006E-2</v>
      </c>
    </row>
    <row r="684" spans="1:2" x14ac:dyDescent="0.25">
      <c r="A684" s="6" t="s">
        <v>977</v>
      </c>
      <c r="B684" s="6">
        <v>0.44474999900000001</v>
      </c>
    </row>
    <row r="685" spans="1:2" x14ac:dyDescent="0.25">
      <c r="A685" s="6" t="s">
        <v>377</v>
      </c>
      <c r="B685" s="6">
        <v>0.66071989499999995</v>
      </c>
    </row>
    <row r="686" spans="1:2" x14ac:dyDescent="0.25">
      <c r="A686" s="6" t="s">
        <v>660</v>
      </c>
      <c r="B686" s="6">
        <v>0.215656018</v>
      </c>
    </row>
    <row r="687" spans="1:2" x14ac:dyDescent="0.25">
      <c r="A687" s="6" t="s">
        <v>5</v>
      </c>
      <c r="B687" s="6">
        <v>0.164691541</v>
      </c>
    </row>
    <row r="688" spans="1:2" x14ac:dyDescent="0.25">
      <c r="A688" s="6" t="s">
        <v>143</v>
      </c>
      <c r="B688" s="6">
        <v>0.17231265100000001</v>
      </c>
    </row>
    <row r="689" spans="1:2" x14ac:dyDescent="0.25">
      <c r="A689" s="6" t="s">
        <v>527</v>
      </c>
      <c r="B689" s="6">
        <v>0.42678257600000002</v>
      </c>
    </row>
    <row r="690" spans="1:2" x14ac:dyDescent="0.25">
      <c r="A690" s="6" t="s">
        <v>669</v>
      </c>
      <c r="B690" s="6">
        <v>0.29455021399999998</v>
      </c>
    </row>
    <row r="691" spans="1:2" x14ac:dyDescent="0.25">
      <c r="A691" s="6" t="s">
        <v>570</v>
      </c>
      <c r="B691" s="6">
        <v>0.94225649199999995</v>
      </c>
    </row>
    <row r="692" spans="1:2" x14ac:dyDescent="0.25">
      <c r="A692" s="6" t="s">
        <v>452</v>
      </c>
      <c r="B692" s="6">
        <v>0.63931116600000004</v>
      </c>
    </row>
    <row r="693" spans="1:2" x14ac:dyDescent="0.25">
      <c r="A693" s="6" t="s">
        <v>705</v>
      </c>
      <c r="B693" s="6">
        <v>0.90582493100000006</v>
      </c>
    </row>
    <row r="694" spans="1:2" x14ac:dyDescent="0.25">
      <c r="A694" s="6" t="s">
        <v>30</v>
      </c>
      <c r="B694" s="6">
        <v>0.25665947500000003</v>
      </c>
    </row>
    <row r="695" spans="1:2" x14ac:dyDescent="0.25">
      <c r="A695" s="6" t="s">
        <v>424</v>
      </c>
      <c r="B695" s="6">
        <v>0.54803497000000001</v>
      </c>
    </row>
    <row r="696" spans="1:2" x14ac:dyDescent="0.25">
      <c r="A696" s="6" t="s">
        <v>211</v>
      </c>
      <c r="B696" s="6">
        <v>0.27197623100000001</v>
      </c>
    </row>
    <row r="697" spans="1:2" x14ac:dyDescent="0.25">
      <c r="A697" s="6" t="s">
        <v>514</v>
      </c>
      <c r="B697" s="6">
        <v>0.46831556899999999</v>
      </c>
    </row>
    <row r="698" spans="1:2" x14ac:dyDescent="0.25">
      <c r="A698" s="6" t="s">
        <v>378</v>
      </c>
      <c r="B698" s="6">
        <v>0.21356502999999999</v>
      </c>
    </row>
    <row r="699" spans="1:2" x14ac:dyDescent="0.25">
      <c r="A699" s="6" t="s">
        <v>711</v>
      </c>
      <c r="B699" s="6">
        <v>0.30631397999999999</v>
      </c>
    </row>
    <row r="700" spans="1:2" x14ac:dyDescent="0.25">
      <c r="A700" s="6" t="s">
        <v>379</v>
      </c>
      <c r="B700" s="6">
        <v>1.143534665</v>
      </c>
    </row>
    <row r="701" spans="1:2" x14ac:dyDescent="0.25">
      <c r="A701" s="6" t="s">
        <v>281</v>
      </c>
      <c r="B701" s="6">
        <v>0.148181058</v>
      </c>
    </row>
    <row r="702" spans="1:2" x14ac:dyDescent="0.25">
      <c r="A702" s="6" t="s">
        <v>455</v>
      </c>
      <c r="B702" s="6">
        <v>0.41274791999999999</v>
      </c>
    </row>
    <row r="703" spans="1:2" x14ac:dyDescent="0.25">
      <c r="A703" s="6" t="s">
        <v>515</v>
      </c>
      <c r="B703" s="6">
        <v>0.15341549700000001</v>
      </c>
    </row>
    <row r="704" spans="1:2" x14ac:dyDescent="0.25">
      <c r="A704" s="6" t="s">
        <v>341</v>
      </c>
      <c r="B704" s="6">
        <v>0.32568868099999998</v>
      </c>
    </row>
    <row r="705" spans="1:2" x14ac:dyDescent="0.25">
      <c r="A705" s="6" t="s">
        <v>706</v>
      </c>
      <c r="B705" s="6">
        <v>8.1063082999999994E-2</v>
      </c>
    </row>
    <row r="706" spans="1:2" x14ac:dyDescent="0.25">
      <c r="A706" s="6" t="s">
        <v>384</v>
      </c>
      <c r="B706" s="6">
        <v>6.3490708000000007E-2</v>
      </c>
    </row>
    <row r="707" spans="1:2" x14ac:dyDescent="0.25">
      <c r="A707" s="6" t="s">
        <v>94</v>
      </c>
      <c r="B707" s="6">
        <v>0.26171985399999997</v>
      </c>
    </row>
    <row r="708" spans="1:2" x14ac:dyDescent="0.25">
      <c r="A708" s="6" t="s">
        <v>707</v>
      </c>
      <c r="B708" s="6">
        <v>0.211769338</v>
      </c>
    </row>
    <row r="709" spans="1:2" x14ac:dyDescent="0.25">
      <c r="A709" s="6" t="s">
        <v>615</v>
      </c>
      <c r="B709" s="6">
        <v>9.0484987000000003E-2</v>
      </c>
    </row>
    <row r="710" spans="1:2" x14ac:dyDescent="0.25">
      <c r="A710" s="6" t="s">
        <v>323</v>
      </c>
      <c r="B710" s="6">
        <v>0.40037148299999997</v>
      </c>
    </row>
    <row r="711" spans="1:2" x14ac:dyDescent="0.25">
      <c r="A711" s="6" t="s">
        <v>387</v>
      </c>
      <c r="B711" s="6">
        <v>0.53773490999999995</v>
      </c>
    </row>
    <row r="712" spans="1:2" x14ac:dyDescent="0.25">
      <c r="A712" s="6" t="s">
        <v>983</v>
      </c>
      <c r="B712" s="6">
        <v>0.21010915299999999</v>
      </c>
    </row>
    <row r="713" spans="1:2" x14ac:dyDescent="0.25">
      <c r="A713" s="6" t="s">
        <v>630</v>
      </c>
      <c r="B713" s="6">
        <v>0.44614570199999998</v>
      </c>
    </row>
    <row r="714" spans="1:2" x14ac:dyDescent="0.25">
      <c r="A714" s="6" t="s">
        <v>317</v>
      </c>
      <c r="B714" s="6">
        <v>0.30841069799999998</v>
      </c>
    </row>
    <row r="715" spans="1:2" x14ac:dyDescent="0.25">
      <c r="A715" s="6" t="s">
        <v>45</v>
      </c>
      <c r="B715" s="6">
        <v>0.133521583</v>
      </c>
    </row>
    <row r="716" spans="1:2" x14ac:dyDescent="0.25">
      <c r="A716" s="6" t="s">
        <v>257</v>
      </c>
      <c r="B716" s="6">
        <v>0.232628326</v>
      </c>
    </row>
    <row r="717" spans="1:2" x14ac:dyDescent="0.25">
      <c r="A717" s="6" t="s">
        <v>65</v>
      </c>
      <c r="B717" s="6">
        <v>0.457307515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85165-3B06-4B95-B743-8F010D957C83}">
  <dimension ref="A1:E90"/>
  <sheetViews>
    <sheetView workbookViewId="0">
      <selection sqref="A1:E1048576"/>
    </sheetView>
  </sheetViews>
  <sheetFormatPr defaultRowHeight="14.4" x14ac:dyDescent="0.25"/>
  <cols>
    <col min="1" max="5" width="8.88671875" style="6"/>
  </cols>
  <sheetData>
    <row r="1" spans="1:5" x14ac:dyDescent="0.25">
      <c r="A1" s="6" t="s">
        <v>748</v>
      </c>
      <c r="B1" s="6" t="s">
        <v>2075</v>
      </c>
      <c r="C1" s="6" t="s">
        <v>749</v>
      </c>
      <c r="D1" s="6" t="s">
        <v>750</v>
      </c>
      <c r="E1" s="6" t="s">
        <v>751</v>
      </c>
    </row>
    <row r="2" spans="1:5" x14ac:dyDescent="0.25">
      <c r="A2" s="6" t="s">
        <v>1008</v>
      </c>
      <c r="B2" s="6">
        <v>3.56</v>
      </c>
      <c r="C2" s="6">
        <v>21</v>
      </c>
      <c r="D2" s="6">
        <v>11.86</v>
      </c>
      <c r="E2" s="6">
        <v>92</v>
      </c>
    </row>
    <row r="3" spans="1:5" x14ac:dyDescent="0.25">
      <c r="A3" s="6" t="s">
        <v>1022</v>
      </c>
      <c r="B3" s="6">
        <v>2.79</v>
      </c>
      <c r="C3" s="6">
        <v>31</v>
      </c>
      <c r="D3" s="6">
        <v>13.76</v>
      </c>
      <c r="E3" s="6">
        <v>109</v>
      </c>
    </row>
    <row r="4" spans="1:5" x14ac:dyDescent="0.25">
      <c r="A4" s="6" t="s">
        <v>2076</v>
      </c>
      <c r="B4" s="6">
        <v>2.0299999999999998</v>
      </c>
      <c r="C4" s="6">
        <v>43</v>
      </c>
      <c r="D4" s="6">
        <v>17.350000000000001</v>
      </c>
      <c r="E4" s="6">
        <v>165</v>
      </c>
    </row>
    <row r="5" spans="1:5" x14ac:dyDescent="0.25">
      <c r="A5" s="6" t="s">
        <v>1031</v>
      </c>
      <c r="B5" s="6">
        <v>2.91</v>
      </c>
      <c r="C5" s="6">
        <v>34</v>
      </c>
      <c r="D5" s="6">
        <v>13.27</v>
      </c>
      <c r="E5" s="6">
        <v>94</v>
      </c>
    </row>
    <row r="6" spans="1:5" x14ac:dyDescent="0.25">
      <c r="A6" s="6" t="s">
        <v>1043</v>
      </c>
      <c r="B6" s="6">
        <v>1.81</v>
      </c>
      <c r="C6" s="6">
        <v>42</v>
      </c>
      <c r="D6" s="6">
        <v>8.9700000000000006</v>
      </c>
      <c r="E6" s="6">
        <v>48</v>
      </c>
    </row>
    <row r="7" spans="1:5" x14ac:dyDescent="0.25">
      <c r="A7" s="6" t="s">
        <v>1052</v>
      </c>
      <c r="B7" s="6">
        <v>5.56</v>
      </c>
      <c r="C7" s="6">
        <v>79</v>
      </c>
      <c r="D7" s="6">
        <v>12.66</v>
      </c>
      <c r="E7" s="6">
        <v>100</v>
      </c>
    </row>
    <row r="8" spans="1:5" x14ac:dyDescent="0.25">
      <c r="A8" s="6" t="s">
        <v>1061</v>
      </c>
      <c r="B8" s="6">
        <v>2.13</v>
      </c>
      <c r="C8" s="6">
        <v>46</v>
      </c>
      <c r="D8" s="6">
        <v>11.55</v>
      </c>
      <c r="E8" s="6">
        <v>98</v>
      </c>
    </row>
    <row r="9" spans="1:5" x14ac:dyDescent="0.25">
      <c r="A9" s="6" t="s">
        <v>1063</v>
      </c>
      <c r="B9" s="6">
        <v>2.2599999999999998</v>
      </c>
      <c r="C9" s="6">
        <v>44</v>
      </c>
      <c r="D9" s="6">
        <v>13.43</v>
      </c>
      <c r="E9" s="6">
        <v>130</v>
      </c>
    </row>
    <row r="10" spans="1:5" x14ac:dyDescent="0.25">
      <c r="A10" s="6" t="s">
        <v>1069</v>
      </c>
      <c r="B10" s="6">
        <v>2.95</v>
      </c>
      <c r="C10" s="6">
        <v>45</v>
      </c>
      <c r="D10" s="6">
        <v>11.72</v>
      </c>
      <c r="E10" s="6">
        <v>103</v>
      </c>
    </row>
    <row r="11" spans="1:5" x14ac:dyDescent="0.25">
      <c r="A11" s="6" t="s">
        <v>2077</v>
      </c>
      <c r="B11" s="6">
        <v>3.24</v>
      </c>
      <c r="C11" s="6">
        <v>46</v>
      </c>
      <c r="D11" s="6">
        <v>14.34</v>
      </c>
      <c r="E11" s="6">
        <v>99</v>
      </c>
    </row>
    <row r="12" spans="1:5" x14ac:dyDescent="0.25">
      <c r="A12" s="6" t="s">
        <v>1073</v>
      </c>
      <c r="B12" s="6">
        <v>2.35</v>
      </c>
      <c r="C12" s="6">
        <v>44</v>
      </c>
      <c r="D12" s="6">
        <v>12</v>
      </c>
      <c r="E12" s="6">
        <v>73</v>
      </c>
    </row>
    <row r="13" spans="1:5" x14ac:dyDescent="0.25">
      <c r="A13" s="6" t="s">
        <v>1079</v>
      </c>
      <c r="B13" s="6">
        <v>1.24</v>
      </c>
      <c r="C13" s="6">
        <v>27</v>
      </c>
      <c r="D13" s="6">
        <v>7.61</v>
      </c>
      <c r="E13" s="6">
        <v>37</v>
      </c>
    </row>
    <row r="14" spans="1:5" x14ac:dyDescent="0.25">
      <c r="A14" s="6" t="s">
        <v>1080</v>
      </c>
      <c r="B14" s="6">
        <v>1.32</v>
      </c>
      <c r="C14" s="6">
        <v>31</v>
      </c>
      <c r="D14" s="6">
        <v>11.25</v>
      </c>
      <c r="E14" s="6">
        <v>87</v>
      </c>
    </row>
    <row r="15" spans="1:5" x14ac:dyDescent="0.25">
      <c r="A15" s="6" t="s">
        <v>1083</v>
      </c>
      <c r="B15" s="6">
        <v>2.0499999999999998</v>
      </c>
      <c r="C15" s="6">
        <v>41</v>
      </c>
      <c r="D15" s="6">
        <v>14.02</v>
      </c>
      <c r="E15" s="6">
        <v>118</v>
      </c>
    </row>
    <row r="16" spans="1:5" x14ac:dyDescent="0.25">
      <c r="A16" s="6" t="s">
        <v>1088</v>
      </c>
      <c r="B16" s="6">
        <v>2.4900000000000002</v>
      </c>
      <c r="C16" s="6">
        <v>36</v>
      </c>
      <c r="D16" s="6">
        <v>24.2</v>
      </c>
      <c r="E16" s="6">
        <v>171</v>
      </c>
    </row>
    <row r="17" spans="1:5" x14ac:dyDescent="0.25">
      <c r="A17" s="6" t="s">
        <v>1103</v>
      </c>
      <c r="B17" s="6">
        <v>5.75</v>
      </c>
      <c r="C17" s="6">
        <v>71</v>
      </c>
      <c r="D17" s="6">
        <v>18.82</v>
      </c>
      <c r="E17" s="6">
        <v>119</v>
      </c>
    </row>
    <row r="18" spans="1:5" x14ac:dyDescent="0.25">
      <c r="A18" s="6" t="s">
        <v>1120</v>
      </c>
      <c r="B18" s="6">
        <v>2.09</v>
      </c>
      <c r="C18" s="6">
        <v>40</v>
      </c>
      <c r="D18" s="6">
        <v>8.49</v>
      </c>
      <c r="E18" s="6">
        <v>40</v>
      </c>
    </row>
    <row r="19" spans="1:5" x14ac:dyDescent="0.25">
      <c r="A19" s="6" t="s">
        <v>1132</v>
      </c>
      <c r="B19" s="6">
        <v>1.97</v>
      </c>
      <c r="C19" s="6">
        <v>18</v>
      </c>
      <c r="D19" s="6">
        <v>11.72</v>
      </c>
      <c r="E19" s="6">
        <v>53</v>
      </c>
    </row>
    <row r="20" spans="1:5" x14ac:dyDescent="0.25">
      <c r="A20" s="6" t="s">
        <v>1144</v>
      </c>
      <c r="B20" s="6">
        <v>4.87</v>
      </c>
      <c r="C20" s="6">
        <v>70</v>
      </c>
      <c r="D20" s="6">
        <v>33.880000000000003</v>
      </c>
      <c r="E20" s="6">
        <v>135</v>
      </c>
    </row>
    <row r="21" spans="1:5" x14ac:dyDescent="0.25">
      <c r="A21" s="6" t="s">
        <v>1148</v>
      </c>
      <c r="B21" s="6">
        <v>2.1</v>
      </c>
      <c r="C21" s="6">
        <v>28</v>
      </c>
      <c r="D21" s="6">
        <v>17.149999999999999</v>
      </c>
      <c r="E21" s="6">
        <v>72</v>
      </c>
    </row>
    <row r="22" spans="1:5" x14ac:dyDescent="0.25">
      <c r="A22" s="6" t="s">
        <v>1149</v>
      </c>
      <c r="B22" s="6">
        <v>3.46</v>
      </c>
      <c r="C22" s="6">
        <v>39</v>
      </c>
      <c r="D22" s="6">
        <v>23.99</v>
      </c>
      <c r="E22" s="6">
        <v>125</v>
      </c>
    </row>
    <row r="23" spans="1:5" x14ac:dyDescent="0.25">
      <c r="A23" s="6" t="s">
        <v>1176</v>
      </c>
      <c r="B23" s="6">
        <v>1.62</v>
      </c>
      <c r="C23" s="6">
        <v>23</v>
      </c>
      <c r="D23" s="6">
        <v>20.56</v>
      </c>
      <c r="E23" s="6">
        <v>105</v>
      </c>
    </row>
    <row r="24" spans="1:5" x14ac:dyDescent="0.25">
      <c r="A24" s="6" t="s">
        <v>1184</v>
      </c>
      <c r="B24" s="6">
        <v>2.11</v>
      </c>
      <c r="C24" s="6">
        <v>28</v>
      </c>
      <c r="D24" s="6">
        <v>15.86</v>
      </c>
      <c r="E24" s="6">
        <v>93</v>
      </c>
    </row>
    <row r="25" spans="1:5" x14ac:dyDescent="0.25">
      <c r="A25" s="6" t="s">
        <v>1209</v>
      </c>
      <c r="B25" s="6">
        <v>1.86</v>
      </c>
      <c r="C25" s="6">
        <v>35</v>
      </c>
      <c r="D25" s="6">
        <v>17.07</v>
      </c>
      <c r="E25" s="6">
        <v>87</v>
      </c>
    </row>
    <row r="26" spans="1:5" x14ac:dyDescent="0.25">
      <c r="A26" s="6" t="s">
        <v>1214</v>
      </c>
      <c r="B26" s="6">
        <v>3.06</v>
      </c>
      <c r="C26" s="6">
        <v>24</v>
      </c>
      <c r="D26" s="6">
        <v>13.01</v>
      </c>
      <c r="E26" s="6">
        <v>69</v>
      </c>
    </row>
    <row r="27" spans="1:5" x14ac:dyDescent="0.25">
      <c r="A27" s="6" t="s">
        <v>1216</v>
      </c>
      <c r="B27" s="6">
        <v>2.36</v>
      </c>
      <c r="C27" s="6">
        <v>17</v>
      </c>
      <c r="D27" s="6">
        <v>10.74</v>
      </c>
      <c r="E27" s="6">
        <v>39</v>
      </c>
    </row>
    <row r="28" spans="1:5" x14ac:dyDescent="0.25">
      <c r="A28" s="6" t="s">
        <v>1217</v>
      </c>
      <c r="B28" s="6">
        <v>3</v>
      </c>
      <c r="C28" s="6">
        <v>44</v>
      </c>
      <c r="D28" s="6">
        <v>24.63</v>
      </c>
      <c r="E28" s="6">
        <v>124</v>
      </c>
    </row>
    <row r="29" spans="1:5" x14ac:dyDescent="0.25">
      <c r="A29" s="6" t="s">
        <v>1222</v>
      </c>
      <c r="B29" s="6">
        <v>5.21</v>
      </c>
      <c r="C29" s="6">
        <v>51</v>
      </c>
      <c r="D29" s="6">
        <v>18.59</v>
      </c>
      <c r="E29" s="6">
        <v>91</v>
      </c>
    </row>
    <row r="30" spans="1:5" x14ac:dyDescent="0.25">
      <c r="A30" s="6" t="s">
        <v>1224</v>
      </c>
      <c r="B30" s="6">
        <v>2.4300000000000002</v>
      </c>
      <c r="C30" s="6">
        <v>43</v>
      </c>
      <c r="D30" s="6">
        <v>28.59</v>
      </c>
      <c r="E30" s="6">
        <v>163</v>
      </c>
    </row>
    <row r="31" spans="1:5" x14ac:dyDescent="0.25">
      <c r="A31" s="6" t="s">
        <v>1241</v>
      </c>
      <c r="B31" s="6">
        <v>3.36</v>
      </c>
      <c r="C31" s="6">
        <v>49</v>
      </c>
      <c r="D31" s="6">
        <v>20.13</v>
      </c>
      <c r="E31" s="6">
        <v>107</v>
      </c>
    </row>
    <row r="32" spans="1:5" x14ac:dyDescent="0.25">
      <c r="A32" s="6" t="s">
        <v>1261</v>
      </c>
      <c r="B32" s="6">
        <v>4.95</v>
      </c>
      <c r="C32" s="6">
        <v>62</v>
      </c>
      <c r="D32" s="6">
        <v>32.159999999999997</v>
      </c>
      <c r="E32" s="6">
        <v>119</v>
      </c>
    </row>
    <row r="33" spans="1:5" x14ac:dyDescent="0.25">
      <c r="A33" s="6" t="s">
        <v>1268</v>
      </c>
      <c r="B33" s="6">
        <v>3.04</v>
      </c>
      <c r="C33" s="6">
        <v>40</v>
      </c>
      <c r="D33" s="6">
        <v>25.17</v>
      </c>
      <c r="E33" s="6">
        <v>130</v>
      </c>
    </row>
    <row r="34" spans="1:5" x14ac:dyDescent="0.25">
      <c r="A34" s="6" t="s">
        <v>1283</v>
      </c>
      <c r="B34" s="6">
        <v>2.54</v>
      </c>
      <c r="C34" s="6">
        <v>39</v>
      </c>
      <c r="D34" s="6">
        <v>15.29</v>
      </c>
      <c r="E34" s="6">
        <v>97</v>
      </c>
    </row>
    <row r="35" spans="1:5" x14ac:dyDescent="0.25">
      <c r="A35" s="6" t="s">
        <v>1312</v>
      </c>
      <c r="B35" s="6">
        <v>2.11</v>
      </c>
      <c r="C35" s="6">
        <v>37</v>
      </c>
      <c r="D35" s="6">
        <v>31.5</v>
      </c>
      <c r="E35" s="6">
        <v>175</v>
      </c>
    </row>
    <row r="36" spans="1:5" x14ac:dyDescent="0.25">
      <c r="A36" s="6" t="s">
        <v>1316</v>
      </c>
      <c r="B36" s="6">
        <v>2.5299999999999998</v>
      </c>
      <c r="C36" s="6">
        <v>31</v>
      </c>
      <c r="D36" s="6">
        <v>11.62</v>
      </c>
      <c r="E36" s="6">
        <v>49</v>
      </c>
    </row>
    <row r="37" spans="1:5" x14ac:dyDescent="0.25">
      <c r="A37" s="6" t="s">
        <v>1318</v>
      </c>
      <c r="B37" s="6">
        <v>0.94</v>
      </c>
      <c r="C37" s="6">
        <v>22</v>
      </c>
      <c r="D37" s="6">
        <v>13.37</v>
      </c>
      <c r="E37" s="6">
        <v>81</v>
      </c>
    </row>
    <row r="38" spans="1:5" x14ac:dyDescent="0.25">
      <c r="A38" s="6" t="s">
        <v>1347</v>
      </c>
      <c r="B38" s="6">
        <v>3.45</v>
      </c>
      <c r="C38" s="6">
        <v>47</v>
      </c>
      <c r="D38" s="6">
        <v>12.46</v>
      </c>
      <c r="E38" s="6">
        <v>60</v>
      </c>
    </row>
    <row r="39" spans="1:5" x14ac:dyDescent="0.25">
      <c r="A39" s="6" t="s">
        <v>1348</v>
      </c>
      <c r="B39" s="6">
        <v>1.3</v>
      </c>
      <c r="C39" s="6">
        <v>22</v>
      </c>
      <c r="D39" s="6">
        <v>20.93</v>
      </c>
      <c r="E39" s="6">
        <v>119</v>
      </c>
    </row>
    <row r="40" spans="1:5" x14ac:dyDescent="0.25">
      <c r="A40" s="6" t="s">
        <v>1351</v>
      </c>
      <c r="B40" s="6">
        <v>5.59</v>
      </c>
      <c r="C40" s="6">
        <v>61</v>
      </c>
      <c r="D40" s="6">
        <v>20.2</v>
      </c>
      <c r="E40" s="6">
        <v>89</v>
      </c>
    </row>
    <row r="41" spans="1:5" x14ac:dyDescent="0.25">
      <c r="A41" s="6" t="s">
        <v>1368</v>
      </c>
      <c r="B41" s="6">
        <v>2.73</v>
      </c>
      <c r="C41" s="6">
        <v>36</v>
      </c>
      <c r="D41" s="6">
        <v>28.41</v>
      </c>
      <c r="E41" s="6">
        <v>147</v>
      </c>
    </row>
    <row r="42" spans="1:5" x14ac:dyDescent="0.25">
      <c r="A42" s="6" t="s">
        <v>1409</v>
      </c>
      <c r="B42" s="6">
        <v>2.87</v>
      </c>
      <c r="C42" s="6">
        <v>39</v>
      </c>
      <c r="D42" s="6">
        <v>14.96</v>
      </c>
      <c r="E42" s="6">
        <v>61</v>
      </c>
    </row>
    <row r="43" spans="1:5" x14ac:dyDescent="0.25">
      <c r="A43" s="6" t="s">
        <v>1420</v>
      </c>
      <c r="B43" s="6">
        <v>1.78</v>
      </c>
      <c r="C43" s="6">
        <v>28</v>
      </c>
      <c r="D43" s="6">
        <v>10.25</v>
      </c>
      <c r="E43" s="6">
        <v>38</v>
      </c>
    </row>
    <row r="44" spans="1:5" x14ac:dyDescent="0.25">
      <c r="A44" s="6" t="s">
        <v>1448</v>
      </c>
      <c r="B44" s="6">
        <v>3.17</v>
      </c>
      <c r="C44" s="6">
        <v>40</v>
      </c>
      <c r="D44" s="6">
        <v>14.29</v>
      </c>
      <c r="E44" s="6">
        <v>53</v>
      </c>
    </row>
    <row r="45" spans="1:5" x14ac:dyDescent="0.25">
      <c r="A45" s="6" t="s">
        <v>1470</v>
      </c>
      <c r="B45" s="6">
        <v>2.4700000000000002</v>
      </c>
      <c r="C45" s="6">
        <v>29</v>
      </c>
      <c r="D45" s="6">
        <v>16.22</v>
      </c>
      <c r="E45" s="6">
        <v>117</v>
      </c>
    </row>
    <row r="46" spans="1:5" x14ac:dyDescent="0.25">
      <c r="A46" s="6" t="s">
        <v>1487</v>
      </c>
      <c r="B46" s="6">
        <v>2.31</v>
      </c>
      <c r="C46" s="6">
        <v>42</v>
      </c>
      <c r="D46" s="6">
        <v>17.510000000000002</v>
      </c>
      <c r="E46" s="6">
        <v>93</v>
      </c>
    </row>
    <row r="47" spans="1:5" x14ac:dyDescent="0.25">
      <c r="A47" s="6" t="s">
        <v>1488</v>
      </c>
      <c r="B47" s="6">
        <v>3.16</v>
      </c>
      <c r="C47" s="6">
        <v>43</v>
      </c>
      <c r="D47" s="6">
        <v>13.3</v>
      </c>
      <c r="E47" s="6">
        <v>98</v>
      </c>
    </row>
    <row r="48" spans="1:5" x14ac:dyDescent="0.25">
      <c r="A48" s="6" t="s">
        <v>1491</v>
      </c>
      <c r="B48" s="6">
        <v>1.68</v>
      </c>
      <c r="C48" s="6">
        <v>21</v>
      </c>
      <c r="D48" s="6">
        <v>21.4</v>
      </c>
      <c r="E48" s="6">
        <v>133</v>
      </c>
    </row>
    <row r="49" spans="1:5" x14ac:dyDescent="0.25">
      <c r="A49" s="6" t="s">
        <v>1504</v>
      </c>
      <c r="B49" s="6">
        <v>1.81</v>
      </c>
      <c r="C49" s="6">
        <v>25</v>
      </c>
      <c r="D49" s="6">
        <v>13.79</v>
      </c>
      <c r="E49" s="6">
        <v>58</v>
      </c>
    </row>
    <row r="50" spans="1:5" x14ac:dyDescent="0.25">
      <c r="A50" s="6" t="s">
        <v>1506</v>
      </c>
      <c r="B50" s="6">
        <v>2.56</v>
      </c>
      <c r="C50" s="6">
        <v>39</v>
      </c>
      <c r="D50" s="6">
        <v>8.32</v>
      </c>
      <c r="E50" s="6">
        <v>52</v>
      </c>
    </row>
    <row r="51" spans="1:5" x14ac:dyDescent="0.25">
      <c r="A51" s="6" t="s">
        <v>1510</v>
      </c>
      <c r="B51" s="6">
        <v>3.3</v>
      </c>
      <c r="C51" s="6">
        <v>39</v>
      </c>
      <c r="D51" s="6">
        <v>18.190000000000001</v>
      </c>
      <c r="E51" s="6">
        <v>93</v>
      </c>
    </row>
    <row r="52" spans="1:5" x14ac:dyDescent="0.25">
      <c r="A52" s="6" t="s">
        <v>1524</v>
      </c>
      <c r="B52" s="6">
        <v>4.5199999999999996</v>
      </c>
      <c r="C52" s="6">
        <v>51</v>
      </c>
      <c r="D52" s="6">
        <v>21.24</v>
      </c>
      <c r="E52" s="6">
        <v>116</v>
      </c>
    </row>
    <row r="53" spans="1:5" x14ac:dyDescent="0.25">
      <c r="A53" s="6" t="s">
        <v>1545</v>
      </c>
      <c r="B53" s="6">
        <v>1.8</v>
      </c>
      <c r="C53" s="6">
        <v>27</v>
      </c>
      <c r="D53" s="6">
        <v>15.43</v>
      </c>
      <c r="E53" s="6">
        <v>69</v>
      </c>
    </row>
    <row r="54" spans="1:5" x14ac:dyDescent="0.25">
      <c r="A54" s="6" t="s">
        <v>1546</v>
      </c>
      <c r="B54" s="6">
        <v>4.62</v>
      </c>
      <c r="C54" s="6">
        <v>42</v>
      </c>
      <c r="D54" s="6">
        <v>32.56</v>
      </c>
      <c r="E54" s="6">
        <v>170</v>
      </c>
    </row>
    <row r="55" spans="1:5" x14ac:dyDescent="0.25">
      <c r="A55" s="6" t="s">
        <v>1547</v>
      </c>
      <c r="B55" s="6">
        <v>11.08</v>
      </c>
      <c r="C55" s="6">
        <v>116</v>
      </c>
      <c r="D55" s="6">
        <v>17.579999999999998</v>
      </c>
      <c r="E55" s="6">
        <v>87</v>
      </c>
    </row>
    <row r="56" spans="1:5" x14ac:dyDescent="0.25">
      <c r="A56" s="6" t="s">
        <v>1558</v>
      </c>
      <c r="B56" s="6">
        <v>6.11</v>
      </c>
      <c r="C56" s="6">
        <v>52</v>
      </c>
      <c r="D56" s="6">
        <v>23.63</v>
      </c>
      <c r="E56" s="6">
        <v>132</v>
      </c>
    </row>
    <row r="57" spans="1:5" x14ac:dyDescent="0.25">
      <c r="A57" s="6" t="s">
        <v>2078</v>
      </c>
      <c r="B57" s="6">
        <v>3.62</v>
      </c>
      <c r="C57" s="6">
        <v>51</v>
      </c>
      <c r="D57" s="6">
        <v>17.18</v>
      </c>
      <c r="E57" s="6">
        <v>77</v>
      </c>
    </row>
    <row r="58" spans="1:5" x14ac:dyDescent="0.25">
      <c r="A58" s="6" t="s">
        <v>2079</v>
      </c>
      <c r="B58" s="6">
        <v>7.11</v>
      </c>
      <c r="C58" s="6">
        <v>86</v>
      </c>
      <c r="D58" s="6">
        <v>10.66</v>
      </c>
      <c r="E58" s="6">
        <v>39</v>
      </c>
    </row>
    <row r="59" spans="1:5" x14ac:dyDescent="0.25">
      <c r="A59" s="6" t="s">
        <v>1569</v>
      </c>
      <c r="B59" s="6">
        <v>2.58</v>
      </c>
      <c r="C59" s="6">
        <v>29</v>
      </c>
      <c r="D59" s="6">
        <v>23.31</v>
      </c>
      <c r="E59" s="6">
        <v>114</v>
      </c>
    </row>
    <row r="60" spans="1:5" x14ac:dyDescent="0.25">
      <c r="A60" s="6" t="s">
        <v>1574</v>
      </c>
      <c r="B60" s="6">
        <v>4.6399999999999997</v>
      </c>
      <c r="C60" s="6">
        <v>53</v>
      </c>
      <c r="D60" s="6">
        <v>26.03</v>
      </c>
      <c r="E60" s="6">
        <v>151</v>
      </c>
    </row>
    <row r="61" spans="1:5" x14ac:dyDescent="0.25">
      <c r="A61" s="6" t="s">
        <v>1585</v>
      </c>
      <c r="B61" s="6">
        <v>3.07</v>
      </c>
      <c r="C61" s="6">
        <v>39</v>
      </c>
      <c r="D61" s="6">
        <v>20.89</v>
      </c>
      <c r="E61" s="6">
        <v>111</v>
      </c>
    </row>
    <row r="62" spans="1:5" x14ac:dyDescent="0.25">
      <c r="A62" s="6" t="s">
        <v>1594</v>
      </c>
      <c r="B62" s="6">
        <v>3.1</v>
      </c>
      <c r="C62" s="6">
        <v>46</v>
      </c>
      <c r="D62" s="6">
        <v>22.46</v>
      </c>
      <c r="E62" s="6">
        <v>102</v>
      </c>
    </row>
    <row r="63" spans="1:5" x14ac:dyDescent="0.25">
      <c r="A63" s="6" t="s">
        <v>1623</v>
      </c>
      <c r="B63" s="6">
        <v>6.45</v>
      </c>
      <c r="C63" s="6">
        <v>72</v>
      </c>
      <c r="D63" s="6">
        <v>26.68</v>
      </c>
      <c r="E63" s="6">
        <v>134</v>
      </c>
    </row>
    <row r="64" spans="1:5" x14ac:dyDescent="0.25">
      <c r="A64" s="6" t="s">
        <v>1627</v>
      </c>
      <c r="B64" s="6">
        <v>2.15</v>
      </c>
      <c r="C64" s="6">
        <v>37</v>
      </c>
      <c r="D64" s="6">
        <v>26.14</v>
      </c>
      <c r="E64" s="6">
        <v>145</v>
      </c>
    </row>
    <row r="65" spans="1:5" x14ac:dyDescent="0.25">
      <c r="A65" s="6" t="s">
        <v>1628</v>
      </c>
      <c r="B65" s="6">
        <v>2.6</v>
      </c>
      <c r="C65" s="6">
        <v>35</v>
      </c>
      <c r="D65" s="6">
        <v>14.95</v>
      </c>
      <c r="E65" s="6">
        <v>64</v>
      </c>
    </row>
    <row r="66" spans="1:5" x14ac:dyDescent="0.25">
      <c r="A66" s="6" t="s">
        <v>1630</v>
      </c>
      <c r="B66" s="6">
        <v>3.87</v>
      </c>
      <c r="C66" s="6">
        <v>45</v>
      </c>
      <c r="D66" s="6">
        <v>22.31</v>
      </c>
      <c r="E66" s="6">
        <v>126</v>
      </c>
    </row>
    <row r="67" spans="1:5" x14ac:dyDescent="0.25">
      <c r="A67" s="6" t="s">
        <v>1631</v>
      </c>
      <c r="B67" s="6">
        <v>3.94</v>
      </c>
      <c r="C67" s="6">
        <v>48</v>
      </c>
      <c r="D67" s="6">
        <v>33.380000000000003</v>
      </c>
      <c r="E67" s="6">
        <v>133</v>
      </c>
    </row>
    <row r="68" spans="1:5" x14ac:dyDescent="0.25">
      <c r="A68" s="6" t="s">
        <v>1639</v>
      </c>
      <c r="B68" s="6">
        <v>2.5</v>
      </c>
      <c r="C68" s="6">
        <v>29</v>
      </c>
      <c r="D68" s="6">
        <v>11.69</v>
      </c>
      <c r="E68" s="6">
        <v>42</v>
      </c>
    </row>
    <row r="69" spans="1:5" x14ac:dyDescent="0.25">
      <c r="A69" s="6" t="s">
        <v>1640</v>
      </c>
      <c r="B69" s="6">
        <v>2.29</v>
      </c>
      <c r="C69" s="6">
        <v>30</v>
      </c>
      <c r="D69" s="6">
        <v>16.16</v>
      </c>
      <c r="E69" s="6">
        <v>97</v>
      </c>
    </row>
    <row r="70" spans="1:5" x14ac:dyDescent="0.25">
      <c r="A70" s="6" t="s">
        <v>1651</v>
      </c>
      <c r="B70" s="6">
        <v>3.11</v>
      </c>
      <c r="C70" s="6">
        <v>54</v>
      </c>
      <c r="D70" s="6">
        <v>26.04</v>
      </c>
      <c r="E70" s="6">
        <v>163</v>
      </c>
    </row>
    <row r="71" spans="1:5" x14ac:dyDescent="0.25">
      <c r="A71" s="6" t="s">
        <v>1654</v>
      </c>
      <c r="B71" s="6">
        <v>10.42</v>
      </c>
      <c r="C71" s="6">
        <v>129</v>
      </c>
      <c r="D71" s="6">
        <v>23.56</v>
      </c>
      <c r="E71" s="6">
        <v>156</v>
      </c>
    </row>
    <row r="72" spans="1:5" x14ac:dyDescent="0.25">
      <c r="A72" s="6" t="s">
        <v>1657</v>
      </c>
      <c r="B72" s="6">
        <v>4.88</v>
      </c>
      <c r="C72" s="6">
        <v>59</v>
      </c>
      <c r="D72" s="6">
        <v>32.17</v>
      </c>
      <c r="E72" s="6">
        <v>173</v>
      </c>
    </row>
    <row r="73" spans="1:5" x14ac:dyDescent="0.25">
      <c r="A73" s="6" t="s">
        <v>1701</v>
      </c>
      <c r="B73" s="6">
        <v>3.84</v>
      </c>
      <c r="C73" s="6">
        <v>55</v>
      </c>
      <c r="D73" s="6">
        <v>24.03</v>
      </c>
      <c r="E73" s="6">
        <v>130</v>
      </c>
    </row>
    <row r="74" spans="1:5" x14ac:dyDescent="0.25">
      <c r="A74" s="6" t="s">
        <v>1720</v>
      </c>
      <c r="B74" s="6">
        <v>5.85</v>
      </c>
      <c r="C74" s="6">
        <v>60</v>
      </c>
      <c r="D74" s="6">
        <v>22.01</v>
      </c>
      <c r="E74" s="6">
        <v>70</v>
      </c>
    </row>
    <row r="75" spans="1:5" x14ac:dyDescent="0.25">
      <c r="A75" s="6" t="s">
        <v>1739</v>
      </c>
      <c r="B75" s="6">
        <v>3.64</v>
      </c>
      <c r="C75" s="6">
        <v>42</v>
      </c>
      <c r="D75" s="6">
        <v>19.440000000000001</v>
      </c>
      <c r="E75" s="6">
        <v>84</v>
      </c>
    </row>
    <row r="76" spans="1:5" x14ac:dyDescent="0.25">
      <c r="A76" s="6" t="s">
        <v>1741</v>
      </c>
      <c r="B76" s="6">
        <v>3.55</v>
      </c>
      <c r="C76" s="6">
        <v>40</v>
      </c>
      <c r="D76" s="6">
        <v>21.35</v>
      </c>
      <c r="E76" s="6">
        <v>134</v>
      </c>
    </row>
    <row r="77" spans="1:5" x14ac:dyDescent="0.25">
      <c r="A77" s="6" t="s">
        <v>1768</v>
      </c>
      <c r="B77" s="6">
        <v>13.08</v>
      </c>
      <c r="C77" s="6">
        <v>170</v>
      </c>
      <c r="D77" s="6">
        <v>26.28</v>
      </c>
      <c r="E77" s="6">
        <v>122</v>
      </c>
    </row>
    <row r="78" spans="1:5" x14ac:dyDescent="0.25">
      <c r="A78" s="6" t="s">
        <v>1778</v>
      </c>
      <c r="B78" s="6">
        <v>6.43</v>
      </c>
      <c r="C78" s="6">
        <v>58</v>
      </c>
      <c r="D78" s="6">
        <v>27.79</v>
      </c>
      <c r="E78" s="6">
        <v>108</v>
      </c>
    </row>
    <row r="79" spans="1:5" x14ac:dyDescent="0.25">
      <c r="A79" s="6" t="s">
        <v>1784</v>
      </c>
      <c r="B79" s="6">
        <v>6.92</v>
      </c>
      <c r="C79" s="6">
        <v>72</v>
      </c>
      <c r="D79" s="6">
        <v>45.7</v>
      </c>
      <c r="E79" s="6">
        <v>266</v>
      </c>
    </row>
    <row r="80" spans="1:5" x14ac:dyDescent="0.25">
      <c r="A80" s="6" t="s">
        <v>1798</v>
      </c>
      <c r="B80" s="6">
        <v>3.35</v>
      </c>
      <c r="C80" s="6">
        <v>58</v>
      </c>
      <c r="D80" s="6">
        <v>31.99</v>
      </c>
      <c r="E80" s="6">
        <v>159</v>
      </c>
    </row>
    <row r="81" spans="1:5" x14ac:dyDescent="0.25">
      <c r="A81" s="6" t="s">
        <v>1801</v>
      </c>
      <c r="B81" s="6">
        <v>2.2599999999999998</v>
      </c>
      <c r="C81" s="6">
        <v>33</v>
      </c>
      <c r="D81" s="6">
        <v>25.49</v>
      </c>
      <c r="E81" s="6">
        <v>120</v>
      </c>
    </row>
    <row r="82" spans="1:5" x14ac:dyDescent="0.25">
      <c r="A82" s="6" t="s">
        <v>1812</v>
      </c>
      <c r="B82" s="6">
        <v>3.25</v>
      </c>
      <c r="C82" s="6">
        <v>37</v>
      </c>
      <c r="D82" s="6">
        <v>26.18</v>
      </c>
      <c r="E82" s="6">
        <v>134</v>
      </c>
    </row>
    <row r="83" spans="1:5" x14ac:dyDescent="0.25">
      <c r="A83" s="6" t="s">
        <v>1815</v>
      </c>
      <c r="B83" s="6">
        <v>3.31</v>
      </c>
      <c r="C83" s="6">
        <v>42</v>
      </c>
      <c r="D83" s="6">
        <v>17.29</v>
      </c>
      <c r="E83" s="6">
        <v>117</v>
      </c>
    </row>
    <row r="84" spans="1:5" x14ac:dyDescent="0.25">
      <c r="A84" s="6" t="s">
        <v>1820</v>
      </c>
      <c r="B84" s="6">
        <v>7.44</v>
      </c>
      <c r="C84" s="6">
        <v>84</v>
      </c>
      <c r="D84" s="6">
        <v>25.68</v>
      </c>
      <c r="E84" s="6">
        <v>124</v>
      </c>
    </row>
    <row r="85" spans="1:5" x14ac:dyDescent="0.25">
      <c r="A85" s="6" t="s">
        <v>1826</v>
      </c>
      <c r="B85" s="6">
        <v>3.48</v>
      </c>
      <c r="C85" s="6">
        <v>61</v>
      </c>
      <c r="D85" s="6">
        <v>14.48</v>
      </c>
      <c r="E85" s="6">
        <v>98</v>
      </c>
    </row>
    <row r="86" spans="1:5" x14ac:dyDescent="0.25">
      <c r="A86" s="6" t="s">
        <v>1859</v>
      </c>
      <c r="B86" s="6">
        <v>10.199999999999999</v>
      </c>
      <c r="C86" s="6">
        <v>103</v>
      </c>
      <c r="D86" s="6">
        <v>29.13</v>
      </c>
      <c r="E86" s="6">
        <v>161</v>
      </c>
    </row>
    <row r="87" spans="1:5" x14ac:dyDescent="0.25">
      <c r="A87" s="6" t="s">
        <v>2080</v>
      </c>
      <c r="B87" s="6">
        <v>5.23</v>
      </c>
      <c r="C87" s="6">
        <v>50</v>
      </c>
      <c r="D87" s="6">
        <v>20.69</v>
      </c>
      <c r="E87" s="6">
        <v>70</v>
      </c>
    </row>
    <row r="88" spans="1:5" x14ac:dyDescent="0.25">
      <c r="A88" s="6" t="s">
        <v>1889</v>
      </c>
      <c r="B88" s="6">
        <v>4</v>
      </c>
      <c r="C88" s="6">
        <v>48</v>
      </c>
      <c r="D88" s="6">
        <v>37.090000000000003</v>
      </c>
      <c r="E88" s="6">
        <v>235</v>
      </c>
    </row>
    <row r="89" spans="1:5" x14ac:dyDescent="0.25">
      <c r="A89" s="6" t="s">
        <v>1953</v>
      </c>
      <c r="B89" s="6">
        <v>3.82</v>
      </c>
      <c r="C89" s="6">
        <v>33</v>
      </c>
      <c r="D89" s="6">
        <v>12.43</v>
      </c>
      <c r="E89" s="6">
        <v>88</v>
      </c>
    </row>
    <row r="90" spans="1:5" x14ac:dyDescent="0.25">
      <c r="A90" s="6" t="s">
        <v>1966</v>
      </c>
      <c r="B90" s="6">
        <v>11.83</v>
      </c>
      <c r="C90" s="6">
        <v>124</v>
      </c>
      <c r="D90" s="6">
        <v>33.51</v>
      </c>
      <c r="E90" s="6">
        <v>167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A3DB3-18F2-43C7-BAB3-952BABB49265}">
  <dimension ref="A1:C88"/>
  <sheetViews>
    <sheetView workbookViewId="0">
      <selection activeCell="B1" sqref="B1:C1"/>
    </sheetView>
  </sheetViews>
  <sheetFormatPr defaultRowHeight="14.4" x14ac:dyDescent="0.25"/>
  <cols>
    <col min="1" max="1" width="15.21875" style="6" customWidth="1"/>
    <col min="2" max="2" width="16.88671875" style="6" customWidth="1"/>
    <col min="3" max="3" width="17.44140625" style="6" customWidth="1"/>
  </cols>
  <sheetData>
    <row r="1" spans="1:3" x14ac:dyDescent="0.25">
      <c r="A1" s="6" t="s">
        <v>748</v>
      </c>
      <c r="B1" s="6" t="s">
        <v>2088</v>
      </c>
      <c r="C1" s="7" t="s">
        <v>2087</v>
      </c>
    </row>
    <row r="2" spans="1:3" x14ac:dyDescent="0.25">
      <c r="A2" s="6" t="s">
        <v>1008</v>
      </c>
      <c r="B2" s="6">
        <v>2.4650000000000002E-3</v>
      </c>
      <c r="C2" s="6">
        <v>8.2748527000000002E-2</v>
      </c>
    </row>
    <row r="3" spans="1:3" x14ac:dyDescent="0.25">
      <c r="A3" s="6" t="s">
        <v>1022</v>
      </c>
      <c r="B3" s="6">
        <v>4.6817999999999999E-2</v>
      </c>
      <c r="C3" s="6">
        <v>4.371874375</v>
      </c>
    </row>
    <row r="4" spans="1:3" x14ac:dyDescent="0.25">
      <c r="A4" s="6" t="s">
        <v>2076</v>
      </c>
      <c r="B4" s="6">
        <v>0.15948499999999999</v>
      </c>
      <c r="C4" s="6">
        <v>4.5901079850000004</v>
      </c>
    </row>
    <row r="5" spans="1:3" x14ac:dyDescent="0.25">
      <c r="A5" s="6" t="s">
        <v>1031</v>
      </c>
      <c r="B5" s="6">
        <v>3.4777000000000002E-2</v>
      </c>
      <c r="C5" s="6">
        <v>0.96397527800000005</v>
      </c>
    </row>
    <row r="6" spans="1:3" x14ac:dyDescent="0.25">
      <c r="A6" s="6" t="s">
        <v>1043</v>
      </c>
      <c r="B6" s="6">
        <v>0.10674</v>
      </c>
      <c r="C6" s="6">
        <v>3.5149136059999999</v>
      </c>
    </row>
    <row r="7" spans="1:3" x14ac:dyDescent="0.25">
      <c r="A7" s="6" t="s">
        <v>1052</v>
      </c>
      <c r="B7" s="6">
        <v>0.270899</v>
      </c>
      <c r="C7" s="6">
        <v>4.3716857520000003</v>
      </c>
    </row>
    <row r="8" spans="1:3" x14ac:dyDescent="0.25">
      <c r="A8" s="6" t="s">
        <v>1061</v>
      </c>
      <c r="B8" s="6">
        <v>0.120754</v>
      </c>
      <c r="C8" s="6">
        <v>2.6784407649999999</v>
      </c>
    </row>
    <row r="9" spans="1:3" x14ac:dyDescent="0.25">
      <c r="A9" s="6" t="s">
        <v>1063</v>
      </c>
      <c r="B9" s="6">
        <v>6.3019000000000006E-2</v>
      </c>
      <c r="C9" s="6">
        <v>3.7336802919999998</v>
      </c>
    </row>
    <row r="10" spans="1:3" x14ac:dyDescent="0.25">
      <c r="A10" s="6" t="s">
        <v>1069</v>
      </c>
      <c r="B10" s="6">
        <v>0.140824</v>
      </c>
      <c r="C10" s="6">
        <v>0.88952945400000005</v>
      </c>
    </row>
    <row r="11" spans="1:3" x14ac:dyDescent="0.25">
      <c r="A11" s="6" t="s">
        <v>2077</v>
      </c>
      <c r="B11" s="6">
        <v>0.11274000000000001</v>
      </c>
      <c r="C11" s="6">
        <v>3.183624891</v>
      </c>
    </row>
    <row r="12" spans="1:3" x14ac:dyDescent="0.25">
      <c r="A12" s="6" t="s">
        <v>1073</v>
      </c>
      <c r="B12" s="6">
        <v>3.0183000000000001E-2</v>
      </c>
      <c r="C12" s="6">
        <v>1.6452480679999999</v>
      </c>
    </row>
    <row r="13" spans="1:3" x14ac:dyDescent="0.25">
      <c r="A13" s="6" t="s">
        <v>1079</v>
      </c>
      <c r="B13" s="6">
        <v>1.7131E-2</v>
      </c>
      <c r="C13" s="6">
        <v>3.806542914</v>
      </c>
    </row>
    <row r="14" spans="1:3" x14ac:dyDescent="0.25">
      <c r="A14" s="6" t="s">
        <v>1080</v>
      </c>
      <c r="B14" s="6">
        <v>2.4121E-2</v>
      </c>
      <c r="C14" s="6">
        <v>0.90556224399999996</v>
      </c>
    </row>
    <row r="15" spans="1:3" x14ac:dyDescent="0.25">
      <c r="A15" s="6" t="s">
        <v>1083</v>
      </c>
      <c r="B15" s="6">
        <v>9.1920000000000002E-2</v>
      </c>
      <c r="C15" s="6">
        <v>3.1426947749999998</v>
      </c>
    </row>
    <row r="16" spans="1:3" x14ac:dyDescent="0.25">
      <c r="A16" s="6" t="s">
        <v>1088</v>
      </c>
      <c r="B16" s="6">
        <v>2.9663999999999999E-2</v>
      </c>
      <c r="C16" s="6">
        <v>4.7419602510000001</v>
      </c>
    </row>
    <row r="17" spans="1:3" x14ac:dyDescent="0.25">
      <c r="A17" s="6" t="s">
        <v>1103</v>
      </c>
      <c r="B17" s="6">
        <v>0.200632</v>
      </c>
      <c r="C17" s="6">
        <v>3.2726293530000001</v>
      </c>
    </row>
    <row r="18" spans="1:3" x14ac:dyDescent="0.25">
      <c r="A18" s="6" t="s">
        <v>1120</v>
      </c>
      <c r="B18" s="6">
        <v>5.9167999999999998E-2</v>
      </c>
      <c r="C18" s="6">
        <v>3.2376993719999998</v>
      </c>
    </row>
    <row r="19" spans="1:3" x14ac:dyDescent="0.25">
      <c r="A19" s="6" t="s">
        <v>1132</v>
      </c>
      <c r="B19" s="6">
        <v>2.0060999999999999E-2</v>
      </c>
      <c r="C19" s="6">
        <v>1.5081198330000001</v>
      </c>
    </row>
    <row r="20" spans="1:3" x14ac:dyDescent="0.25">
      <c r="A20" s="6" t="s">
        <v>1144</v>
      </c>
      <c r="B20" s="6">
        <v>0.58388499999999999</v>
      </c>
      <c r="C20" s="6">
        <v>2.5213576639999999</v>
      </c>
    </row>
    <row r="21" spans="1:3" x14ac:dyDescent="0.25">
      <c r="A21" s="6" t="s">
        <v>1148</v>
      </c>
      <c r="B21" s="6">
        <v>3.8960000000000002E-2</v>
      </c>
      <c r="C21" s="6">
        <v>0.16631743199999999</v>
      </c>
    </row>
    <row r="22" spans="1:3" x14ac:dyDescent="0.25">
      <c r="A22" s="6" t="s">
        <v>1149</v>
      </c>
      <c r="B22" s="6">
        <v>2.1992999999999999E-2</v>
      </c>
      <c r="C22" s="6">
        <v>0.16084252099999999</v>
      </c>
    </row>
    <row r="23" spans="1:3" x14ac:dyDescent="0.25">
      <c r="A23" s="6" t="s">
        <v>1176</v>
      </c>
      <c r="B23" s="6">
        <v>1.3157E-2</v>
      </c>
      <c r="C23" s="6">
        <v>3.3887824630000001</v>
      </c>
    </row>
    <row r="24" spans="1:3" x14ac:dyDescent="0.25">
      <c r="A24" s="6" t="s">
        <v>1184</v>
      </c>
      <c r="B24" s="6">
        <v>3.6290999999999997E-2</v>
      </c>
      <c r="C24" s="6">
        <v>0.59082548000000001</v>
      </c>
    </row>
    <row r="25" spans="1:3" x14ac:dyDescent="0.25">
      <c r="A25" s="6" t="s">
        <v>1209</v>
      </c>
      <c r="B25" s="6">
        <v>5.1149E-2</v>
      </c>
      <c r="C25" s="6">
        <v>0.60434244100000001</v>
      </c>
    </row>
    <row r="26" spans="1:3" x14ac:dyDescent="0.25">
      <c r="A26" s="6" t="s">
        <v>1214</v>
      </c>
      <c r="B26" s="6">
        <v>0.111358</v>
      </c>
      <c r="C26" s="6">
        <v>2.6031046519999999</v>
      </c>
    </row>
    <row r="27" spans="1:3" x14ac:dyDescent="0.25">
      <c r="A27" s="6" t="s">
        <v>1216</v>
      </c>
      <c r="B27" s="6">
        <v>8.182E-3</v>
      </c>
      <c r="C27" s="6">
        <v>2.0602621000000002E-2</v>
      </c>
    </row>
    <row r="28" spans="1:3" x14ac:dyDescent="0.25">
      <c r="A28" s="6" t="s">
        <v>1217</v>
      </c>
      <c r="B28" s="6">
        <v>0.116331</v>
      </c>
      <c r="C28" s="6">
        <v>6.3161044520000003</v>
      </c>
    </row>
    <row r="29" spans="1:3" x14ac:dyDescent="0.25">
      <c r="A29" s="6" t="s">
        <v>1222</v>
      </c>
      <c r="B29" s="6">
        <v>0.10266400000000001</v>
      </c>
      <c r="C29" s="6">
        <v>5.1165075299999998</v>
      </c>
    </row>
    <row r="30" spans="1:3" x14ac:dyDescent="0.25">
      <c r="A30" s="6" t="s">
        <v>1224</v>
      </c>
      <c r="B30" s="6">
        <v>0.177396</v>
      </c>
      <c r="C30" s="6">
        <v>10.62651923</v>
      </c>
    </row>
    <row r="31" spans="1:3" x14ac:dyDescent="0.25">
      <c r="A31" s="6" t="s">
        <v>1241</v>
      </c>
      <c r="B31" s="6">
        <v>8.856E-2</v>
      </c>
      <c r="C31" s="6">
        <v>5.1383989809999999</v>
      </c>
    </row>
    <row r="32" spans="1:3" x14ac:dyDescent="0.25">
      <c r="A32" s="6" t="s">
        <v>1261</v>
      </c>
      <c r="B32" s="6">
        <v>5.824E-2</v>
      </c>
      <c r="C32" s="6">
        <v>5.8754455060000002</v>
      </c>
    </row>
    <row r="33" spans="1:3" x14ac:dyDescent="0.25">
      <c r="A33" s="6" t="s">
        <v>1268</v>
      </c>
      <c r="B33" s="6">
        <v>5.0476E-2</v>
      </c>
      <c r="C33" s="6">
        <v>3.1149989109999998</v>
      </c>
    </row>
    <row r="34" spans="1:3" x14ac:dyDescent="0.25">
      <c r="A34" s="6" t="s">
        <v>1283</v>
      </c>
      <c r="B34" s="6">
        <v>5.7762000000000001E-2</v>
      </c>
      <c r="C34" s="6">
        <v>3.3296029620000001</v>
      </c>
    </row>
    <row r="35" spans="1:3" x14ac:dyDescent="0.25">
      <c r="A35" s="6" t="s">
        <v>1312</v>
      </c>
      <c r="B35" s="6">
        <v>5.6304E-2</v>
      </c>
      <c r="C35" s="6">
        <v>3.215215733</v>
      </c>
    </row>
    <row r="36" spans="1:3" x14ac:dyDescent="0.25">
      <c r="A36" s="6" t="s">
        <v>1316</v>
      </c>
      <c r="B36" s="6">
        <v>5.0403999999999997E-2</v>
      </c>
      <c r="C36" s="6">
        <v>1.8227666769999999</v>
      </c>
    </row>
    <row r="37" spans="1:3" x14ac:dyDescent="0.25">
      <c r="A37" s="6" t="s">
        <v>1318</v>
      </c>
      <c r="B37" s="6">
        <v>0.104088</v>
      </c>
      <c r="C37" s="6">
        <v>4.7371955269999999</v>
      </c>
    </row>
    <row r="38" spans="1:3" x14ac:dyDescent="0.25">
      <c r="A38" s="6" t="s">
        <v>1347</v>
      </c>
      <c r="B38" s="6">
        <v>4.3047000000000002E-2</v>
      </c>
      <c r="C38" s="6">
        <v>0.46333790800000002</v>
      </c>
    </row>
    <row r="39" spans="1:3" x14ac:dyDescent="0.25">
      <c r="A39" s="6" t="s">
        <v>1348</v>
      </c>
      <c r="B39" s="6">
        <v>2.0330999999999998E-2</v>
      </c>
      <c r="C39" s="6">
        <v>10.847059010000001</v>
      </c>
    </row>
    <row r="40" spans="1:3" x14ac:dyDescent="0.25">
      <c r="A40" s="6" t="s">
        <v>1351</v>
      </c>
      <c r="B40" s="6">
        <v>0.23375399999999999</v>
      </c>
      <c r="C40" s="6">
        <v>6.0421409160000001</v>
      </c>
    </row>
    <row r="41" spans="1:3" x14ac:dyDescent="0.25">
      <c r="A41" s="6" t="s">
        <v>1368</v>
      </c>
      <c r="B41" s="6">
        <v>3.8131999999999999E-2</v>
      </c>
      <c r="C41" s="6">
        <v>0.18618843600000001</v>
      </c>
    </row>
    <row r="42" spans="1:3" x14ac:dyDescent="0.25">
      <c r="A42" s="6" t="s">
        <v>1409</v>
      </c>
      <c r="B42" s="6">
        <v>8.7010000000000004E-2</v>
      </c>
      <c r="C42" s="6">
        <v>4.6562543940000003</v>
      </c>
    </row>
    <row r="43" spans="1:3" x14ac:dyDescent="0.25">
      <c r="A43" s="6" t="s">
        <v>1420</v>
      </c>
      <c r="B43" s="6">
        <v>8.4829999999999992E-3</v>
      </c>
      <c r="C43" s="6">
        <v>0.133677977</v>
      </c>
    </row>
    <row r="44" spans="1:3" x14ac:dyDescent="0.25">
      <c r="A44" s="6" t="s">
        <v>1448</v>
      </c>
      <c r="B44" s="6">
        <v>0.11816699999999999</v>
      </c>
      <c r="C44" s="6">
        <v>4.8016178700000003</v>
      </c>
    </row>
    <row r="45" spans="1:3" x14ac:dyDescent="0.25">
      <c r="A45" s="6" t="s">
        <v>1470</v>
      </c>
      <c r="B45" s="6">
        <v>2.4341999999999999E-2</v>
      </c>
      <c r="C45" s="6">
        <v>2.1432021400000001</v>
      </c>
    </row>
    <row r="46" spans="1:3" x14ac:dyDescent="0.25">
      <c r="A46" s="6" t="s">
        <v>1487</v>
      </c>
      <c r="B46" s="6">
        <v>0.120838</v>
      </c>
      <c r="C46" s="6">
        <v>6.5118519109999999</v>
      </c>
    </row>
    <row r="47" spans="1:3" x14ac:dyDescent="0.25">
      <c r="A47" s="6" t="s">
        <v>1488</v>
      </c>
      <c r="B47" s="6">
        <v>8.4227999999999997E-2</v>
      </c>
      <c r="C47" s="6">
        <v>9.3524346949999995</v>
      </c>
    </row>
    <row r="48" spans="1:3" x14ac:dyDescent="0.25">
      <c r="A48" s="6" t="s">
        <v>1491</v>
      </c>
      <c r="B48" s="6">
        <v>2.8121E-2</v>
      </c>
      <c r="C48" s="6">
        <v>7.2982445599999997</v>
      </c>
    </row>
    <row r="49" spans="1:3" x14ac:dyDescent="0.25">
      <c r="A49" s="6" t="s">
        <v>1504</v>
      </c>
      <c r="B49" s="6">
        <v>7.3219000000000006E-2</v>
      </c>
      <c r="C49" s="6">
        <v>7.5791165449999998</v>
      </c>
    </row>
    <row r="50" spans="1:3" x14ac:dyDescent="0.25">
      <c r="A50" s="6" t="s">
        <v>1506</v>
      </c>
      <c r="B50" s="6">
        <v>3.1787999999999997E-2</v>
      </c>
      <c r="C50" s="6">
        <v>0.41974781500000002</v>
      </c>
    </row>
    <row r="51" spans="1:3" x14ac:dyDescent="0.25">
      <c r="A51" s="6" t="s">
        <v>1510</v>
      </c>
      <c r="B51" s="6">
        <v>8.1018999999999994E-2</v>
      </c>
      <c r="C51" s="6">
        <v>2.1403712650000002</v>
      </c>
    </row>
    <row r="52" spans="1:3" x14ac:dyDescent="0.25">
      <c r="A52" s="6" t="s">
        <v>1524</v>
      </c>
      <c r="B52" s="6">
        <v>0.120536</v>
      </c>
      <c r="C52" s="6">
        <v>2.5479543320000002</v>
      </c>
    </row>
    <row r="53" spans="1:3" x14ac:dyDescent="0.25">
      <c r="A53" s="6" t="s">
        <v>1545</v>
      </c>
      <c r="B53" s="6">
        <v>2.8164000000000002E-2</v>
      </c>
      <c r="C53" s="6">
        <v>0.68369829599999998</v>
      </c>
    </row>
    <row r="54" spans="1:3" x14ac:dyDescent="0.25">
      <c r="A54" s="6" t="s">
        <v>1546</v>
      </c>
      <c r="B54" s="6">
        <v>4.4760000000000001E-2</v>
      </c>
      <c r="C54" s="6">
        <v>0.66039953299999998</v>
      </c>
    </row>
    <row r="55" spans="1:3" x14ac:dyDescent="0.25">
      <c r="A55" s="6" t="s">
        <v>1547</v>
      </c>
      <c r="B55" s="6">
        <v>0.65281699999999998</v>
      </c>
      <c r="C55" s="6">
        <v>17.531145710000001</v>
      </c>
    </row>
    <row r="56" spans="1:3" x14ac:dyDescent="0.25">
      <c r="A56" s="6" t="s">
        <v>1558</v>
      </c>
      <c r="B56" s="6">
        <v>3.8108000000000003E-2</v>
      </c>
      <c r="C56" s="6">
        <v>2.3006761060000001</v>
      </c>
    </row>
    <row r="57" spans="1:3" x14ac:dyDescent="0.25">
      <c r="A57" s="6" t="s">
        <v>2078</v>
      </c>
      <c r="B57" s="6">
        <v>0.13877600000000001</v>
      </c>
      <c r="C57" s="6">
        <v>8.5626556610000009</v>
      </c>
    </row>
    <row r="58" spans="1:3" x14ac:dyDescent="0.25">
      <c r="A58" s="6" t="s">
        <v>2079</v>
      </c>
      <c r="B58" s="6">
        <v>0.328455</v>
      </c>
      <c r="C58" s="6">
        <v>2.927324826</v>
      </c>
    </row>
    <row r="59" spans="1:3" x14ac:dyDescent="0.25">
      <c r="A59" s="6" t="s">
        <v>1569</v>
      </c>
      <c r="B59" s="6">
        <v>4.4075999999999997E-2</v>
      </c>
      <c r="C59" s="6">
        <v>0.39505702199999998</v>
      </c>
    </row>
    <row r="60" spans="1:3" x14ac:dyDescent="0.25">
      <c r="A60" s="6" t="s">
        <v>1574</v>
      </c>
      <c r="B60" s="6">
        <v>6.4273999999999998E-2</v>
      </c>
      <c r="C60" s="6">
        <v>1.146684485</v>
      </c>
    </row>
    <row r="61" spans="1:3" x14ac:dyDescent="0.25">
      <c r="A61" s="6" t="s">
        <v>1585</v>
      </c>
      <c r="B61" s="6">
        <v>4.0163999999999998E-2</v>
      </c>
      <c r="C61" s="6">
        <v>0.51965013500000001</v>
      </c>
    </row>
    <row r="62" spans="1:3" x14ac:dyDescent="0.25">
      <c r="A62" s="6" t="s">
        <v>1594</v>
      </c>
      <c r="B62" s="6">
        <v>6.9727999999999998E-2</v>
      </c>
      <c r="C62" s="6">
        <v>3.0560644350000001</v>
      </c>
    </row>
    <row r="63" spans="1:3" x14ac:dyDescent="0.25">
      <c r="A63" s="6" t="s">
        <v>1623</v>
      </c>
      <c r="B63" s="6">
        <v>5.0122E-2</v>
      </c>
      <c r="C63" s="6">
        <v>0.66442502800000003</v>
      </c>
    </row>
    <row r="64" spans="1:3" x14ac:dyDescent="0.25">
      <c r="A64" s="6" t="s">
        <v>1627</v>
      </c>
      <c r="B64" s="6">
        <v>2.8124E-2</v>
      </c>
      <c r="C64" s="6">
        <v>3.6876088220000001</v>
      </c>
    </row>
    <row r="65" spans="1:3" x14ac:dyDescent="0.25">
      <c r="A65" s="6" t="s">
        <v>1628</v>
      </c>
      <c r="B65" s="6">
        <v>1.7874000000000001E-2</v>
      </c>
      <c r="C65" s="6">
        <v>1.241231733</v>
      </c>
    </row>
    <row r="66" spans="1:3" x14ac:dyDescent="0.25">
      <c r="A66" s="6" t="s">
        <v>1630</v>
      </c>
      <c r="B66" s="6">
        <v>2.4117E-2</v>
      </c>
      <c r="C66" s="6">
        <v>6.0210595619999996</v>
      </c>
    </row>
    <row r="67" spans="1:3" x14ac:dyDescent="0.25">
      <c r="A67" s="6" t="s">
        <v>1631</v>
      </c>
      <c r="B67" s="6">
        <v>7.6544000000000001E-2</v>
      </c>
      <c r="C67" s="6">
        <v>2.3626227329999998</v>
      </c>
    </row>
    <row r="68" spans="1:3" x14ac:dyDescent="0.25">
      <c r="A68" s="6" t="s">
        <v>1639</v>
      </c>
      <c r="B68" s="6">
        <v>5.1048999999999997E-2</v>
      </c>
      <c r="C68" s="6">
        <v>1.8305053529999999</v>
      </c>
    </row>
    <row r="69" spans="1:3" x14ac:dyDescent="0.25">
      <c r="A69" s="6" t="s">
        <v>1640</v>
      </c>
      <c r="B69" s="6">
        <v>3.9706999999999999E-2</v>
      </c>
      <c r="C69" s="6">
        <v>3.0401393900000002</v>
      </c>
    </row>
    <row r="70" spans="1:3" x14ac:dyDescent="0.25">
      <c r="A70" s="6" t="s">
        <v>1651</v>
      </c>
      <c r="B70" s="6">
        <v>9.8793000000000006E-2</v>
      </c>
      <c r="C70" s="6">
        <v>5.6855112119999998</v>
      </c>
    </row>
    <row r="71" spans="1:3" x14ac:dyDescent="0.25">
      <c r="A71" s="6" t="s">
        <v>1654</v>
      </c>
      <c r="B71" s="6">
        <v>0.102061</v>
      </c>
      <c r="C71" s="6">
        <v>13.08323663</v>
      </c>
    </row>
    <row r="72" spans="1:3" x14ac:dyDescent="0.25">
      <c r="A72" s="6" t="s">
        <v>1657</v>
      </c>
      <c r="B72" s="6">
        <v>0.11448999999999999</v>
      </c>
      <c r="C72" s="6">
        <v>5.0978690750000002</v>
      </c>
    </row>
    <row r="73" spans="1:3" x14ac:dyDescent="0.25">
      <c r="A73" s="6" t="s">
        <v>1701</v>
      </c>
      <c r="B73" s="6">
        <v>0.18478900000000001</v>
      </c>
      <c r="C73" s="6">
        <v>3.4218645489999999</v>
      </c>
    </row>
    <row r="74" spans="1:3" x14ac:dyDescent="0.25">
      <c r="A74" s="6" t="s">
        <v>1720</v>
      </c>
      <c r="B74" s="6">
        <v>0.16275500000000001</v>
      </c>
      <c r="C74" s="6">
        <v>4.0418669400000002</v>
      </c>
    </row>
    <row r="75" spans="1:3" x14ac:dyDescent="0.25">
      <c r="A75" s="6" t="s">
        <v>1739</v>
      </c>
      <c r="B75" s="6">
        <v>5.3443999999999998E-2</v>
      </c>
      <c r="C75" s="6">
        <v>0.62661509599999998</v>
      </c>
    </row>
    <row r="76" spans="1:3" x14ac:dyDescent="0.25">
      <c r="A76" s="6" t="s">
        <v>1741</v>
      </c>
      <c r="B76" s="6">
        <v>3.3891999999999999E-2</v>
      </c>
      <c r="C76" s="6">
        <v>2.8185310000000002E-2</v>
      </c>
    </row>
    <row r="77" spans="1:3" x14ac:dyDescent="0.25">
      <c r="A77" s="6" t="s">
        <v>1778</v>
      </c>
      <c r="B77" s="6">
        <v>4.2372E-2</v>
      </c>
      <c r="C77" s="6">
        <v>4.4787971830000002</v>
      </c>
    </row>
    <row r="78" spans="1:3" x14ac:dyDescent="0.25">
      <c r="A78" s="6" t="s">
        <v>1784</v>
      </c>
      <c r="B78" s="6">
        <v>0.25315900000000002</v>
      </c>
      <c r="C78" s="6">
        <v>1.474094697</v>
      </c>
    </row>
    <row r="79" spans="1:3" x14ac:dyDescent="0.25">
      <c r="A79" s="6" t="s">
        <v>1798</v>
      </c>
      <c r="B79" s="6">
        <v>0.108361</v>
      </c>
      <c r="C79" s="6">
        <v>3.040411352</v>
      </c>
    </row>
    <row r="80" spans="1:3" x14ac:dyDescent="0.25">
      <c r="A80" s="6" t="s">
        <v>1801</v>
      </c>
      <c r="B80" s="6">
        <v>4.2125000000000003E-2</v>
      </c>
      <c r="C80" s="6">
        <v>2.1897528319999999</v>
      </c>
    </row>
    <row r="81" spans="1:3" x14ac:dyDescent="0.25">
      <c r="A81" s="6" t="s">
        <v>1812</v>
      </c>
      <c r="B81" s="6">
        <v>3.4673000000000002E-2</v>
      </c>
      <c r="C81" s="6">
        <v>1.744552238</v>
      </c>
    </row>
    <row r="82" spans="1:3" x14ac:dyDescent="0.25">
      <c r="A82" s="6" t="s">
        <v>1815</v>
      </c>
      <c r="B82" s="6">
        <v>3.3064000000000003E-2</v>
      </c>
      <c r="C82" s="6">
        <v>1.2397477100000001</v>
      </c>
    </row>
    <row r="83" spans="1:3" x14ac:dyDescent="0.25">
      <c r="A83" s="6" t="s">
        <v>1820</v>
      </c>
      <c r="B83" s="6">
        <v>0.32544099999999998</v>
      </c>
      <c r="C83" s="6">
        <v>2.9983777E-2</v>
      </c>
    </row>
    <row r="84" spans="1:3" x14ac:dyDescent="0.25">
      <c r="A84" s="6" t="s">
        <v>1826</v>
      </c>
      <c r="B84" s="6">
        <v>9.4406000000000004E-2</v>
      </c>
      <c r="C84" s="6">
        <v>3.2290564179999999</v>
      </c>
    </row>
    <row r="85" spans="1:3" x14ac:dyDescent="0.25">
      <c r="A85" s="6" t="s">
        <v>1859</v>
      </c>
      <c r="B85" s="6">
        <v>0.28695700000000002</v>
      </c>
      <c r="C85" s="6">
        <v>1.0902916970000001</v>
      </c>
    </row>
    <row r="86" spans="1:3" x14ac:dyDescent="0.25">
      <c r="A86" s="6" t="s">
        <v>2080</v>
      </c>
      <c r="B86" s="6">
        <v>4.6880999999999999E-2</v>
      </c>
      <c r="C86" s="6">
        <v>2.128658841</v>
      </c>
    </row>
    <row r="87" spans="1:3" x14ac:dyDescent="0.25">
      <c r="A87" s="6" t="s">
        <v>1889</v>
      </c>
      <c r="B87" s="6">
        <v>0.111417</v>
      </c>
      <c r="C87" s="6">
        <v>5.2953300609999996</v>
      </c>
    </row>
    <row r="88" spans="1:3" x14ac:dyDescent="0.25">
      <c r="A88" s="6" t="s">
        <v>1953</v>
      </c>
      <c r="B88" s="6">
        <v>0.104694</v>
      </c>
      <c r="C88" s="6">
        <v>12.83006198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21A75-77F8-475A-944E-8FBB3E3D59E6}">
  <dimension ref="A1:F1021"/>
  <sheetViews>
    <sheetView workbookViewId="0">
      <selection sqref="A1:F1048576"/>
    </sheetView>
  </sheetViews>
  <sheetFormatPr defaultRowHeight="14.4" x14ac:dyDescent="0.25"/>
  <cols>
    <col min="1" max="1" width="8.88671875" style="6"/>
    <col min="2" max="2" width="16" style="6" customWidth="1"/>
    <col min="3" max="3" width="14.44140625" style="6" customWidth="1"/>
    <col min="4" max="4" width="13.88671875" style="6" customWidth="1"/>
    <col min="5" max="5" width="13.44140625" style="6" customWidth="1"/>
    <col min="6" max="6" width="15.21875" style="6" customWidth="1"/>
  </cols>
  <sheetData>
    <row r="1" spans="1:6" x14ac:dyDescent="0.25">
      <c r="A1" s="6" t="s">
        <v>998</v>
      </c>
      <c r="B1" s="6" t="s">
        <v>999</v>
      </c>
      <c r="C1" s="6" t="s">
        <v>1000</v>
      </c>
      <c r="D1" s="6" t="s">
        <v>1001</v>
      </c>
      <c r="E1" s="6" t="s">
        <v>750</v>
      </c>
      <c r="F1" s="6" t="s">
        <v>751</v>
      </c>
    </row>
    <row r="2" spans="1:6" x14ac:dyDescent="0.25">
      <c r="A2" s="6" t="s">
        <v>1002</v>
      </c>
      <c r="B2" s="6">
        <v>4.9355000000000002</v>
      </c>
      <c r="C2" s="6">
        <v>12</v>
      </c>
      <c r="D2" s="6">
        <v>1.2786999999999999</v>
      </c>
      <c r="E2" s="6">
        <v>4.6269</v>
      </c>
      <c r="F2" s="6">
        <v>76</v>
      </c>
    </row>
    <row r="3" spans="1:6" x14ac:dyDescent="0.25">
      <c r="A3" s="6" t="s">
        <v>1003</v>
      </c>
      <c r="B3" s="6">
        <v>1.4658</v>
      </c>
      <c r="C3" s="6">
        <v>20</v>
      </c>
      <c r="D3" s="6">
        <v>1.5469999999999999</v>
      </c>
      <c r="E3" s="6">
        <v>4.3564999999999996</v>
      </c>
      <c r="F3" s="6">
        <v>50</v>
      </c>
    </row>
    <row r="4" spans="1:6" x14ac:dyDescent="0.25">
      <c r="A4" s="6" t="s">
        <v>1004</v>
      </c>
      <c r="B4" s="6">
        <v>0.87409999999999999</v>
      </c>
      <c r="C4" s="6">
        <v>27</v>
      </c>
      <c r="D4" s="6">
        <v>1.8697999999999999</v>
      </c>
      <c r="E4" s="6">
        <v>7.4433999999999996</v>
      </c>
      <c r="F4" s="6">
        <v>95</v>
      </c>
    </row>
    <row r="5" spans="1:6" x14ac:dyDescent="0.25">
      <c r="A5" s="6" t="s">
        <v>1005</v>
      </c>
      <c r="B5" s="6">
        <v>1.9273</v>
      </c>
      <c r="C5" s="6">
        <v>27</v>
      </c>
      <c r="D5" s="6">
        <v>2.1998000000000002</v>
      </c>
      <c r="E5" s="6">
        <v>17.187100000000001</v>
      </c>
      <c r="F5" s="6">
        <v>251</v>
      </c>
    </row>
    <row r="6" spans="1:6" x14ac:dyDescent="0.25">
      <c r="A6" s="6" t="s">
        <v>1006</v>
      </c>
      <c r="B6" s="6">
        <v>1.4774</v>
      </c>
      <c r="C6" s="6">
        <v>39</v>
      </c>
      <c r="D6" s="6">
        <v>2.4087999999999998</v>
      </c>
      <c r="E6" s="6">
        <v>8.8666</v>
      </c>
      <c r="F6" s="6">
        <v>126</v>
      </c>
    </row>
    <row r="7" spans="1:6" x14ac:dyDescent="0.25">
      <c r="A7" s="6" t="s">
        <v>1007</v>
      </c>
      <c r="B7" s="6">
        <v>0.72089999999999999</v>
      </c>
      <c r="C7" s="6">
        <v>21</v>
      </c>
      <c r="D7" s="6">
        <v>2.1408999999999998</v>
      </c>
      <c r="E7" s="6">
        <v>4.3125999999999998</v>
      </c>
      <c r="F7" s="6">
        <v>51</v>
      </c>
    </row>
    <row r="8" spans="1:6" x14ac:dyDescent="0.25">
      <c r="A8" s="6" t="s">
        <v>1008</v>
      </c>
      <c r="B8" s="6">
        <v>1.3747</v>
      </c>
      <c r="C8" s="6">
        <v>18</v>
      </c>
      <c r="D8" s="6">
        <v>2.5449000000000002</v>
      </c>
      <c r="E8" s="6">
        <v>8.1020000000000003</v>
      </c>
      <c r="F8" s="6">
        <v>103</v>
      </c>
    </row>
    <row r="9" spans="1:6" x14ac:dyDescent="0.25">
      <c r="A9" s="6" t="s">
        <v>1009</v>
      </c>
      <c r="B9" s="6">
        <v>0.8075</v>
      </c>
      <c r="C9" s="6">
        <v>27</v>
      </c>
      <c r="D9" s="6">
        <v>2.7086999999999999</v>
      </c>
      <c r="E9" s="6">
        <v>6.8617999999999997</v>
      </c>
      <c r="F9" s="6">
        <v>73</v>
      </c>
    </row>
    <row r="10" spans="1:6" x14ac:dyDescent="0.25">
      <c r="A10" s="6" t="s">
        <v>1010</v>
      </c>
      <c r="B10" s="6">
        <v>1.2841</v>
      </c>
      <c r="C10" s="6">
        <v>35</v>
      </c>
      <c r="D10" s="6">
        <v>2.4113000000000002</v>
      </c>
      <c r="E10" s="6">
        <v>7.3350999999999997</v>
      </c>
      <c r="F10" s="6">
        <v>104</v>
      </c>
    </row>
    <row r="11" spans="1:6" x14ac:dyDescent="0.25">
      <c r="A11" s="6" t="s">
        <v>1011</v>
      </c>
      <c r="B11" s="6">
        <v>0.80989999999999995</v>
      </c>
      <c r="C11" s="6">
        <v>22</v>
      </c>
      <c r="D11" s="6">
        <v>2.6034999999999999</v>
      </c>
      <c r="E11" s="6">
        <v>5.2210000000000001</v>
      </c>
      <c r="F11" s="6">
        <v>73</v>
      </c>
    </row>
    <row r="12" spans="1:6" x14ac:dyDescent="0.25">
      <c r="A12" s="6" t="s">
        <v>1012</v>
      </c>
      <c r="B12" s="6">
        <v>1.5388999999999999</v>
      </c>
      <c r="C12" s="6">
        <v>24</v>
      </c>
      <c r="D12" s="6">
        <v>1.9494</v>
      </c>
      <c r="E12" s="6">
        <v>7.3315000000000001</v>
      </c>
      <c r="F12" s="6">
        <v>99</v>
      </c>
    </row>
    <row r="13" spans="1:6" x14ac:dyDescent="0.25">
      <c r="A13" s="6" t="s">
        <v>1013</v>
      </c>
      <c r="B13" s="6">
        <v>0.86819999999999997</v>
      </c>
      <c r="C13" s="6">
        <v>23</v>
      </c>
      <c r="D13" s="6">
        <v>2.0526</v>
      </c>
      <c r="E13" s="6">
        <v>8.0969999999999995</v>
      </c>
      <c r="F13" s="6">
        <v>114</v>
      </c>
    </row>
    <row r="14" spans="1:6" x14ac:dyDescent="0.25">
      <c r="A14" s="6" t="s">
        <v>1014</v>
      </c>
      <c r="B14" s="6">
        <v>0.73799999999999999</v>
      </c>
      <c r="C14" s="6">
        <v>21</v>
      </c>
      <c r="D14" s="6">
        <v>2.2418999999999998</v>
      </c>
      <c r="E14" s="6">
        <v>5.5518999999999998</v>
      </c>
      <c r="F14" s="6">
        <v>62</v>
      </c>
    </row>
    <row r="15" spans="1:6" x14ac:dyDescent="0.25">
      <c r="A15" s="6" t="s">
        <v>1015</v>
      </c>
      <c r="B15" s="6">
        <v>2.2953000000000001</v>
      </c>
      <c r="C15" s="6">
        <v>43</v>
      </c>
      <c r="D15" s="6">
        <v>1.2411000000000001</v>
      </c>
      <c r="E15" s="6">
        <v>6.1596000000000002</v>
      </c>
      <c r="F15" s="6">
        <v>73</v>
      </c>
    </row>
    <row r="16" spans="1:6" x14ac:dyDescent="0.25">
      <c r="A16" s="6" t="s">
        <v>1016</v>
      </c>
      <c r="B16" s="6">
        <v>1.9012</v>
      </c>
      <c r="C16" s="6">
        <v>27</v>
      </c>
      <c r="D16" s="6">
        <v>2.0423</v>
      </c>
      <c r="E16" s="6">
        <v>9.5991999999999997</v>
      </c>
      <c r="F16" s="6">
        <v>147</v>
      </c>
    </row>
    <row r="17" spans="1:6" x14ac:dyDescent="0.25">
      <c r="A17" s="6" t="s">
        <v>1017</v>
      </c>
      <c r="B17" s="6">
        <v>2.2505000000000002</v>
      </c>
      <c r="C17" s="6">
        <v>30</v>
      </c>
      <c r="D17" s="6">
        <v>2.8241999999999998</v>
      </c>
      <c r="E17" s="6">
        <v>7.8894000000000002</v>
      </c>
      <c r="F17" s="6">
        <v>95</v>
      </c>
    </row>
    <row r="18" spans="1:6" x14ac:dyDescent="0.25">
      <c r="A18" s="6" t="s">
        <v>1018</v>
      </c>
      <c r="B18" s="6">
        <v>1.0242</v>
      </c>
      <c r="C18" s="6">
        <v>29</v>
      </c>
      <c r="D18" s="6">
        <v>2.7443</v>
      </c>
      <c r="E18" s="6">
        <v>16.471900000000002</v>
      </c>
      <c r="F18" s="6">
        <v>233</v>
      </c>
    </row>
    <row r="19" spans="1:6" x14ac:dyDescent="0.25">
      <c r="A19" s="6" t="s">
        <v>1019</v>
      </c>
      <c r="B19" s="6">
        <v>0.75290000000000001</v>
      </c>
      <c r="C19" s="6">
        <v>22</v>
      </c>
      <c r="D19" s="6">
        <v>2.2031000000000001</v>
      </c>
      <c r="E19" s="6">
        <v>4.3021000000000003</v>
      </c>
      <c r="F19" s="6">
        <v>38</v>
      </c>
    </row>
    <row r="20" spans="1:6" x14ac:dyDescent="0.25">
      <c r="A20" s="6" t="s">
        <v>1020</v>
      </c>
      <c r="B20" s="6">
        <v>0.85550000000000004</v>
      </c>
      <c r="C20" s="6">
        <v>29</v>
      </c>
      <c r="D20" s="6">
        <v>2.1934999999999998</v>
      </c>
      <c r="E20" s="6">
        <v>4.1863000000000001</v>
      </c>
      <c r="F20" s="6">
        <v>40</v>
      </c>
    </row>
    <row r="21" spans="1:6" x14ac:dyDescent="0.25">
      <c r="A21" s="6" t="s">
        <v>1021</v>
      </c>
      <c r="B21" s="6">
        <v>0.75270000000000004</v>
      </c>
      <c r="C21" s="6">
        <v>24</v>
      </c>
      <c r="D21" s="6">
        <v>2.3026</v>
      </c>
      <c r="E21" s="6">
        <v>11.577400000000001</v>
      </c>
      <c r="F21" s="6">
        <v>151</v>
      </c>
    </row>
    <row r="22" spans="1:6" x14ac:dyDescent="0.25">
      <c r="A22" s="6" t="s">
        <v>1022</v>
      </c>
      <c r="B22" s="6">
        <v>0.64129999999999998</v>
      </c>
      <c r="C22" s="6">
        <v>20</v>
      </c>
      <c r="D22" s="6">
        <v>2.1092</v>
      </c>
      <c r="E22" s="6">
        <v>8.2647999999999993</v>
      </c>
      <c r="F22" s="6">
        <v>110</v>
      </c>
    </row>
    <row r="23" spans="1:6" x14ac:dyDescent="0.25">
      <c r="A23" s="6" t="s">
        <v>1023</v>
      </c>
      <c r="B23" s="6">
        <v>1.3436999999999999</v>
      </c>
      <c r="C23" s="6">
        <v>39</v>
      </c>
      <c r="D23" s="6">
        <v>2.3292000000000002</v>
      </c>
      <c r="E23" s="6">
        <v>5.9574999999999996</v>
      </c>
      <c r="F23" s="6">
        <v>60</v>
      </c>
    </row>
    <row r="24" spans="1:6" x14ac:dyDescent="0.25">
      <c r="A24" s="6" t="s">
        <v>1024</v>
      </c>
      <c r="B24" s="6">
        <v>0.74960000000000004</v>
      </c>
      <c r="C24" s="6">
        <v>22</v>
      </c>
      <c r="D24" s="6">
        <v>1.6397999999999999</v>
      </c>
      <c r="E24" s="6">
        <v>3.5152999999999999</v>
      </c>
      <c r="F24" s="6">
        <v>36</v>
      </c>
    </row>
    <row r="25" spans="1:6" x14ac:dyDescent="0.25">
      <c r="A25" s="6" t="s">
        <v>1025</v>
      </c>
      <c r="B25" s="6">
        <v>0.56430000000000002</v>
      </c>
      <c r="C25" s="6">
        <v>16</v>
      </c>
      <c r="D25" s="6">
        <v>2.0606</v>
      </c>
      <c r="E25" s="6">
        <v>2.9462000000000002</v>
      </c>
      <c r="F25" s="6">
        <v>29</v>
      </c>
    </row>
    <row r="26" spans="1:6" x14ac:dyDescent="0.25">
      <c r="A26" s="6" t="s">
        <v>1026</v>
      </c>
      <c r="B26" s="6">
        <v>1.6382000000000001</v>
      </c>
      <c r="C26" s="6">
        <v>45</v>
      </c>
      <c r="D26" s="6">
        <v>2.5844</v>
      </c>
      <c r="E26" s="6">
        <v>10.3756</v>
      </c>
      <c r="F26" s="6">
        <v>134</v>
      </c>
    </row>
    <row r="27" spans="1:6" x14ac:dyDescent="0.25">
      <c r="A27" s="6" t="s">
        <v>1027</v>
      </c>
      <c r="B27" s="6">
        <v>0.9607</v>
      </c>
      <c r="C27" s="6">
        <v>26</v>
      </c>
      <c r="D27" s="6">
        <v>2.6255999999999999</v>
      </c>
      <c r="E27" s="6">
        <v>5.82</v>
      </c>
      <c r="F27" s="6">
        <v>85</v>
      </c>
    </row>
    <row r="28" spans="1:6" x14ac:dyDescent="0.25">
      <c r="A28" s="6" t="s">
        <v>1028</v>
      </c>
      <c r="B28" s="6">
        <v>1.7148000000000001</v>
      </c>
      <c r="C28" s="6">
        <v>43</v>
      </c>
      <c r="D28" s="6">
        <v>2.8129</v>
      </c>
      <c r="E28" s="6">
        <v>8.6875999999999998</v>
      </c>
      <c r="F28" s="6">
        <v>100</v>
      </c>
    </row>
    <row r="29" spans="1:6" x14ac:dyDescent="0.25">
      <c r="A29" s="6" t="s">
        <v>1029</v>
      </c>
      <c r="B29" s="6">
        <v>0.71830000000000005</v>
      </c>
      <c r="C29" s="6">
        <v>21</v>
      </c>
      <c r="D29" s="6">
        <v>2.5438999999999998</v>
      </c>
      <c r="E29" s="6">
        <v>9.2538999999999998</v>
      </c>
      <c r="F29" s="6">
        <v>134</v>
      </c>
    </row>
    <row r="30" spans="1:6" x14ac:dyDescent="0.25">
      <c r="A30" s="6" t="s">
        <v>1030</v>
      </c>
      <c r="B30" s="6">
        <v>0.59540000000000004</v>
      </c>
      <c r="C30" s="6">
        <v>18</v>
      </c>
      <c r="D30" s="6">
        <v>1.8298000000000001</v>
      </c>
      <c r="E30" s="6">
        <v>8.3201000000000001</v>
      </c>
      <c r="F30" s="6">
        <v>110</v>
      </c>
    </row>
    <row r="31" spans="1:6" x14ac:dyDescent="0.25">
      <c r="A31" s="6" t="s">
        <v>1031</v>
      </c>
      <c r="B31" s="6">
        <v>0.95379999999999998</v>
      </c>
      <c r="C31" s="6">
        <v>25</v>
      </c>
      <c r="D31" s="6">
        <v>2.3696000000000002</v>
      </c>
      <c r="E31" s="6">
        <v>7.8087</v>
      </c>
      <c r="F31" s="6">
        <v>97</v>
      </c>
    </row>
    <row r="32" spans="1:6" x14ac:dyDescent="0.25">
      <c r="A32" s="6" t="s">
        <v>1032</v>
      </c>
      <c r="B32" s="6">
        <v>1.3736999999999999</v>
      </c>
      <c r="C32" s="6">
        <v>38</v>
      </c>
      <c r="D32" s="6">
        <v>2.3738000000000001</v>
      </c>
      <c r="E32" s="6">
        <v>7.0717999999999996</v>
      </c>
      <c r="F32" s="6">
        <v>99</v>
      </c>
    </row>
    <row r="33" spans="1:6" x14ac:dyDescent="0.25">
      <c r="A33" s="6" t="s">
        <v>1033</v>
      </c>
      <c r="B33" s="6">
        <v>1.0761000000000001</v>
      </c>
      <c r="C33" s="6">
        <v>14</v>
      </c>
      <c r="D33" s="6">
        <v>1.4502999999999999</v>
      </c>
      <c r="E33" s="6">
        <v>3.7964000000000002</v>
      </c>
      <c r="F33" s="6">
        <v>39</v>
      </c>
    </row>
    <row r="34" spans="1:6" x14ac:dyDescent="0.25">
      <c r="A34" s="6" t="s">
        <v>1034</v>
      </c>
      <c r="B34" s="6">
        <v>0.52859999999999996</v>
      </c>
      <c r="C34" s="6">
        <v>15</v>
      </c>
      <c r="D34" s="6">
        <v>1.5903</v>
      </c>
      <c r="E34" s="6">
        <v>4.1920999999999999</v>
      </c>
      <c r="F34" s="6">
        <v>39</v>
      </c>
    </row>
    <row r="35" spans="1:6" x14ac:dyDescent="0.25">
      <c r="A35" s="6" t="s">
        <v>1035</v>
      </c>
      <c r="B35" s="6">
        <v>1.0078</v>
      </c>
      <c r="C35" s="6">
        <v>28</v>
      </c>
      <c r="D35" s="6">
        <v>1.9642999999999999</v>
      </c>
      <c r="E35" s="6">
        <v>7.8776000000000002</v>
      </c>
      <c r="F35" s="6">
        <v>94</v>
      </c>
    </row>
    <row r="36" spans="1:6" x14ac:dyDescent="0.25">
      <c r="A36" s="6" t="s">
        <v>1036</v>
      </c>
      <c r="B36" s="6">
        <v>0.65200000000000002</v>
      </c>
      <c r="C36" s="6">
        <v>19</v>
      </c>
      <c r="D36" s="6">
        <v>1.6737</v>
      </c>
      <c r="E36" s="6">
        <v>4.4501999999999997</v>
      </c>
      <c r="F36" s="6">
        <v>41</v>
      </c>
    </row>
    <row r="37" spans="1:6" x14ac:dyDescent="0.25">
      <c r="A37" s="6" t="s">
        <v>1037</v>
      </c>
      <c r="B37" s="6">
        <v>0.51439999999999997</v>
      </c>
      <c r="C37" s="6">
        <v>16</v>
      </c>
      <c r="D37" s="6">
        <v>1.7396</v>
      </c>
      <c r="E37" s="6">
        <v>3.9695</v>
      </c>
      <c r="F37" s="6">
        <v>39</v>
      </c>
    </row>
    <row r="38" spans="1:6" x14ac:dyDescent="0.25">
      <c r="A38" s="6" t="s">
        <v>1038</v>
      </c>
      <c r="B38" s="6">
        <v>1.1440999999999999</v>
      </c>
      <c r="C38" s="6">
        <v>31</v>
      </c>
      <c r="D38" s="6">
        <v>2.4590999999999998</v>
      </c>
      <c r="E38" s="6">
        <v>7.5659999999999998</v>
      </c>
      <c r="F38" s="6">
        <v>82</v>
      </c>
    </row>
    <row r="39" spans="1:6" x14ac:dyDescent="0.25">
      <c r="A39" s="6" t="s">
        <v>1039</v>
      </c>
      <c r="B39" s="6">
        <v>0.77</v>
      </c>
      <c r="C39" s="6">
        <v>26</v>
      </c>
      <c r="D39" s="6">
        <v>2.4129999999999998</v>
      </c>
      <c r="E39" s="6">
        <v>11.402799999999999</v>
      </c>
      <c r="F39" s="6">
        <v>149</v>
      </c>
    </row>
    <row r="40" spans="1:6" x14ac:dyDescent="0.25">
      <c r="A40" s="6" t="s">
        <v>1040</v>
      </c>
      <c r="B40" s="6">
        <v>3.2176999999999998</v>
      </c>
      <c r="C40" s="6">
        <v>60</v>
      </c>
      <c r="D40" s="6">
        <v>3.2793999999999999</v>
      </c>
      <c r="E40" s="6">
        <v>6.5651000000000002</v>
      </c>
      <c r="F40" s="6">
        <v>57</v>
      </c>
    </row>
    <row r="41" spans="1:6" x14ac:dyDescent="0.25">
      <c r="A41" s="6" t="s">
        <v>1041</v>
      </c>
      <c r="B41" s="6">
        <v>2.5038</v>
      </c>
      <c r="C41" s="6">
        <v>58</v>
      </c>
      <c r="D41" s="6">
        <v>3.2705000000000002</v>
      </c>
      <c r="E41" s="6">
        <v>8.9724000000000004</v>
      </c>
      <c r="F41" s="6">
        <v>105</v>
      </c>
    </row>
    <row r="42" spans="1:6" x14ac:dyDescent="0.25">
      <c r="A42" s="6" t="s">
        <v>1042</v>
      </c>
      <c r="B42" s="6">
        <v>0.70150000000000001</v>
      </c>
      <c r="C42" s="6">
        <v>20</v>
      </c>
      <c r="D42" s="6">
        <v>2.5232999999999999</v>
      </c>
      <c r="E42" s="6">
        <v>9.4039999999999999</v>
      </c>
      <c r="F42" s="6">
        <v>128</v>
      </c>
    </row>
    <row r="43" spans="1:6" x14ac:dyDescent="0.25">
      <c r="A43" s="6" t="s">
        <v>1043</v>
      </c>
      <c r="B43" s="6">
        <v>1.1287</v>
      </c>
      <c r="C43" s="6">
        <v>34</v>
      </c>
      <c r="D43" s="6">
        <v>2.4630000000000001</v>
      </c>
      <c r="E43" s="6">
        <v>5.5980999999999996</v>
      </c>
      <c r="F43" s="6">
        <v>49</v>
      </c>
    </row>
    <row r="44" spans="1:6" x14ac:dyDescent="0.25">
      <c r="A44" s="6" t="s">
        <v>1044</v>
      </c>
      <c r="B44" s="6">
        <v>0.62649999999999995</v>
      </c>
      <c r="C44" s="6">
        <v>19</v>
      </c>
      <c r="D44" s="6">
        <v>2.2770000000000001</v>
      </c>
      <c r="E44" s="6">
        <v>5.4916999999999998</v>
      </c>
      <c r="F44" s="6">
        <v>69</v>
      </c>
    </row>
    <row r="45" spans="1:6" x14ac:dyDescent="0.25">
      <c r="A45" s="6" t="s">
        <v>1045</v>
      </c>
      <c r="B45" s="6">
        <v>0.85919999999999996</v>
      </c>
      <c r="C45" s="6">
        <v>25</v>
      </c>
      <c r="D45" s="6">
        <v>2.5756000000000001</v>
      </c>
      <c r="E45" s="6">
        <v>8.4071999999999996</v>
      </c>
      <c r="F45" s="6">
        <v>104</v>
      </c>
    </row>
    <row r="46" spans="1:6" x14ac:dyDescent="0.25">
      <c r="A46" s="6" t="s">
        <v>1046</v>
      </c>
      <c r="B46" s="6">
        <v>0.68030000000000002</v>
      </c>
      <c r="C46" s="6">
        <v>22</v>
      </c>
      <c r="D46" s="6">
        <v>2.6894</v>
      </c>
      <c r="E46" s="6">
        <v>6.3627000000000002</v>
      </c>
      <c r="F46" s="6">
        <v>70</v>
      </c>
    </row>
    <row r="47" spans="1:6" x14ac:dyDescent="0.25">
      <c r="A47" s="6" t="s">
        <v>1047</v>
      </c>
      <c r="B47" s="6">
        <v>1.1515</v>
      </c>
      <c r="C47" s="6">
        <v>30</v>
      </c>
      <c r="D47" s="6">
        <v>2.8767</v>
      </c>
      <c r="E47" s="6">
        <v>10.1067</v>
      </c>
      <c r="F47" s="6">
        <v>141</v>
      </c>
    </row>
    <row r="48" spans="1:6" x14ac:dyDescent="0.25">
      <c r="A48" s="6" t="s">
        <v>1048</v>
      </c>
      <c r="B48" s="6">
        <v>0.74350000000000005</v>
      </c>
      <c r="C48" s="6">
        <v>21</v>
      </c>
      <c r="D48" s="6">
        <v>2.91</v>
      </c>
      <c r="E48" s="6">
        <v>7.7957000000000001</v>
      </c>
      <c r="F48" s="6">
        <v>105</v>
      </c>
    </row>
    <row r="49" spans="1:6" x14ac:dyDescent="0.25">
      <c r="A49" s="6" t="s">
        <v>1049</v>
      </c>
      <c r="B49" s="6">
        <v>2.0788000000000002</v>
      </c>
      <c r="C49" s="6">
        <v>49</v>
      </c>
      <c r="D49" s="6">
        <v>2.5236000000000001</v>
      </c>
      <c r="E49" s="6">
        <v>12.215</v>
      </c>
      <c r="F49" s="6">
        <v>138</v>
      </c>
    </row>
    <row r="50" spans="1:6" x14ac:dyDescent="0.25">
      <c r="A50" s="6" t="s">
        <v>1050</v>
      </c>
      <c r="B50" s="6">
        <v>0.92490000000000006</v>
      </c>
      <c r="C50" s="6">
        <v>23</v>
      </c>
      <c r="D50" s="6">
        <v>2.3794</v>
      </c>
      <c r="E50" s="6">
        <v>7.8479999999999999</v>
      </c>
      <c r="F50" s="6">
        <v>86</v>
      </c>
    </row>
    <row r="51" spans="1:6" x14ac:dyDescent="0.25">
      <c r="A51" s="6" t="s">
        <v>1051</v>
      </c>
      <c r="B51" s="6">
        <v>1.5083</v>
      </c>
      <c r="C51" s="6">
        <v>38</v>
      </c>
      <c r="D51" s="6">
        <v>2.2023000000000001</v>
      </c>
      <c r="E51" s="6">
        <v>9.3924000000000003</v>
      </c>
      <c r="F51" s="6">
        <v>118</v>
      </c>
    </row>
    <row r="52" spans="1:6" x14ac:dyDescent="0.25">
      <c r="A52" s="6" t="s">
        <v>1052</v>
      </c>
      <c r="B52" s="6">
        <v>3.7284000000000002</v>
      </c>
      <c r="C52" s="6">
        <v>62</v>
      </c>
      <c r="D52" s="6">
        <v>3.6337000000000002</v>
      </c>
      <c r="E52" s="6">
        <v>7.8856999999999999</v>
      </c>
      <c r="F52" s="6">
        <v>89</v>
      </c>
    </row>
    <row r="53" spans="1:6" x14ac:dyDescent="0.25">
      <c r="A53" s="6" t="s">
        <v>1053</v>
      </c>
      <c r="B53" s="6">
        <v>1.1898</v>
      </c>
      <c r="C53" s="6">
        <v>36</v>
      </c>
      <c r="D53" s="6">
        <v>2.0257999999999998</v>
      </c>
      <c r="E53" s="6">
        <v>8.8826000000000001</v>
      </c>
      <c r="F53" s="6">
        <v>124</v>
      </c>
    </row>
    <row r="54" spans="1:6" x14ac:dyDescent="0.25">
      <c r="A54" s="6" t="s">
        <v>1054</v>
      </c>
      <c r="B54" s="6">
        <v>1.77</v>
      </c>
      <c r="C54" s="6">
        <v>50</v>
      </c>
      <c r="D54" s="6">
        <v>1.889</v>
      </c>
      <c r="E54" s="6">
        <v>9.3043999999999993</v>
      </c>
      <c r="F54" s="6">
        <v>119</v>
      </c>
    </row>
    <row r="55" spans="1:6" x14ac:dyDescent="0.25">
      <c r="A55" s="6" t="s">
        <v>1055</v>
      </c>
      <c r="B55" s="6">
        <v>1.2099</v>
      </c>
      <c r="C55" s="6">
        <v>34</v>
      </c>
      <c r="D55" s="6">
        <v>2.6074999999999999</v>
      </c>
      <c r="E55" s="6">
        <v>6.7103999999999999</v>
      </c>
      <c r="F55" s="6">
        <v>82</v>
      </c>
    </row>
    <row r="56" spans="1:6" x14ac:dyDescent="0.25">
      <c r="A56" s="6" t="s">
        <v>1056</v>
      </c>
      <c r="B56" s="6">
        <v>1.5799000000000001</v>
      </c>
      <c r="C56" s="6">
        <v>40</v>
      </c>
      <c r="D56" s="6">
        <v>3.3511000000000002</v>
      </c>
      <c r="E56" s="6">
        <v>11.745699999999999</v>
      </c>
      <c r="F56" s="6">
        <v>165</v>
      </c>
    </row>
    <row r="57" spans="1:6" x14ac:dyDescent="0.25">
      <c r="A57" s="6" t="s">
        <v>1057</v>
      </c>
      <c r="B57" s="6">
        <v>2.4750999999999999</v>
      </c>
      <c r="C57" s="6">
        <v>51</v>
      </c>
      <c r="D57" s="6">
        <v>3.4436</v>
      </c>
      <c r="E57" s="6">
        <v>11.278</v>
      </c>
      <c r="F57" s="6">
        <v>154</v>
      </c>
    </row>
    <row r="58" spans="1:6" x14ac:dyDescent="0.25">
      <c r="A58" s="6" t="s">
        <v>1058</v>
      </c>
      <c r="B58" s="6">
        <v>1.3846000000000001</v>
      </c>
      <c r="C58" s="6">
        <v>34</v>
      </c>
      <c r="D58" s="6">
        <v>2.6067999999999998</v>
      </c>
      <c r="E58" s="6">
        <v>14.629</v>
      </c>
      <c r="F58" s="6">
        <v>198</v>
      </c>
    </row>
    <row r="59" spans="1:6" x14ac:dyDescent="0.25">
      <c r="A59" s="6" t="s">
        <v>1059</v>
      </c>
      <c r="B59" s="6">
        <v>0.83720000000000006</v>
      </c>
      <c r="C59" s="6">
        <v>25</v>
      </c>
      <c r="D59" s="6">
        <v>2.6461999999999999</v>
      </c>
      <c r="E59" s="6">
        <v>10.3726</v>
      </c>
      <c r="F59" s="6">
        <v>144</v>
      </c>
    </row>
    <row r="60" spans="1:6" x14ac:dyDescent="0.25">
      <c r="A60" s="6" t="s">
        <v>1060</v>
      </c>
      <c r="B60" s="6">
        <v>2.2267999999999999</v>
      </c>
      <c r="C60" s="6">
        <v>56</v>
      </c>
      <c r="D60" s="6">
        <v>2.5063</v>
      </c>
      <c r="E60" s="6">
        <v>6.1574</v>
      </c>
      <c r="F60" s="6">
        <v>60</v>
      </c>
    </row>
    <row r="61" spans="1:6" x14ac:dyDescent="0.25">
      <c r="A61" s="6" t="s">
        <v>1061</v>
      </c>
      <c r="B61" s="6">
        <v>1.4945999999999999</v>
      </c>
      <c r="C61" s="6">
        <v>39</v>
      </c>
      <c r="D61" s="6">
        <v>2.4371</v>
      </c>
      <c r="E61" s="6">
        <v>13.441700000000001</v>
      </c>
      <c r="F61" s="6">
        <v>176</v>
      </c>
    </row>
    <row r="62" spans="1:6" x14ac:dyDescent="0.25">
      <c r="A62" s="6" t="s">
        <v>1062</v>
      </c>
      <c r="B62" s="6">
        <v>0.75009999999999999</v>
      </c>
      <c r="C62" s="6">
        <v>26</v>
      </c>
      <c r="D62" s="6">
        <v>1.9198</v>
      </c>
      <c r="E62" s="6">
        <v>5.8971</v>
      </c>
      <c r="F62" s="6">
        <v>96</v>
      </c>
    </row>
    <row r="63" spans="1:6" x14ac:dyDescent="0.25">
      <c r="A63" s="6" t="s">
        <v>1063</v>
      </c>
      <c r="B63" s="6">
        <v>0.88859999999999995</v>
      </c>
      <c r="C63" s="6">
        <v>25</v>
      </c>
      <c r="D63" s="6">
        <v>2.2035</v>
      </c>
      <c r="E63" s="6">
        <v>8.8869000000000007</v>
      </c>
      <c r="F63" s="6">
        <v>129</v>
      </c>
    </row>
    <row r="64" spans="1:6" x14ac:dyDescent="0.25">
      <c r="A64" s="6" t="s">
        <v>1064</v>
      </c>
      <c r="B64" s="6">
        <v>0.74380000000000002</v>
      </c>
      <c r="C64" s="6">
        <v>21</v>
      </c>
      <c r="D64" s="6">
        <v>2.1316999999999999</v>
      </c>
      <c r="E64" s="6">
        <v>4.1609999999999996</v>
      </c>
      <c r="F64" s="6">
        <v>40</v>
      </c>
    </row>
    <row r="65" spans="1:6" x14ac:dyDescent="0.25">
      <c r="A65" s="6" t="s">
        <v>1065</v>
      </c>
      <c r="B65" s="6">
        <v>0.95420000000000005</v>
      </c>
      <c r="C65" s="6">
        <v>26</v>
      </c>
      <c r="D65" s="6">
        <v>2.3155999999999999</v>
      </c>
      <c r="E65" s="6">
        <v>5.0465</v>
      </c>
      <c r="F65" s="6">
        <v>53</v>
      </c>
    </row>
    <row r="66" spans="1:6" x14ac:dyDescent="0.25">
      <c r="A66" s="6" t="s">
        <v>1066</v>
      </c>
      <c r="B66" s="6">
        <v>0.68589999999999995</v>
      </c>
      <c r="C66" s="6">
        <v>20</v>
      </c>
      <c r="D66" s="6">
        <v>2.5838000000000001</v>
      </c>
      <c r="E66" s="6">
        <v>8.6113999999999997</v>
      </c>
      <c r="F66" s="6">
        <v>117</v>
      </c>
    </row>
    <row r="67" spans="1:6" x14ac:dyDescent="0.25">
      <c r="A67" s="6" t="s">
        <v>1067</v>
      </c>
      <c r="B67" s="6">
        <v>1.2818000000000001</v>
      </c>
      <c r="C67" s="6">
        <v>31</v>
      </c>
      <c r="D67" s="6">
        <v>2.6408999999999998</v>
      </c>
      <c r="E67" s="6">
        <v>9.4963999999999995</v>
      </c>
      <c r="F67" s="6">
        <v>128</v>
      </c>
    </row>
    <row r="68" spans="1:6" x14ac:dyDescent="0.25">
      <c r="A68" s="6" t="s">
        <v>1068</v>
      </c>
      <c r="B68" s="6">
        <v>0.98519999999999996</v>
      </c>
      <c r="C68" s="6">
        <v>29</v>
      </c>
      <c r="D68" s="6">
        <v>2.5198999999999998</v>
      </c>
      <c r="E68" s="6">
        <v>4.0850999999999997</v>
      </c>
      <c r="F68" s="6">
        <v>32</v>
      </c>
    </row>
    <row r="69" spans="1:6" x14ac:dyDescent="0.25">
      <c r="A69" s="6" t="s">
        <v>1069</v>
      </c>
      <c r="B69" s="6">
        <v>0.77390000000000003</v>
      </c>
      <c r="C69" s="6">
        <v>23</v>
      </c>
      <c r="D69" s="6">
        <v>2.1048</v>
      </c>
      <c r="E69" s="6">
        <v>9.1660000000000004</v>
      </c>
      <c r="F69" s="6">
        <v>124</v>
      </c>
    </row>
    <row r="70" spans="1:6" x14ac:dyDescent="0.25">
      <c r="A70" s="6" t="s">
        <v>1070</v>
      </c>
      <c r="B70" s="6">
        <v>1.5716000000000001</v>
      </c>
      <c r="C70" s="6">
        <v>42</v>
      </c>
      <c r="D70" s="6">
        <v>2.5144000000000002</v>
      </c>
      <c r="E70" s="6">
        <v>10.3368</v>
      </c>
      <c r="F70" s="6">
        <v>120</v>
      </c>
    </row>
    <row r="71" spans="1:6" x14ac:dyDescent="0.25">
      <c r="A71" s="6" t="s">
        <v>1071</v>
      </c>
      <c r="B71" s="6">
        <v>0.77869999999999995</v>
      </c>
      <c r="C71" s="6">
        <v>18</v>
      </c>
      <c r="D71" s="6">
        <v>2.6979000000000002</v>
      </c>
      <c r="E71" s="6">
        <v>6.6010999999999997</v>
      </c>
      <c r="F71" s="6">
        <v>71</v>
      </c>
    </row>
    <row r="72" spans="1:6" x14ac:dyDescent="0.25">
      <c r="A72" s="6" t="s">
        <v>1072</v>
      </c>
      <c r="B72" s="6">
        <v>1.2040999999999999</v>
      </c>
      <c r="C72" s="6">
        <v>34</v>
      </c>
      <c r="D72" s="6">
        <v>2.0726</v>
      </c>
      <c r="E72" s="6">
        <v>8.5751000000000008</v>
      </c>
      <c r="F72" s="6">
        <v>114</v>
      </c>
    </row>
    <row r="73" spans="1:6" x14ac:dyDescent="0.25">
      <c r="A73" s="6" t="s">
        <v>1073</v>
      </c>
      <c r="B73" s="6">
        <v>0.73429999999999995</v>
      </c>
      <c r="C73" s="6">
        <v>19</v>
      </c>
      <c r="D73" s="6">
        <v>2.4045999999999998</v>
      </c>
      <c r="E73" s="6">
        <v>7.0987</v>
      </c>
      <c r="F73" s="6">
        <v>78</v>
      </c>
    </row>
    <row r="74" spans="1:6" x14ac:dyDescent="0.25">
      <c r="A74" s="6" t="s">
        <v>1074</v>
      </c>
      <c r="B74" s="6">
        <v>1.9918</v>
      </c>
      <c r="C74" s="6">
        <v>35</v>
      </c>
      <c r="D74" s="6">
        <v>2.8439000000000001</v>
      </c>
      <c r="E74" s="6">
        <v>8.0112000000000005</v>
      </c>
      <c r="F74" s="6">
        <v>92</v>
      </c>
    </row>
    <row r="75" spans="1:6" x14ac:dyDescent="0.25">
      <c r="A75" s="6" t="s">
        <v>1075</v>
      </c>
      <c r="B75" s="6">
        <v>0.54890000000000005</v>
      </c>
      <c r="C75" s="6">
        <v>19</v>
      </c>
      <c r="D75" s="6">
        <v>2.0314000000000001</v>
      </c>
      <c r="E75" s="6">
        <v>5.2778</v>
      </c>
      <c r="F75" s="6">
        <v>47</v>
      </c>
    </row>
    <row r="76" spans="1:6" x14ac:dyDescent="0.25">
      <c r="A76" s="6" t="s">
        <v>1076</v>
      </c>
      <c r="B76" s="6">
        <v>0.70030000000000003</v>
      </c>
      <c r="C76" s="6">
        <v>20</v>
      </c>
      <c r="D76" s="6">
        <v>2.3073999999999999</v>
      </c>
      <c r="E76" s="6">
        <v>6.8928000000000003</v>
      </c>
      <c r="F76" s="6">
        <v>78</v>
      </c>
    </row>
    <row r="77" spans="1:6" x14ac:dyDescent="0.25">
      <c r="A77" s="6" t="s">
        <v>1077</v>
      </c>
      <c r="B77" s="6">
        <v>0.85409999999999997</v>
      </c>
      <c r="C77" s="6">
        <v>25</v>
      </c>
      <c r="D77" s="6">
        <v>2.2658</v>
      </c>
      <c r="E77" s="6">
        <v>5.6839000000000004</v>
      </c>
      <c r="F77" s="6">
        <v>68</v>
      </c>
    </row>
    <row r="78" spans="1:6" x14ac:dyDescent="0.25">
      <c r="A78" s="6" t="s">
        <v>1078</v>
      </c>
      <c r="B78" s="6">
        <v>0.83630000000000004</v>
      </c>
      <c r="C78" s="6">
        <v>25</v>
      </c>
      <c r="D78" s="6">
        <v>2.3132999999999999</v>
      </c>
      <c r="E78" s="6">
        <v>10.316000000000001</v>
      </c>
      <c r="F78" s="6">
        <v>158</v>
      </c>
    </row>
    <row r="79" spans="1:6" x14ac:dyDescent="0.25">
      <c r="A79" s="6" t="s">
        <v>1079</v>
      </c>
      <c r="B79" s="6">
        <v>0.86899999999999999</v>
      </c>
      <c r="C79" s="6">
        <v>26</v>
      </c>
      <c r="D79" s="6">
        <v>2.3953000000000002</v>
      </c>
      <c r="E79" s="6">
        <v>3.9935</v>
      </c>
      <c r="F79" s="6">
        <v>38</v>
      </c>
    </row>
    <row r="80" spans="1:6" x14ac:dyDescent="0.25">
      <c r="A80" s="6" t="s">
        <v>1080</v>
      </c>
      <c r="B80" s="6">
        <v>1.1364000000000001</v>
      </c>
      <c r="C80" s="6">
        <v>32</v>
      </c>
      <c r="D80" s="6">
        <v>2.4079000000000002</v>
      </c>
      <c r="E80" s="6">
        <v>6.8403999999999998</v>
      </c>
      <c r="F80" s="6">
        <v>90</v>
      </c>
    </row>
    <row r="81" spans="1:6" x14ac:dyDescent="0.25">
      <c r="A81" s="6" t="s">
        <v>1081</v>
      </c>
      <c r="B81" s="6">
        <v>1.3143</v>
      </c>
      <c r="C81" s="6">
        <v>34</v>
      </c>
      <c r="D81" s="6">
        <v>2.6433</v>
      </c>
      <c r="E81" s="6">
        <v>11.255800000000001</v>
      </c>
      <c r="F81" s="6">
        <v>141</v>
      </c>
    </row>
    <row r="82" spans="1:6" x14ac:dyDescent="0.25">
      <c r="A82" s="6" t="s">
        <v>1082</v>
      </c>
      <c r="B82" s="6">
        <v>0.46479999999999999</v>
      </c>
      <c r="C82" s="6">
        <v>17</v>
      </c>
      <c r="D82" s="6">
        <v>1.4349000000000001</v>
      </c>
      <c r="E82" s="6">
        <v>3.2471999999999999</v>
      </c>
      <c r="F82" s="6">
        <v>33</v>
      </c>
    </row>
    <row r="83" spans="1:6" x14ac:dyDescent="0.25">
      <c r="A83" s="6" t="s">
        <v>1083</v>
      </c>
      <c r="B83" s="6">
        <v>1.1732</v>
      </c>
      <c r="C83" s="6">
        <v>34</v>
      </c>
      <c r="D83" s="6">
        <v>2.3134000000000001</v>
      </c>
      <c r="E83" s="6">
        <v>10.1563</v>
      </c>
      <c r="F83" s="6">
        <v>125</v>
      </c>
    </row>
    <row r="84" spans="1:6" x14ac:dyDescent="0.25">
      <c r="A84" s="6" t="s">
        <v>1084</v>
      </c>
      <c r="B84" s="6">
        <v>0.70320000000000005</v>
      </c>
      <c r="C84" s="6">
        <v>24</v>
      </c>
      <c r="D84" s="6">
        <v>2.1617999999999999</v>
      </c>
      <c r="E84" s="6">
        <v>7.1795999999999998</v>
      </c>
      <c r="F84" s="6">
        <v>100</v>
      </c>
    </row>
    <row r="85" spans="1:6" x14ac:dyDescent="0.25">
      <c r="A85" s="6" t="s">
        <v>1085</v>
      </c>
      <c r="B85" s="6">
        <v>1.603</v>
      </c>
      <c r="C85" s="6">
        <v>36</v>
      </c>
      <c r="D85" s="6">
        <v>2.8186</v>
      </c>
      <c r="E85" s="6">
        <v>9.5429999999999993</v>
      </c>
      <c r="F85" s="6">
        <v>108</v>
      </c>
    </row>
    <row r="86" spans="1:6" x14ac:dyDescent="0.25">
      <c r="A86" s="6" t="s">
        <v>1086</v>
      </c>
      <c r="B86" s="6">
        <v>2.9098000000000002</v>
      </c>
      <c r="C86" s="6">
        <v>66</v>
      </c>
      <c r="D86" s="6">
        <v>2.5937000000000001</v>
      </c>
      <c r="E86" s="6">
        <v>8.5275999999999996</v>
      </c>
      <c r="F86" s="6">
        <v>111</v>
      </c>
    </row>
    <row r="87" spans="1:6" x14ac:dyDescent="0.25">
      <c r="A87" s="6" t="s">
        <v>1087</v>
      </c>
      <c r="B87" s="6">
        <v>1.0688</v>
      </c>
      <c r="C87" s="6">
        <v>30</v>
      </c>
      <c r="D87" s="6">
        <v>2.0644</v>
      </c>
      <c r="E87" s="6">
        <v>5.4448999999999996</v>
      </c>
      <c r="F87" s="6">
        <v>65</v>
      </c>
    </row>
    <row r="88" spans="1:6" x14ac:dyDescent="0.25">
      <c r="A88" s="6" t="s">
        <v>1088</v>
      </c>
      <c r="B88" s="6">
        <v>1.1544000000000001</v>
      </c>
      <c r="C88" s="6">
        <v>32</v>
      </c>
      <c r="D88" s="6">
        <v>2.2803</v>
      </c>
      <c r="E88" s="6">
        <v>12.0038</v>
      </c>
      <c r="F88" s="6">
        <v>174</v>
      </c>
    </row>
    <row r="89" spans="1:6" x14ac:dyDescent="0.25">
      <c r="A89" s="6" t="s">
        <v>1089</v>
      </c>
      <c r="B89" s="6">
        <v>1.6147</v>
      </c>
      <c r="C89" s="6">
        <v>45</v>
      </c>
      <c r="D89" s="6">
        <v>2.2753000000000001</v>
      </c>
      <c r="E89" s="6">
        <v>9.2515000000000001</v>
      </c>
      <c r="F89" s="6">
        <v>130</v>
      </c>
    </row>
    <row r="90" spans="1:6" x14ac:dyDescent="0.25">
      <c r="A90" s="6" t="s">
        <v>1090</v>
      </c>
      <c r="B90" s="6">
        <v>0.96689999999999998</v>
      </c>
      <c r="C90" s="6">
        <v>28</v>
      </c>
      <c r="D90" s="6">
        <v>2.5047999999999999</v>
      </c>
      <c r="E90" s="6">
        <v>5.8724999999999996</v>
      </c>
      <c r="F90" s="6">
        <v>48</v>
      </c>
    </row>
    <row r="91" spans="1:6" x14ac:dyDescent="0.25">
      <c r="A91" s="6" t="s">
        <v>1091</v>
      </c>
      <c r="B91" s="6">
        <v>1.1541999999999999</v>
      </c>
      <c r="C91" s="6">
        <v>33</v>
      </c>
      <c r="D91" s="6">
        <v>2.1789999999999998</v>
      </c>
      <c r="E91" s="6">
        <v>7.4880000000000004</v>
      </c>
      <c r="F91" s="6">
        <v>78</v>
      </c>
    </row>
    <row r="92" spans="1:6" x14ac:dyDescent="0.25">
      <c r="A92" s="6" t="s">
        <v>1092</v>
      </c>
      <c r="B92" s="6">
        <v>0.69169999999999998</v>
      </c>
      <c r="C92" s="6">
        <v>19</v>
      </c>
      <c r="D92" s="6">
        <v>2.3342000000000001</v>
      </c>
      <c r="E92" s="6">
        <v>3.3378000000000001</v>
      </c>
      <c r="F92" s="6">
        <v>38</v>
      </c>
    </row>
    <row r="93" spans="1:6" x14ac:dyDescent="0.25">
      <c r="A93" s="6" t="s">
        <v>1093</v>
      </c>
      <c r="B93" s="6">
        <v>1.3745000000000001</v>
      </c>
      <c r="C93" s="6">
        <v>37</v>
      </c>
      <c r="D93" s="6">
        <v>1.9533</v>
      </c>
      <c r="E93" s="6">
        <v>9.0850000000000009</v>
      </c>
      <c r="F93" s="6">
        <v>126</v>
      </c>
    </row>
    <row r="94" spans="1:6" x14ac:dyDescent="0.25">
      <c r="A94" s="6" t="s">
        <v>1094</v>
      </c>
      <c r="B94" s="6">
        <v>1.4554</v>
      </c>
      <c r="C94" s="6">
        <v>36</v>
      </c>
      <c r="D94" s="6">
        <v>2.2486000000000002</v>
      </c>
      <c r="E94" s="6">
        <v>8.5153999999999996</v>
      </c>
      <c r="F94" s="6">
        <v>123</v>
      </c>
    </row>
    <row r="95" spans="1:6" x14ac:dyDescent="0.25">
      <c r="A95" s="6" t="s">
        <v>1095</v>
      </c>
      <c r="B95" s="6">
        <v>1.7263999999999999</v>
      </c>
      <c r="C95" s="6">
        <v>45</v>
      </c>
      <c r="D95" s="6">
        <v>2.4196</v>
      </c>
      <c r="E95" s="6">
        <v>9.2019000000000002</v>
      </c>
      <c r="F95" s="6">
        <v>114</v>
      </c>
    </row>
    <row r="96" spans="1:6" x14ac:dyDescent="0.25">
      <c r="A96" s="6" t="s">
        <v>1096</v>
      </c>
      <c r="B96" s="6">
        <v>1.1932</v>
      </c>
      <c r="C96" s="6">
        <v>35</v>
      </c>
      <c r="D96" s="6">
        <v>2.1002000000000001</v>
      </c>
      <c r="E96" s="6">
        <v>7.7869999999999999</v>
      </c>
      <c r="F96" s="6">
        <v>93</v>
      </c>
    </row>
    <row r="97" spans="1:6" x14ac:dyDescent="0.25">
      <c r="A97" s="6" t="s">
        <v>1097</v>
      </c>
      <c r="B97" s="6">
        <v>0.62919999999999998</v>
      </c>
      <c r="C97" s="6">
        <v>17</v>
      </c>
      <c r="D97" s="6">
        <v>2.2136999999999998</v>
      </c>
      <c r="E97" s="6">
        <v>8.0533000000000001</v>
      </c>
      <c r="F97" s="6">
        <v>108</v>
      </c>
    </row>
    <row r="98" spans="1:6" x14ac:dyDescent="0.25">
      <c r="A98" s="6" t="s">
        <v>1098</v>
      </c>
      <c r="B98" s="6">
        <v>0.89700000000000002</v>
      </c>
      <c r="C98" s="6">
        <v>23</v>
      </c>
      <c r="D98" s="6">
        <v>2.3833000000000002</v>
      </c>
      <c r="E98" s="6">
        <v>10.173</v>
      </c>
      <c r="F98" s="6">
        <v>138</v>
      </c>
    </row>
    <row r="99" spans="1:6" x14ac:dyDescent="0.25">
      <c r="A99" s="6" t="s">
        <v>1099</v>
      </c>
      <c r="B99" s="6">
        <v>0.65259999999999996</v>
      </c>
      <c r="C99" s="6">
        <v>21</v>
      </c>
      <c r="D99" s="6">
        <v>1.4972000000000001</v>
      </c>
      <c r="E99" s="6">
        <v>9.7962000000000007</v>
      </c>
      <c r="F99" s="6">
        <v>139</v>
      </c>
    </row>
    <row r="100" spans="1:6" x14ac:dyDescent="0.25">
      <c r="A100" s="6" t="s">
        <v>1100</v>
      </c>
      <c r="B100" s="6">
        <v>1.6409</v>
      </c>
      <c r="C100" s="6">
        <v>46</v>
      </c>
      <c r="D100" s="6">
        <v>2.3685999999999998</v>
      </c>
      <c r="E100" s="6">
        <v>5.1108000000000002</v>
      </c>
      <c r="F100" s="6">
        <v>65</v>
      </c>
    </row>
    <row r="101" spans="1:6" x14ac:dyDescent="0.25">
      <c r="A101" s="6" t="s">
        <v>1101</v>
      </c>
      <c r="B101" s="6">
        <v>0.80869999999999997</v>
      </c>
      <c r="C101" s="6">
        <v>22</v>
      </c>
      <c r="D101" s="6">
        <v>2.3555000000000001</v>
      </c>
      <c r="E101" s="6">
        <v>11.899699999999999</v>
      </c>
      <c r="F101" s="6">
        <v>170</v>
      </c>
    </row>
    <row r="102" spans="1:6" x14ac:dyDescent="0.25">
      <c r="A102" s="6" t="s">
        <v>1102</v>
      </c>
      <c r="B102" s="6">
        <v>1.2652000000000001</v>
      </c>
      <c r="C102" s="6">
        <v>32</v>
      </c>
      <c r="D102" s="6">
        <v>3.2869000000000002</v>
      </c>
      <c r="E102" s="6">
        <v>12.081899999999999</v>
      </c>
      <c r="F102" s="6">
        <v>162</v>
      </c>
    </row>
    <row r="103" spans="1:6" x14ac:dyDescent="0.25">
      <c r="A103" s="6" t="s">
        <v>1103</v>
      </c>
      <c r="B103" s="6">
        <v>4.8296000000000001</v>
      </c>
      <c r="C103" s="6">
        <v>71</v>
      </c>
      <c r="D103" s="6">
        <v>4.3990999999999998</v>
      </c>
      <c r="E103" s="6">
        <v>12.3712</v>
      </c>
      <c r="F103" s="6">
        <v>119</v>
      </c>
    </row>
    <row r="104" spans="1:6" x14ac:dyDescent="0.25">
      <c r="A104" s="6" t="s">
        <v>1104</v>
      </c>
      <c r="B104" s="6">
        <v>0.47549999999999998</v>
      </c>
      <c r="C104" s="6">
        <v>17</v>
      </c>
      <c r="D104" s="6">
        <v>1.7323</v>
      </c>
      <c r="E104" s="6">
        <v>3.6478999999999999</v>
      </c>
      <c r="F104" s="6">
        <v>37</v>
      </c>
    </row>
    <row r="105" spans="1:6" x14ac:dyDescent="0.25">
      <c r="A105" s="6" t="s">
        <v>1105</v>
      </c>
      <c r="B105" s="6">
        <v>1.1331</v>
      </c>
      <c r="C105" s="6">
        <v>32</v>
      </c>
      <c r="D105" s="6">
        <v>2.1410999999999998</v>
      </c>
      <c r="E105" s="6">
        <v>10.272</v>
      </c>
      <c r="F105" s="6">
        <v>146</v>
      </c>
    </row>
    <row r="106" spans="1:6" x14ac:dyDescent="0.25">
      <c r="A106" s="6" t="s">
        <v>1106</v>
      </c>
      <c r="B106" s="6">
        <v>1.423</v>
      </c>
      <c r="C106" s="6">
        <v>37</v>
      </c>
      <c r="D106" s="6">
        <v>2.351</v>
      </c>
      <c r="E106" s="6">
        <v>8.9648000000000003</v>
      </c>
      <c r="F106" s="6">
        <v>124</v>
      </c>
    </row>
    <row r="107" spans="1:6" x14ac:dyDescent="0.25">
      <c r="A107" s="6" t="s">
        <v>1107</v>
      </c>
      <c r="B107" s="6">
        <v>0.70089999999999997</v>
      </c>
      <c r="C107" s="6">
        <v>23</v>
      </c>
      <c r="D107" s="6">
        <v>2.0840000000000001</v>
      </c>
      <c r="E107" s="6">
        <v>7.3983999999999996</v>
      </c>
      <c r="F107" s="6">
        <v>95</v>
      </c>
    </row>
    <row r="108" spans="1:6" x14ac:dyDescent="0.25">
      <c r="A108" s="6" t="s">
        <v>1108</v>
      </c>
      <c r="B108" s="6">
        <v>0.68459999999999999</v>
      </c>
      <c r="C108" s="6">
        <v>19</v>
      </c>
      <c r="D108" s="6">
        <v>1.9616</v>
      </c>
      <c r="E108" s="6">
        <v>8.2004000000000001</v>
      </c>
      <c r="F108" s="6">
        <v>111</v>
      </c>
    </row>
    <row r="109" spans="1:6" x14ac:dyDescent="0.25">
      <c r="A109" s="6" t="s">
        <v>1109</v>
      </c>
      <c r="B109" s="6">
        <v>0.64970000000000006</v>
      </c>
      <c r="C109" s="6">
        <v>18</v>
      </c>
      <c r="D109" s="6">
        <v>1.9208000000000001</v>
      </c>
      <c r="E109" s="6">
        <v>9.8434000000000008</v>
      </c>
      <c r="F109" s="6">
        <v>104</v>
      </c>
    </row>
    <row r="110" spans="1:6" x14ac:dyDescent="0.25">
      <c r="A110" s="6" t="s">
        <v>1110</v>
      </c>
      <c r="B110" s="6">
        <v>2.0466000000000002</v>
      </c>
      <c r="C110" s="6">
        <v>50</v>
      </c>
      <c r="D110" s="6">
        <v>2.1326000000000001</v>
      </c>
      <c r="E110" s="6">
        <v>4.5266000000000002</v>
      </c>
      <c r="F110" s="6">
        <v>45</v>
      </c>
    </row>
    <row r="111" spans="1:6" x14ac:dyDescent="0.25">
      <c r="A111" s="6" t="s">
        <v>1111</v>
      </c>
      <c r="B111" s="6">
        <v>1.1578999999999999</v>
      </c>
      <c r="C111" s="6">
        <v>34</v>
      </c>
      <c r="D111" s="6">
        <v>2.5497000000000001</v>
      </c>
      <c r="E111" s="6">
        <v>8.6661999999999999</v>
      </c>
      <c r="F111" s="6">
        <v>119</v>
      </c>
    </row>
    <row r="112" spans="1:6" x14ac:dyDescent="0.25">
      <c r="A112" s="6" t="s">
        <v>1112</v>
      </c>
      <c r="B112" s="6">
        <v>1.2052</v>
      </c>
      <c r="C112" s="6">
        <v>31</v>
      </c>
      <c r="D112" s="6">
        <v>2.8454999999999999</v>
      </c>
      <c r="E112" s="6">
        <v>6.5697999999999999</v>
      </c>
      <c r="F112" s="6">
        <v>81</v>
      </c>
    </row>
    <row r="113" spans="1:6" x14ac:dyDescent="0.25">
      <c r="A113" s="6" t="s">
        <v>1113</v>
      </c>
      <c r="B113" s="6">
        <v>0.82040000000000002</v>
      </c>
      <c r="C113" s="6">
        <v>24</v>
      </c>
      <c r="D113" s="6">
        <v>2.1374</v>
      </c>
      <c r="E113" s="6">
        <v>9.1625999999999994</v>
      </c>
      <c r="F113" s="6">
        <v>107</v>
      </c>
    </row>
    <row r="114" spans="1:6" x14ac:dyDescent="0.25">
      <c r="A114" s="6" t="s">
        <v>1114</v>
      </c>
      <c r="B114" s="6">
        <v>1.0085999999999999</v>
      </c>
      <c r="C114" s="6">
        <v>28</v>
      </c>
      <c r="D114" s="6">
        <v>2.1646999999999998</v>
      </c>
      <c r="E114" s="6">
        <v>5.3407</v>
      </c>
      <c r="F114" s="6">
        <v>58</v>
      </c>
    </row>
    <row r="115" spans="1:6" x14ac:dyDescent="0.25">
      <c r="A115" s="6" t="s">
        <v>1115</v>
      </c>
      <c r="B115" s="6">
        <v>0.8377</v>
      </c>
      <c r="C115" s="6">
        <v>23</v>
      </c>
      <c r="D115" s="6">
        <v>2.3351999999999999</v>
      </c>
      <c r="E115" s="6">
        <v>11.837400000000001</v>
      </c>
      <c r="F115" s="6">
        <v>173</v>
      </c>
    </row>
    <row r="116" spans="1:6" x14ac:dyDescent="0.25">
      <c r="A116" s="6" t="s">
        <v>1116</v>
      </c>
      <c r="B116" s="6">
        <v>0.67789999999999995</v>
      </c>
      <c r="C116" s="6">
        <v>22</v>
      </c>
      <c r="D116" s="6">
        <v>2.1103000000000001</v>
      </c>
      <c r="E116" s="6">
        <v>6.9763000000000002</v>
      </c>
      <c r="F116" s="6">
        <v>96</v>
      </c>
    </row>
    <row r="117" spans="1:6" x14ac:dyDescent="0.25">
      <c r="A117" s="6" t="s">
        <v>1117</v>
      </c>
      <c r="B117" s="6">
        <v>1.6589</v>
      </c>
      <c r="C117" s="6">
        <v>46</v>
      </c>
      <c r="D117" s="6">
        <v>1.9567000000000001</v>
      </c>
      <c r="E117" s="6">
        <v>7.9744000000000002</v>
      </c>
      <c r="F117" s="6">
        <v>105</v>
      </c>
    </row>
    <row r="118" spans="1:6" x14ac:dyDescent="0.25">
      <c r="A118" s="6" t="s">
        <v>1118</v>
      </c>
      <c r="B118" s="6">
        <v>1.0709</v>
      </c>
      <c r="C118" s="6">
        <v>27</v>
      </c>
      <c r="D118" s="6">
        <v>3.3191000000000002</v>
      </c>
      <c r="E118" s="6">
        <v>8.1026000000000007</v>
      </c>
      <c r="F118" s="6">
        <v>106</v>
      </c>
    </row>
    <row r="119" spans="1:6" x14ac:dyDescent="0.25">
      <c r="A119" s="6" t="s">
        <v>1119</v>
      </c>
      <c r="B119" s="6">
        <v>0.8921</v>
      </c>
      <c r="C119" s="6">
        <v>27</v>
      </c>
      <c r="D119" s="6">
        <v>2.1556999999999999</v>
      </c>
      <c r="E119" s="6">
        <v>4.9036</v>
      </c>
      <c r="F119" s="6">
        <v>57</v>
      </c>
    </row>
    <row r="120" spans="1:6" x14ac:dyDescent="0.25">
      <c r="A120" s="6" t="s">
        <v>1120</v>
      </c>
      <c r="B120" s="6">
        <v>1.2028000000000001</v>
      </c>
      <c r="C120" s="6">
        <v>32</v>
      </c>
      <c r="D120" s="6">
        <v>3.0032999999999999</v>
      </c>
      <c r="E120" s="6">
        <v>5.0420999999999996</v>
      </c>
      <c r="F120" s="6">
        <v>41</v>
      </c>
    </row>
    <row r="121" spans="1:6" x14ac:dyDescent="0.25">
      <c r="A121" s="6" t="s">
        <v>1121</v>
      </c>
      <c r="B121" s="6">
        <v>1.3264</v>
      </c>
      <c r="C121" s="6">
        <v>34</v>
      </c>
      <c r="D121" s="6">
        <v>3.1198999999999999</v>
      </c>
      <c r="E121" s="6">
        <v>8.7296999999999993</v>
      </c>
      <c r="F121" s="6">
        <v>115</v>
      </c>
    </row>
    <row r="122" spans="1:6" x14ac:dyDescent="0.25">
      <c r="A122" s="6" t="s">
        <v>1122</v>
      </c>
      <c r="B122" s="6">
        <v>1.1005</v>
      </c>
      <c r="C122" s="6">
        <v>31</v>
      </c>
      <c r="D122" s="6">
        <v>3.1911999999999998</v>
      </c>
      <c r="E122" s="6">
        <v>7.7919</v>
      </c>
      <c r="F122" s="6">
        <v>102</v>
      </c>
    </row>
    <row r="123" spans="1:6" x14ac:dyDescent="0.25">
      <c r="A123" s="6" t="s">
        <v>1123</v>
      </c>
      <c r="B123" s="6">
        <v>1.1195999999999999</v>
      </c>
      <c r="C123" s="6">
        <v>31</v>
      </c>
      <c r="D123" s="6">
        <v>2.6002000000000001</v>
      </c>
      <c r="E123" s="6">
        <v>6.3109999999999999</v>
      </c>
      <c r="F123" s="6">
        <v>83</v>
      </c>
    </row>
    <row r="124" spans="1:6" x14ac:dyDescent="0.25">
      <c r="A124" s="6" t="s">
        <v>1124</v>
      </c>
      <c r="B124" s="6">
        <v>0.93340000000000001</v>
      </c>
      <c r="C124" s="6">
        <v>25</v>
      </c>
      <c r="D124" s="6">
        <v>2.6015000000000001</v>
      </c>
      <c r="E124" s="6">
        <v>5.6391</v>
      </c>
      <c r="F124" s="6">
        <v>70</v>
      </c>
    </row>
    <row r="125" spans="1:6" x14ac:dyDescent="0.25">
      <c r="A125" s="6" t="s">
        <v>1125</v>
      </c>
      <c r="B125" s="6">
        <v>0.54290000000000005</v>
      </c>
      <c r="C125" s="6">
        <v>14</v>
      </c>
      <c r="D125" s="6">
        <v>2.1448999999999998</v>
      </c>
      <c r="E125" s="6">
        <v>3.4676</v>
      </c>
      <c r="F125" s="6">
        <v>32</v>
      </c>
    </row>
    <row r="126" spans="1:6" x14ac:dyDescent="0.25">
      <c r="A126" s="6" t="s">
        <v>1126</v>
      </c>
      <c r="B126" s="6">
        <v>1.3239000000000001</v>
      </c>
      <c r="C126" s="6">
        <v>36</v>
      </c>
      <c r="D126" s="6">
        <v>2.3018999999999998</v>
      </c>
      <c r="E126" s="6">
        <v>9.0428999999999995</v>
      </c>
      <c r="F126" s="6">
        <v>130</v>
      </c>
    </row>
    <row r="127" spans="1:6" x14ac:dyDescent="0.25">
      <c r="A127" s="6" t="s">
        <v>1127</v>
      </c>
      <c r="B127" s="6">
        <v>1.4948999999999999</v>
      </c>
      <c r="C127" s="6">
        <v>39</v>
      </c>
      <c r="D127" s="6">
        <v>2.1145999999999998</v>
      </c>
      <c r="E127" s="6">
        <v>7.2015000000000002</v>
      </c>
      <c r="F127" s="6">
        <v>93</v>
      </c>
    </row>
    <row r="128" spans="1:6" x14ac:dyDescent="0.25">
      <c r="A128" s="6" t="s">
        <v>1128</v>
      </c>
      <c r="B128" s="6">
        <v>1.0872999999999999</v>
      </c>
      <c r="C128" s="6">
        <v>25</v>
      </c>
      <c r="D128" s="6">
        <v>2.8620000000000001</v>
      </c>
      <c r="E128" s="6">
        <v>10.572699999999999</v>
      </c>
      <c r="F128" s="6">
        <v>152</v>
      </c>
    </row>
    <row r="129" spans="1:6" x14ac:dyDescent="0.25">
      <c r="A129" s="6" t="s">
        <v>1129</v>
      </c>
      <c r="B129" s="6">
        <v>1.3139000000000001</v>
      </c>
      <c r="C129" s="6">
        <v>35</v>
      </c>
      <c r="D129" s="6">
        <v>2.9944000000000002</v>
      </c>
      <c r="E129" s="6">
        <v>7.1237000000000004</v>
      </c>
      <c r="F129" s="6">
        <v>89</v>
      </c>
    </row>
    <row r="130" spans="1:6" x14ac:dyDescent="0.25">
      <c r="A130" s="6" t="s">
        <v>1130</v>
      </c>
      <c r="B130" s="6">
        <v>2.9335</v>
      </c>
      <c r="C130" s="6">
        <v>72</v>
      </c>
      <c r="D130" s="6">
        <v>2.2378</v>
      </c>
      <c r="E130" s="6">
        <v>10.3484</v>
      </c>
      <c r="F130" s="6">
        <v>147</v>
      </c>
    </row>
    <row r="131" spans="1:6" x14ac:dyDescent="0.25">
      <c r="A131" s="6" t="s">
        <v>1131</v>
      </c>
      <c r="B131" s="6">
        <v>1.1809000000000001</v>
      </c>
      <c r="C131" s="6">
        <v>36</v>
      </c>
      <c r="D131" s="6">
        <v>2.2740999999999998</v>
      </c>
      <c r="E131" s="6">
        <v>7.7221000000000002</v>
      </c>
      <c r="F131" s="6">
        <v>96</v>
      </c>
    </row>
    <row r="132" spans="1:6" x14ac:dyDescent="0.25">
      <c r="A132" s="6" t="s">
        <v>1132</v>
      </c>
      <c r="B132" s="6">
        <v>0.4556</v>
      </c>
      <c r="C132" s="6">
        <v>14</v>
      </c>
      <c r="D132" s="6">
        <v>1.4512</v>
      </c>
      <c r="E132" s="6">
        <v>4.5209000000000001</v>
      </c>
      <c r="F132" s="6">
        <v>51</v>
      </c>
    </row>
    <row r="133" spans="1:6" x14ac:dyDescent="0.25">
      <c r="A133" s="6" t="s">
        <v>1133</v>
      </c>
      <c r="B133" s="6">
        <v>1.0793999999999999</v>
      </c>
      <c r="C133" s="6">
        <v>32</v>
      </c>
      <c r="D133" s="6">
        <v>2.2254</v>
      </c>
      <c r="E133" s="6">
        <v>11.351900000000001</v>
      </c>
      <c r="F133" s="6">
        <v>153</v>
      </c>
    </row>
    <row r="134" spans="1:6" x14ac:dyDescent="0.25">
      <c r="A134" s="6" t="s">
        <v>1134</v>
      </c>
      <c r="B134" s="6">
        <v>2.0583</v>
      </c>
      <c r="C134" s="6">
        <v>57</v>
      </c>
      <c r="D134" s="6">
        <v>1.7881</v>
      </c>
      <c r="E134" s="6">
        <v>9.1045999999999996</v>
      </c>
      <c r="F134" s="6">
        <v>138</v>
      </c>
    </row>
    <row r="135" spans="1:6" x14ac:dyDescent="0.25">
      <c r="A135" s="6" t="s">
        <v>1135</v>
      </c>
      <c r="B135" s="6">
        <v>1.4825999999999999</v>
      </c>
      <c r="C135" s="6">
        <v>36</v>
      </c>
      <c r="D135" s="6">
        <v>2.4788999999999999</v>
      </c>
      <c r="E135" s="6">
        <v>11.3779</v>
      </c>
      <c r="F135" s="6">
        <v>128</v>
      </c>
    </row>
    <row r="136" spans="1:6" x14ac:dyDescent="0.25">
      <c r="A136" s="6" t="s">
        <v>1136</v>
      </c>
      <c r="B136" s="6">
        <v>3.9468000000000001</v>
      </c>
      <c r="C136" s="6">
        <v>87</v>
      </c>
      <c r="D136" s="6">
        <v>2.7804000000000002</v>
      </c>
      <c r="E136" s="6">
        <v>6.3613</v>
      </c>
      <c r="F136" s="6">
        <v>76</v>
      </c>
    </row>
    <row r="137" spans="1:6" x14ac:dyDescent="0.25">
      <c r="A137" s="6" t="s">
        <v>1137</v>
      </c>
      <c r="B137" s="6">
        <v>0.80549999999999999</v>
      </c>
      <c r="C137" s="6">
        <v>28</v>
      </c>
      <c r="D137" s="6">
        <v>2.4255</v>
      </c>
      <c r="E137" s="6">
        <v>7.8886000000000003</v>
      </c>
      <c r="F137" s="6">
        <v>98</v>
      </c>
    </row>
    <row r="138" spans="1:6" x14ac:dyDescent="0.25">
      <c r="A138" s="6" t="s">
        <v>1138</v>
      </c>
      <c r="B138" s="6">
        <v>0.98899999999999999</v>
      </c>
      <c r="C138" s="6">
        <v>27</v>
      </c>
      <c r="D138" s="6">
        <v>2.2141000000000002</v>
      </c>
      <c r="E138" s="6">
        <v>5.2027000000000001</v>
      </c>
      <c r="F138" s="6">
        <v>57</v>
      </c>
    </row>
    <row r="139" spans="1:6" x14ac:dyDescent="0.25">
      <c r="A139" s="6" t="s">
        <v>1139</v>
      </c>
      <c r="B139" s="6">
        <v>0.82979999999999998</v>
      </c>
      <c r="C139" s="6">
        <v>24</v>
      </c>
      <c r="D139" s="6">
        <v>2.0914000000000001</v>
      </c>
      <c r="E139" s="6">
        <v>3.9897</v>
      </c>
      <c r="F139" s="6">
        <v>40</v>
      </c>
    </row>
    <row r="140" spans="1:6" x14ac:dyDescent="0.25">
      <c r="A140" s="6" t="s">
        <v>1140</v>
      </c>
      <c r="B140" s="6">
        <v>0.96389999999999998</v>
      </c>
      <c r="C140" s="6">
        <v>27</v>
      </c>
      <c r="D140" s="6">
        <v>3.2694000000000001</v>
      </c>
      <c r="E140" s="6">
        <v>9.6427999999999994</v>
      </c>
      <c r="F140" s="6">
        <v>145</v>
      </c>
    </row>
    <row r="141" spans="1:6" x14ac:dyDescent="0.25">
      <c r="A141" s="6" t="s">
        <v>1141</v>
      </c>
      <c r="B141" s="6">
        <v>0.66790000000000005</v>
      </c>
      <c r="C141" s="6">
        <v>24</v>
      </c>
      <c r="D141" s="6">
        <v>1.7794000000000001</v>
      </c>
      <c r="E141" s="6">
        <v>9.2946000000000009</v>
      </c>
      <c r="F141" s="6">
        <v>134</v>
      </c>
    </row>
    <row r="142" spans="1:6" x14ac:dyDescent="0.25">
      <c r="A142" s="6" t="s">
        <v>1142</v>
      </c>
      <c r="B142" s="6">
        <v>1.6164000000000001</v>
      </c>
      <c r="C142" s="6">
        <v>38</v>
      </c>
      <c r="D142" s="6">
        <v>2.5661999999999998</v>
      </c>
      <c r="E142" s="6">
        <v>4.4120999999999997</v>
      </c>
      <c r="F142" s="6">
        <v>46</v>
      </c>
    </row>
    <row r="143" spans="1:6" x14ac:dyDescent="0.25">
      <c r="A143" s="6" t="s">
        <v>1143</v>
      </c>
      <c r="B143" s="6">
        <v>1.1397999999999999</v>
      </c>
      <c r="C143" s="6">
        <v>30</v>
      </c>
      <c r="D143" s="6">
        <v>2.5354999999999999</v>
      </c>
      <c r="E143" s="6">
        <v>8.141</v>
      </c>
      <c r="F143" s="6">
        <v>95</v>
      </c>
    </row>
    <row r="144" spans="1:6" x14ac:dyDescent="0.25">
      <c r="A144" s="6" t="s">
        <v>1144</v>
      </c>
      <c r="B144" s="6">
        <v>1.5589999999999999</v>
      </c>
      <c r="C144" s="6">
        <v>47</v>
      </c>
      <c r="D144" s="6">
        <v>2.1276000000000002</v>
      </c>
      <c r="E144" s="6">
        <v>9.0535999999999994</v>
      </c>
      <c r="F144" s="6">
        <v>120</v>
      </c>
    </row>
    <row r="145" spans="1:6" x14ac:dyDescent="0.25">
      <c r="A145" s="6" t="s">
        <v>1145</v>
      </c>
      <c r="B145" s="6">
        <v>1.0901000000000001</v>
      </c>
      <c r="C145" s="6">
        <v>31</v>
      </c>
      <c r="D145" s="6">
        <v>2.9062000000000001</v>
      </c>
      <c r="E145" s="6">
        <v>7.8604000000000003</v>
      </c>
      <c r="F145" s="6">
        <v>102</v>
      </c>
    </row>
    <row r="146" spans="1:6" x14ac:dyDescent="0.25">
      <c r="A146" s="6" t="s">
        <v>1146</v>
      </c>
      <c r="B146" s="6">
        <v>0.90720000000000001</v>
      </c>
      <c r="C146" s="6">
        <v>24</v>
      </c>
      <c r="D146" s="6">
        <v>2.1848000000000001</v>
      </c>
      <c r="E146" s="6">
        <v>10.5474</v>
      </c>
      <c r="F146" s="6">
        <v>152</v>
      </c>
    </row>
    <row r="147" spans="1:6" x14ac:dyDescent="0.25">
      <c r="A147" s="6" t="s">
        <v>1147</v>
      </c>
      <c r="B147" s="6">
        <v>0.64910000000000001</v>
      </c>
      <c r="C147" s="6">
        <v>20</v>
      </c>
      <c r="D147" s="6">
        <v>2.2429999999999999</v>
      </c>
      <c r="E147" s="6">
        <v>7.6787000000000001</v>
      </c>
      <c r="F147" s="6">
        <v>114</v>
      </c>
    </row>
    <row r="148" spans="1:6" x14ac:dyDescent="0.25">
      <c r="A148" s="6" t="s">
        <v>1148</v>
      </c>
      <c r="B148" s="6">
        <v>1.0619000000000001</v>
      </c>
      <c r="C148" s="6">
        <v>28</v>
      </c>
      <c r="D148" s="6">
        <v>2.3765999999999998</v>
      </c>
      <c r="E148" s="6">
        <v>6.1025999999999998</v>
      </c>
      <c r="F148" s="6">
        <v>72</v>
      </c>
    </row>
    <row r="149" spans="1:6" x14ac:dyDescent="0.25">
      <c r="A149" s="6" t="s">
        <v>1149</v>
      </c>
      <c r="B149" s="6">
        <v>1.2894000000000001</v>
      </c>
      <c r="C149" s="6">
        <v>32</v>
      </c>
      <c r="D149" s="6">
        <v>2.6983999999999999</v>
      </c>
      <c r="E149" s="6">
        <v>9.1577000000000002</v>
      </c>
      <c r="F149" s="6">
        <v>112</v>
      </c>
    </row>
    <row r="150" spans="1:6" x14ac:dyDescent="0.25">
      <c r="A150" s="6" t="s">
        <v>1150</v>
      </c>
      <c r="B150" s="6">
        <v>0.74239999999999995</v>
      </c>
      <c r="C150" s="6">
        <v>23</v>
      </c>
      <c r="D150" s="6">
        <v>1.7939000000000001</v>
      </c>
      <c r="E150" s="6">
        <v>4.8529999999999998</v>
      </c>
      <c r="F150" s="6">
        <v>59</v>
      </c>
    </row>
    <row r="151" spans="1:6" x14ac:dyDescent="0.25">
      <c r="A151" s="6" t="s">
        <v>1151</v>
      </c>
      <c r="B151" s="6">
        <v>0.70120000000000005</v>
      </c>
      <c r="C151" s="6">
        <v>20</v>
      </c>
      <c r="D151" s="6">
        <v>1.7445999999999999</v>
      </c>
      <c r="E151" s="6">
        <v>11.0625</v>
      </c>
      <c r="F151" s="6">
        <v>156</v>
      </c>
    </row>
    <row r="152" spans="1:6" x14ac:dyDescent="0.25">
      <c r="A152" s="6" t="s">
        <v>1152</v>
      </c>
      <c r="B152" s="6">
        <v>0.75580000000000003</v>
      </c>
      <c r="C152" s="6">
        <v>24</v>
      </c>
      <c r="D152" s="6">
        <v>1.7664</v>
      </c>
      <c r="E152" s="6">
        <v>6.54</v>
      </c>
      <c r="F152" s="6">
        <v>85</v>
      </c>
    </row>
    <row r="153" spans="1:6" x14ac:dyDescent="0.25">
      <c r="A153" s="6" t="s">
        <v>1153</v>
      </c>
      <c r="B153" s="6">
        <v>1.1279999999999999</v>
      </c>
      <c r="C153" s="6">
        <v>33</v>
      </c>
      <c r="D153" s="6">
        <v>2.6265999999999998</v>
      </c>
      <c r="E153" s="6">
        <v>12.6373</v>
      </c>
      <c r="F153" s="6">
        <v>185</v>
      </c>
    </row>
    <row r="154" spans="1:6" x14ac:dyDescent="0.25">
      <c r="A154" s="6" t="s">
        <v>1154</v>
      </c>
      <c r="B154" s="6">
        <v>1.3227</v>
      </c>
      <c r="C154" s="6">
        <v>35</v>
      </c>
      <c r="D154" s="6">
        <v>2.3216000000000001</v>
      </c>
      <c r="E154" s="6">
        <v>3.7662</v>
      </c>
      <c r="F154" s="6">
        <v>38</v>
      </c>
    </row>
    <row r="155" spans="1:6" x14ac:dyDescent="0.25">
      <c r="A155" s="6" t="s">
        <v>1155</v>
      </c>
      <c r="B155" s="6">
        <v>0.86229999999999996</v>
      </c>
      <c r="C155" s="6">
        <v>25</v>
      </c>
      <c r="D155" s="6">
        <v>2.5457999999999998</v>
      </c>
      <c r="E155" s="6">
        <v>9.6805000000000003</v>
      </c>
      <c r="F155" s="6">
        <v>138</v>
      </c>
    </row>
    <row r="156" spans="1:6" x14ac:dyDescent="0.25">
      <c r="A156" s="6" t="s">
        <v>1156</v>
      </c>
      <c r="B156" s="6">
        <v>0.93400000000000005</v>
      </c>
      <c r="C156" s="6">
        <v>25</v>
      </c>
      <c r="D156" s="6">
        <v>2.5863999999999998</v>
      </c>
      <c r="E156" s="6">
        <v>7.5811999999999999</v>
      </c>
      <c r="F156" s="6">
        <v>101</v>
      </c>
    </row>
    <row r="157" spans="1:6" x14ac:dyDescent="0.25">
      <c r="A157" s="6" t="s">
        <v>1157</v>
      </c>
      <c r="B157" s="6">
        <v>1.0880000000000001</v>
      </c>
      <c r="C157" s="6">
        <v>33</v>
      </c>
      <c r="D157" s="6">
        <v>2.6532</v>
      </c>
      <c r="E157" s="6">
        <v>5.3874000000000004</v>
      </c>
      <c r="F157" s="6">
        <v>56</v>
      </c>
    </row>
    <row r="158" spans="1:6" x14ac:dyDescent="0.25">
      <c r="A158" s="6" t="s">
        <v>1158</v>
      </c>
      <c r="B158" s="6">
        <v>1.1054999999999999</v>
      </c>
      <c r="C158" s="6">
        <v>29</v>
      </c>
      <c r="D158" s="6">
        <v>2.8626999999999998</v>
      </c>
      <c r="E158" s="6">
        <v>5.617</v>
      </c>
      <c r="F158" s="6">
        <v>74</v>
      </c>
    </row>
    <row r="159" spans="1:6" x14ac:dyDescent="0.25">
      <c r="A159" s="6" t="s">
        <v>1159</v>
      </c>
      <c r="B159" s="6">
        <v>0.62860000000000005</v>
      </c>
      <c r="C159" s="6">
        <v>20</v>
      </c>
      <c r="D159" s="6">
        <v>1.5969</v>
      </c>
      <c r="E159" s="6">
        <v>7.4478999999999997</v>
      </c>
      <c r="F159" s="6">
        <v>99</v>
      </c>
    </row>
    <row r="160" spans="1:6" x14ac:dyDescent="0.25">
      <c r="A160" s="6" t="s">
        <v>1160</v>
      </c>
      <c r="B160" s="6">
        <v>0.60270000000000001</v>
      </c>
      <c r="C160" s="6">
        <v>19</v>
      </c>
      <c r="D160" s="6">
        <v>1.6246</v>
      </c>
      <c r="E160" s="6">
        <v>4.2392000000000003</v>
      </c>
      <c r="F160" s="6">
        <v>40</v>
      </c>
    </row>
    <row r="161" spans="1:6" x14ac:dyDescent="0.25">
      <c r="A161" s="6" t="s">
        <v>1161</v>
      </c>
      <c r="B161" s="6">
        <v>1.5583</v>
      </c>
      <c r="C161" s="6">
        <v>38</v>
      </c>
      <c r="D161" s="6">
        <v>2.2467999999999999</v>
      </c>
      <c r="E161" s="6">
        <v>5.6704999999999997</v>
      </c>
      <c r="F161" s="6">
        <v>57</v>
      </c>
    </row>
    <row r="162" spans="1:6" x14ac:dyDescent="0.25">
      <c r="A162" s="6" t="s">
        <v>1162</v>
      </c>
      <c r="B162" s="6">
        <v>1.1995</v>
      </c>
      <c r="C162" s="6">
        <v>36</v>
      </c>
      <c r="D162" s="6">
        <v>2.5798999999999999</v>
      </c>
      <c r="E162" s="6">
        <v>4.9355000000000002</v>
      </c>
      <c r="F162" s="6">
        <v>55</v>
      </c>
    </row>
    <row r="163" spans="1:6" x14ac:dyDescent="0.25">
      <c r="A163" s="6" t="s">
        <v>1163</v>
      </c>
      <c r="B163" s="6">
        <v>0.48749999999999999</v>
      </c>
      <c r="C163" s="6">
        <v>15</v>
      </c>
      <c r="D163" s="6">
        <v>1.7048000000000001</v>
      </c>
      <c r="E163" s="6">
        <v>12.6419</v>
      </c>
      <c r="F163" s="6">
        <v>218</v>
      </c>
    </row>
    <row r="164" spans="1:6" x14ac:dyDescent="0.25">
      <c r="A164" s="6" t="s">
        <v>1164</v>
      </c>
      <c r="B164" s="6">
        <v>0.8095</v>
      </c>
      <c r="C164" s="6">
        <v>25</v>
      </c>
      <c r="D164" s="6">
        <v>2.5428999999999999</v>
      </c>
      <c r="E164" s="6">
        <v>8.1403999999999996</v>
      </c>
      <c r="F164" s="6">
        <v>101</v>
      </c>
    </row>
    <row r="165" spans="1:6" x14ac:dyDescent="0.25">
      <c r="A165" s="6" t="s">
        <v>1165</v>
      </c>
      <c r="B165" s="6">
        <v>1.7527999999999999</v>
      </c>
      <c r="C165" s="6">
        <v>42</v>
      </c>
      <c r="D165" s="6">
        <v>2.6566000000000001</v>
      </c>
      <c r="E165" s="6">
        <v>9.7876999999999992</v>
      </c>
      <c r="F165" s="6">
        <v>126</v>
      </c>
    </row>
    <row r="166" spans="1:6" x14ac:dyDescent="0.25">
      <c r="A166" s="6" t="s">
        <v>1166</v>
      </c>
      <c r="B166" s="6">
        <v>0.89119999999999999</v>
      </c>
      <c r="C166" s="6">
        <v>27</v>
      </c>
      <c r="D166" s="6">
        <v>2.4811999999999999</v>
      </c>
      <c r="E166" s="6">
        <v>3.9011999999999998</v>
      </c>
      <c r="F166" s="6">
        <v>36</v>
      </c>
    </row>
    <row r="167" spans="1:6" x14ac:dyDescent="0.25">
      <c r="A167" s="6" t="s">
        <v>1167</v>
      </c>
      <c r="B167" s="6">
        <v>0.72140000000000004</v>
      </c>
      <c r="C167" s="6">
        <v>23</v>
      </c>
      <c r="D167" s="6">
        <v>2.0888</v>
      </c>
      <c r="E167" s="6">
        <v>4.7199</v>
      </c>
      <c r="F167" s="6">
        <v>41</v>
      </c>
    </row>
    <row r="168" spans="1:6" x14ac:dyDescent="0.25">
      <c r="A168" s="6" t="s">
        <v>1168</v>
      </c>
      <c r="B168" s="6">
        <v>0.93359999999999999</v>
      </c>
      <c r="C168" s="6">
        <v>26</v>
      </c>
      <c r="D168" s="6">
        <v>2.0577999999999999</v>
      </c>
      <c r="E168" s="6">
        <v>4.2294999999999998</v>
      </c>
      <c r="F168" s="6">
        <v>41</v>
      </c>
    </row>
    <row r="169" spans="1:6" x14ac:dyDescent="0.25">
      <c r="A169" s="6" t="s">
        <v>1169</v>
      </c>
      <c r="B169" s="6">
        <v>1.7156</v>
      </c>
      <c r="C169" s="6">
        <v>46</v>
      </c>
      <c r="D169" s="6">
        <v>2.7347999999999999</v>
      </c>
      <c r="E169" s="6">
        <v>9.1603999999999992</v>
      </c>
      <c r="F169" s="6">
        <v>107</v>
      </c>
    </row>
    <row r="170" spans="1:6" x14ac:dyDescent="0.25">
      <c r="A170" s="6" t="s">
        <v>1170</v>
      </c>
      <c r="B170" s="6">
        <v>0.71389999999999998</v>
      </c>
      <c r="C170" s="6">
        <v>22</v>
      </c>
      <c r="D170" s="6">
        <v>1.8411</v>
      </c>
      <c r="E170" s="6">
        <v>7.6092000000000004</v>
      </c>
      <c r="F170" s="6">
        <v>104</v>
      </c>
    </row>
    <row r="171" spans="1:6" x14ac:dyDescent="0.25">
      <c r="A171" s="6" t="s">
        <v>1171</v>
      </c>
      <c r="B171" s="6">
        <v>1.1734</v>
      </c>
      <c r="C171" s="6">
        <v>34</v>
      </c>
      <c r="D171" s="6">
        <v>1.9276</v>
      </c>
      <c r="E171" s="6">
        <v>10.7119</v>
      </c>
      <c r="F171" s="6">
        <v>153</v>
      </c>
    </row>
    <row r="172" spans="1:6" x14ac:dyDescent="0.25">
      <c r="A172" s="6" t="s">
        <v>1172</v>
      </c>
      <c r="B172" s="6">
        <v>0.88090000000000002</v>
      </c>
      <c r="C172" s="6">
        <v>23</v>
      </c>
      <c r="D172" s="6">
        <v>2.7801999999999998</v>
      </c>
      <c r="E172" s="6">
        <v>7.0881999999999996</v>
      </c>
      <c r="F172" s="6">
        <v>85</v>
      </c>
    </row>
    <row r="173" spans="1:6" x14ac:dyDescent="0.25">
      <c r="A173" s="6" t="s">
        <v>1173</v>
      </c>
      <c r="B173" s="6">
        <v>1.2495000000000001</v>
      </c>
      <c r="C173" s="6">
        <v>35</v>
      </c>
      <c r="D173" s="6">
        <v>2.6164000000000001</v>
      </c>
      <c r="E173" s="6">
        <v>7.0884999999999998</v>
      </c>
      <c r="F173" s="6">
        <v>81</v>
      </c>
    </row>
    <row r="174" spans="1:6" x14ac:dyDescent="0.25">
      <c r="A174" s="6" t="s">
        <v>1174</v>
      </c>
      <c r="B174" s="6">
        <v>0.85570000000000002</v>
      </c>
      <c r="C174" s="6">
        <v>23</v>
      </c>
      <c r="D174" s="6">
        <v>2.4735999999999998</v>
      </c>
      <c r="E174" s="6">
        <v>5.7812000000000001</v>
      </c>
      <c r="F174" s="6">
        <v>71</v>
      </c>
    </row>
    <row r="175" spans="1:6" x14ac:dyDescent="0.25">
      <c r="A175" s="6" t="s">
        <v>1175</v>
      </c>
      <c r="B175" s="6">
        <v>0.91390000000000005</v>
      </c>
      <c r="C175" s="6">
        <v>24</v>
      </c>
      <c r="D175" s="6">
        <v>2.5908000000000002</v>
      </c>
      <c r="E175" s="6">
        <v>7.1841999999999997</v>
      </c>
      <c r="F175" s="6">
        <v>83</v>
      </c>
    </row>
    <row r="176" spans="1:6" x14ac:dyDescent="0.25">
      <c r="A176" s="6" t="s">
        <v>1176</v>
      </c>
      <c r="B176" s="6">
        <v>1.04</v>
      </c>
      <c r="C176" s="6">
        <v>32</v>
      </c>
      <c r="D176" s="6">
        <v>2.0775000000000001</v>
      </c>
      <c r="E176" s="6">
        <v>8.2844999999999995</v>
      </c>
      <c r="F176" s="6">
        <v>108</v>
      </c>
    </row>
    <row r="177" spans="1:6" x14ac:dyDescent="0.25">
      <c r="A177" s="6" t="s">
        <v>1177</v>
      </c>
      <c r="B177" s="6">
        <v>0.68069999999999997</v>
      </c>
      <c r="C177" s="6">
        <v>21</v>
      </c>
      <c r="D177" s="6">
        <v>2.1892999999999998</v>
      </c>
      <c r="E177" s="6">
        <v>7.0216000000000003</v>
      </c>
      <c r="F177" s="6">
        <v>102</v>
      </c>
    </row>
    <row r="178" spans="1:6" x14ac:dyDescent="0.25">
      <c r="A178" s="6" t="s">
        <v>1178</v>
      </c>
      <c r="B178" s="6">
        <v>0.78520000000000001</v>
      </c>
      <c r="C178" s="6">
        <v>22</v>
      </c>
      <c r="D178" s="6">
        <v>2.3754</v>
      </c>
      <c r="E178" s="6">
        <v>5.5934999999999997</v>
      </c>
      <c r="F178" s="6">
        <v>71</v>
      </c>
    </row>
    <row r="179" spans="1:6" x14ac:dyDescent="0.25">
      <c r="A179" s="6" t="s">
        <v>1179</v>
      </c>
      <c r="B179" s="6">
        <v>0.91400000000000003</v>
      </c>
      <c r="C179" s="6">
        <v>28</v>
      </c>
      <c r="D179" s="6">
        <v>2.2189000000000001</v>
      </c>
      <c r="E179" s="6">
        <v>6.2573999999999996</v>
      </c>
      <c r="F179" s="6">
        <v>79</v>
      </c>
    </row>
    <row r="180" spans="1:6" x14ac:dyDescent="0.25">
      <c r="A180" s="6" t="s">
        <v>1180</v>
      </c>
      <c r="B180" s="6">
        <v>1.5112000000000001</v>
      </c>
      <c r="C180" s="6">
        <v>42</v>
      </c>
      <c r="D180" s="6">
        <v>2.5404</v>
      </c>
      <c r="E180" s="6">
        <v>16.761099999999999</v>
      </c>
      <c r="F180" s="6">
        <v>233</v>
      </c>
    </row>
    <row r="181" spans="1:6" x14ac:dyDescent="0.25">
      <c r="A181" s="6" t="s">
        <v>1181</v>
      </c>
      <c r="B181" s="6">
        <v>1.1332</v>
      </c>
      <c r="C181" s="6">
        <v>30</v>
      </c>
      <c r="D181" s="6">
        <v>2.6173999999999999</v>
      </c>
      <c r="E181" s="6">
        <v>11.287000000000001</v>
      </c>
      <c r="F181" s="6">
        <v>166</v>
      </c>
    </row>
    <row r="182" spans="1:6" x14ac:dyDescent="0.25">
      <c r="A182" s="6" t="s">
        <v>1182</v>
      </c>
      <c r="B182" s="6">
        <v>1.0267999999999999</v>
      </c>
      <c r="C182" s="6">
        <v>29</v>
      </c>
      <c r="D182" s="6">
        <v>2.4853999999999998</v>
      </c>
      <c r="E182" s="6">
        <v>9.4199000000000002</v>
      </c>
      <c r="F182" s="6">
        <v>139</v>
      </c>
    </row>
    <row r="183" spans="1:6" x14ac:dyDescent="0.25">
      <c r="A183" s="6" t="s">
        <v>1183</v>
      </c>
      <c r="B183" s="6">
        <v>2.3715999999999999</v>
      </c>
      <c r="C183" s="6">
        <v>73</v>
      </c>
      <c r="D183" s="6">
        <v>1.9268000000000001</v>
      </c>
      <c r="E183" s="6">
        <v>0.73640000000000005</v>
      </c>
      <c r="F183" s="6">
        <v>3</v>
      </c>
    </row>
    <row r="184" spans="1:6" x14ac:dyDescent="0.25">
      <c r="A184" s="6" t="s">
        <v>1184</v>
      </c>
      <c r="B184" s="6">
        <v>0.69089999999999996</v>
      </c>
      <c r="C184" s="6">
        <v>21</v>
      </c>
      <c r="D184" s="6">
        <v>1.9339</v>
      </c>
      <c r="E184" s="6">
        <v>7.1044999999999998</v>
      </c>
      <c r="F184" s="6">
        <v>114</v>
      </c>
    </row>
    <row r="185" spans="1:6" x14ac:dyDescent="0.25">
      <c r="A185" s="6" t="s">
        <v>1185</v>
      </c>
      <c r="B185" s="6">
        <v>0.69779999999999998</v>
      </c>
      <c r="C185" s="6">
        <v>23</v>
      </c>
      <c r="D185" s="6">
        <v>2.3292999999999999</v>
      </c>
      <c r="E185" s="6">
        <v>5.2530999999999999</v>
      </c>
      <c r="F185" s="6">
        <v>63</v>
      </c>
    </row>
    <row r="186" spans="1:6" x14ac:dyDescent="0.25">
      <c r="A186" s="6" t="s">
        <v>1186</v>
      </c>
      <c r="B186" s="6">
        <v>0.78739999999999999</v>
      </c>
      <c r="C186" s="6">
        <v>23</v>
      </c>
      <c r="D186" s="6">
        <v>1.9945999999999999</v>
      </c>
      <c r="E186" s="6">
        <v>4.2952000000000004</v>
      </c>
      <c r="F186" s="6">
        <v>41</v>
      </c>
    </row>
    <row r="187" spans="1:6" x14ac:dyDescent="0.25">
      <c r="A187" s="6" t="s">
        <v>1187</v>
      </c>
      <c r="B187" s="6">
        <v>1.0638000000000001</v>
      </c>
      <c r="C187" s="6">
        <v>34</v>
      </c>
      <c r="D187" s="6">
        <v>1.8331999999999999</v>
      </c>
      <c r="E187" s="6">
        <v>9.5975000000000001</v>
      </c>
      <c r="F187" s="6">
        <v>136</v>
      </c>
    </row>
    <row r="188" spans="1:6" x14ac:dyDescent="0.25">
      <c r="A188" s="6" t="s">
        <v>1188</v>
      </c>
      <c r="B188" s="6">
        <v>1.4380999999999999</v>
      </c>
      <c r="C188" s="6">
        <v>41</v>
      </c>
      <c r="D188" s="6">
        <v>1.9683999999999999</v>
      </c>
      <c r="E188" s="6">
        <v>10.5642</v>
      </c>
      <c r="F188" s="6">
        <v>160</v>
      </c>
    </row>
    <row r="189" spans="1:6" x14ac:dyDescent="0.25">
      <c r="A189" s="6" t="s">
        <v>1189</v>
      </c>
      <c r="B189" s="6">
        <v>0.7409</v>
      </c>
      <c r="C189" s="6">
        <v>20</v>
      </c>
      <c r="D189" s="6">
        <v>2.2928000000000002</v>
      </c>
      <c r="E189" s="6">
        <v>4.5603999999999996</v>
      </c>
      <c r="F189" s="6">
        <v>56</v>
      </c>
    </row>
    <row r="190" spans="1:6" x14ac:dyDescent="0.25">
      <c r="A190" s="6" t="s">
        <v>1190</v>
      </c>
      <c r="B190" s="6">
        <v>0.86980000000000002</v>
      </c>
      <c r="C190" s="6">
        <v>22</v>
      </c>
      <c r="D190" s="6">
        <v>2.5506000000000002</v>
      </c>
      <c r="E190" s="6">
        <v>5.3693999999999997</v>
      </c>
      <c r="F190" s="6">
        <v>66</v>
      </c>
    </row>
    <row r="191" spans="1:6" x14ac:dyDescent="0.25">
      <c r="A191" s="6" t="s">
        <v>1191</v>
      </c>
      <c r="B191" s="6">
        <v>1.1642999999999999</v>
      </c>
      <c r="C191" s="6">
        <v>35</v>
      </c>
      <c r="D191" s="6">
        <v>1.8405</v>
      </c>
      <c r="E191" s="6">
        <v>6.5486000000000004</v>
      </c>
      <c r="F191" s="6">
        <v>76</v>
      </c>
    </row>
    <row r="192" spans="1:6" x14ac:dyDescent="0.25">
      <c r="A192" s="6" t="s">
        <v>1192</v>
      </c>
      <c r="B192" s="6">
        <v>0.55620000000000003</v>
      </c>
      <c r="C192" s="6">
        <v>16</v>
      </c>
      <c r="D192" s="6">
        <v>1.7613000000000001</v>
      </c>
      <c r="E192" s="6">
        <v>3.3542000000000001</v>
      </c>
      <c r="F192" s="6">
        <v>41</v>
      </c>
    </row>
    <row r="193" spans="1:6" x14ac:dyDescent="0.25">
      <c r="A193" s="6" t="s">
        <v>1193</v>
      </c>
      <c r="B193" s="6">
        <v>0.55320000000000003</v>
      </c>
      <c r="C193" s="6">
        <v>16</v>
      </c>
      <c r="D193" s="6">
        <v>1.3023</v>
      </c>
      <c r="E193" s="6">
        <v>4.6477000000000004</v>
      </c>
      <c r="F193" s="6">
        <v>77</v>
      </c>
    </row>
    <row r="194" spans="1:6" x14ac:dyDescent="0.25">
      <c r="A194" s="6" t="s">
        <v>1194</v>
      </c>
      <c r="B194" s="6">
        <v>1.3463000000000001</v>
      </c>
      <c r="C194" s="6">
        <v>34</v>
      </c>
      <c r="D194" s="6">
        <v>2.2896999999999998</v>
      </c>
      <c r="E194" s="6">
        <v>9.3957999999999995</v>
      </c>
      <c r="F194" s="6">
        <v>127</v>
      </c>
    </row>
    <row r="195" spans="1:6" x14ac:dyDescent="0.25">
      <c r="A195" s="6" t="s">
        <v>1195</v>
      </c>
      <c r="B195" s="6">
        <v>0.72989999999999999</v>
      </c>
      <c r="C195" s="6">
        <v>20</v>
      </c>
      <c r="D195" s="6">
        <v>2.0139</v>
      </c>
      <c r="E195" s="6">
        <v>5.7945000000000002</v>
      </c>
      <c r="F195" s="6">
        <v>74</v>
      </c>
    </row>
    <row r="196" spans="1:6" x14ac:dyDescent="0.25">
      <c r="A196" s="6" t="s">
        <v>1196</v>
      </c>
      <c r="B196" s="6">
        <v>0.5534</v>
      </c>
      <c r="C196" s="6">
        <v>17</v>
      </c>
      <c r="D196" s="6">
        <v>1.8270999999999999</v>
      </c>
      <c r="E196" s="6">
        <v>4.1154999999999999</v>
      </c>
      <c r="F196" s="6">
        <v>41</v>
      </c>
    </row>
    <row r="197" spans="1:6" x14ac:dyDescent="0.25">
      <c r="A197" s="6" t="s">
        <v>1197</v>
      </c>
      <c r="B197" s="6">
        <v>0.92649999999999999</v>
      </c>
      <c r="C197" s="6">
        <v>25</v>
      </c>
      <c r="D197" s="6">
        <v>3.0053999999999998</v>
      </c>
      <c r="E197" s="6">
        <v>5.4603000000000002</v>
      </c>
      <c r="F197" s="6">
        <v>56</v>
      </c>
    </row>
    <row r="198" spans="1:6" x14ac:dyDescent="0.25">
      <c r="A198" s="6" t="s">
        <v>1198</v>
      </c>
      <c r="B198" s="6">
        <v>0.99399999999999999</v>
      </c>
      <c r="C198" s="6">
        <v>32</v>
      </c>
      <c r="D198" s="6">
        <v>2.0430999999999999</v>
      </c>
      <c r="E198" s="6">
        <v>8.7548999999999992</v>
      </c>
      <c r="F198" s="6">
        <v>123</v>
      </c>
    </row>
    <row r="199" spans="1:6" x14ac:dyDescent="0.25">
      <c r="A199" s="6" t="s">
        <v>1199</v>
      </c>
      <c r="B199" s="6">
        <v>1.0446</v>
      </c>
      <c r="C199" s="6">
        <v>30</v>
      </c>
      <c r="D199" s="6">
        <v>3.0101</v>
      </c>
      <c r="E199" s="6">
        <v>8.1464999999999996</v>
      </c>
      <c r="F199" s="6">
        <v>84</v>
      </c>
    </row>
    <row r="200" spans="1:6" x14ac:dyDescent="0.25">
      <c r="A200" s="6" t="s">
        <v>1200</v>
      </c>
      <c r="B200" s="6">
        <v>0.98150000000000004</v>
      </c>
      <c r="C200" s="6">
        <v>27</v>
      </c>
      <c r="D200" s="6">
        <v>3.4083999999999999</v>
      </c>
      <c r="E200" s="6">
        <v>7.0930999999999997</v>
      </c>
      <c r="F200" s="6">
        <v>75</v>
      </c>
    </row>
    <row r="201" spans="1:6" x14ac:dyDescent="0.25">
      <c r="A201" s="6" t="s">
        <v>1201</v>
      </c>
      <c r="B201" s="6">
        <v>0.90720000000000001</v>
      </c>
      <c r="C201" s="6">
        <v>25</v>
      </c>
      <c r="D201" s="6">
        <v>2.5173999999999999</v>
      </c>
      <c r="E201" s="6">
        <v>7.8609999999999998</v>
      </c>
      <c r="F201" s="6">
        <v>99</v>
      </c>
    </row>
    <row r="202" spans="1:6" x14ac:dyDescent="0.25">
      <c r="A202" s="6" t="s">
        <v>1202</v>
      </c>
      <c r="B202" s="6">
        <v>0.72650000000000003</v>
      </c>
      <c r="C202" s="6">
        <v>20</v>
      </c>
      <c r="D202" s="6">
        <v>2.1743999999999999</v>
      </c>
      <c r="E202" s="6">
        <v>6.5833000000000004</v>
      </c>
      <c r="F202" s="6">
        <v>76</v>
      </c>
    </row>
    <row r="203" spans="1:6" x14ac:dyDescent="0.25">
      <c r="A203" s="6" t="s">
        <v>1203</v>
      </c>
      <c r="B203" s="6">
        <v>1.3234999999999999</v>
      </c>
      <c r="C203" s="6">
        <v>33</v>
      </c>
      <c r="D203" s="6">
        <v>3.0301999999999998</v>
      </c>
      <c r="E203" s="6">
        <v>10.8233</v>
      </c>
      <c r="F203" s="6">
        <v>138</v>
      </c>
    </row>
    <row r="204" spans="1:6" x14ac:dyDescent="0.25">
      <c r="A204" s="6" t="s">
        <v>1204</v>
      </c>
      <c r="B204" s="6">
        <v>0.52659999999999996</v>
      </c>
      <c r="C204" s="6">
        <v>19</v>
      </c>
      <c r="D204" s="6">
        <v>1.4611000000000001</v>
      </c>
      <c r="E204" s="6">
        <v>6.6090999999999998</v>
      </c>
      <c r="F204" s="6">
        <v>100</v>
      </c>
    </row>
    <row r="205" spans="1:6" x14ac:dyDescent="0.25">
      <c r="A205" s="6" t="s">
        <v>1205</v>
      </c>
      <c r="B205" s="6">
        <v>1.1503000000000001</v>
      </c>
      <c r="C205" s="6">
        <v>29</v>
      </c>
      <c r="D205" s="6">
        <v>2.4453</v>
      </c>
      <c r="E205" s="6">
        <v>10.262600000000001</v>
      </c>
      <c r="F205" s="6">
        <v>153</v>
      </c>
    </row>
    <row r="206" spans="1:6" x14ac:dyDescent="0.25">
      <c r="A206" s="6" t="s">
        <v>1206</v>
      </c>
      <c r="B206" s="6">
        <v>2.3388</v>
      </c>
      <c r="C206" s="6">
        <v>58</v>
      </c>
      <c r="D206" s="6">
        <v>3.3754</v>
      </c>
      <c r="E206" s="6">
        <v>8.0130999999999997</v>
      </c>
      <c r="F206" s="6">
        <v>73</v>
      </c>
    </row>
    <row r="207" spans="1:6" x14ac:dyDescent="0.25">
      <c r="A207" s="6" t="s">
        <v>1207</v>
      </c>
      <c r="B207" s="6">
        <v>0.7429</v>
      </c>
      <c r="C207" s="6">
        <v>21</v>
      </c>
      <c r="D207" s="6">
        <v>1.9590000000000001</v>
      </c>
      <c r="E207" s="6">
        <v>6.9427000000000003</v>
      </c>
      <c r="F207" s="6">
        <v>75</v>
      </c>
    </row>
    <row r="208" spans="1:6" x14ac:dyDescent="0.25">
      <c r="A208" s="6" t="s">
        <v>1208</v>
      </c>
      <c r="B208" s="6">
        <v>0.80049999999999999</v>
      </c>
      <c r="C208" s="6">
        <v>21</v>
      </c>
      <c r="D208" s="6">
        <v>2.081</v>
      </c>
      <c r="E208" s="6">
        <v>8.0146999999999995</v>
      </c>
      <c r="F208" s="6">
        <v>121</v>
      </c>
    </row>
    <row r="209" spans="1:6" x14ac:dyDescent="0.25">
      <c r="A209" s="6" t="s">
        <v>1209</v>
      </c>
      <c r="B209" s="6">
        <v>1.258</v>
      </c>
      <c r="C209" s="6">
        <v>35</v>
      </c>
      <c r="D209" s="6">
        <v>2.0836000000000001</v>
      </c>
      <c r="E209" s="6">
        <v>7.3750999999999998</v>
      </c>
      <c r="F209" s="6">
        <v>95</v>
      </c>
    </row>
    <row r="210" spans="1:6" x14ac:dyDescent="0.25">
      <c r="A210" s="6" t="s">
        <v>1210</v>
      </c>
      <c r="B210" s="6">
        <v>1.4902</v>
      </c>
      <c r="C210" s="6">
        <v>42</v>
      </c>
      <c r="D210" s="6">
        <v>2.1324999999999998</v>
      </c>
      <c r="E210" s="6">
        <v>8.6568000000000005</v>
      </c>
      <c r="F210" s="6">
        <v>110</v>
      </c>
    </row>
    <row r="211" spans="1:6" x14ac:dyDescent="0.25">
      <c r="A211" s="6" t="s">
        <v>1211</v>
      </c>
      <c r="B211" s="6">
        <v>0.60119999999999996</v>
      </c>
      <c r="C211" s="6">
        <v>20</v>
      </c>
      <c r="D211" s="6">
        <v>2.6238000000000001</v>
      </c>
      <c r="E211" s="6">
        <v>4.1631</v>
      </c>
      <c r="F211" s="6">
        <v>51</v>
      </c>
    </row>
    <row r="212" spans="1:6" x14ac:dyDescent="0.25">
      <c r="A212" s="6" t="s">
        <v>1212</v>
      </c>
      <c r="B212" s="6">
        <v>0.91090000000000004</v>
      </c>
      <c r="C212" s="6">
        <v>27</v>
      </c>
      <c r="D212" s="6">
        <v>2.9887999999999999</v>
      </c>
      <c r="E212" s="6">
        <v>5.8444000000000003</v>
      </c>
      <c r="F212" s="6">
        <v>72</v>
      </c>
    </row>
    <row r="213" spans="1:6" x14ac:dyDescent="0.25">
      <c r="A213" s="6" t="s">
        <v>1213</v>
      </c>
      <c r="B213" s="6">
        <v>0.70509999999999995</v>
      </c>
      <c r="C213" s="6">
        <v>21</v>
      </c>
      <c r="D213" s="6">
        <v>2.5924999999999998</v>
      </c>
      <c r="E213" s="6">
        <v>8.0065000000000008</v>
      </c>
      <c r="F213" s="6">
        <v>104</v>
      </c>
    </row>
    <row r="214" spans="1:6" x14ac:dyDescent="0.25">
      <c r="A214" s="6" t="s">
        <v>1214</v>
      </c>
      <c r="B214" s="6">
        <v>0.66920000000000002</v>
      </c>
      <c r="C214" s="6">
        <v>21</v>
      </c>
      <c r="D214" s="6">
        <v>1.2361</v>
      </c>
      <c r="E214" s="6">
        <v>6.8361999999999998</v>
      </c>
      <c r="F214" s="6">
        <v>94</v>
      </c>
    </row>
    <row r="215" spans="1:6" x14ac:dyDescent="0.25">
      <c r="A215" s="6" t="s">
        <v>1215</v>
      </c>
      <c r="B215" s="6">
        <v>0.88959999999999995</v>
      </c>
      <c r="C215" s="6">
        <v>26</v>
      </c>
      <c r="D215" s="6">
        <v>2.3582999999999998</v>
      </c>
      <c r="E215" s="6">
        <v>6.3928000000000003</v>
      </c>
      <c r="F215" s="6">
        <v>80</v>
      </c>
    </row>
    <row r="216" spans="1:6" x14ac:dyDescent="0.25">
      <c r="A216" s="6" t="s">
        <v>1216</v>
      </c>
      <c r="B216" s="6">
        <v>0.59109999999999996</v>
      </c>
      <c r="C216" s="6">
        <v>18</v>
      </c>
      <c r="D216" s="6">
        <v>1.742</v>
      </c>
      <c r="E216" s="6">
        <v>3.6154999999999999</v>
      </c>
      <c r="F216" s="6">
        <v>40</v>
      </c>
    </row>
    <row r="217" spans="1:6" x14ac:dyDescent="0.25">
      <c r="A217" s="6" t="s">
        <v>1217</v>
      </c>
      <c r="B217" s="6">
        <v>0.98499999999999999</v>
      </c>
      <c r="C217" s="6">
        <v>27</v>
      </c>
      <c r="D217" s="6">
        <v>2.1751</v>
      </c>
      <c r="E217" s="6">
        <v>9.0787999999999993</v>
      </c>
      <c r="F217" s="6">
        <v>127</v>
      </c>
    </row>
    <row r="218" spans="1:6" x14ac:dyDescent="0.25">
      <c r="A218" s="6" t="s">
        <v>1218</v>
      </c>
      <c r="B218" s="6">
        <v>2.8999000000000001</v>
      </c>
      <c r="C218" s="6">
        <v>68</v>
      </c>
      <c r="D218" s="6">
        <v>3.2254999999999998</v>
      </c>
      <c r="E218" s="6">
        <v>12.285399999999999</v>
      </c>
      <c r="F218" s="6">
        <v>172</v>
      </c>
    </row>
    <row r="219" spans="1:6" x14ac:dyDescent="0.25">
      <c r="A219" s="6" t="s">
        <v>1219</v>
      </c>
      <c r="B219" s="6">
        <v>1.2501</v>
      </c>
      <c r="C219" s="6">
        <v>32</v>
      </c>
      <c r="D219" s="6">
        <v>2.7339000000000002</v>
      </c>
      <c r="E219" s="6">
        <v>8.8233999999999995</v>
      </c>
      <c r="F219" s="6">
        <v>114</v>
      </c>
    </row>
    <row r="220" spans="1:6" x14ac:dyDescent="0.25">
      <c r="A220" s="6" t="s">
        <v>1220</v>
      </c>
      <c r="B220" s="6">
        <v>1.6477999999999999</v>
      </c>
      <c r="C220" s="6">
        <v>40</v>
      </c>
      <c r="D220" s="6">
        <v>2.6242000000000001</v>
      </c>
      <c r="E220" s="6">
        <v>14.506</v>
      </c>
      <c r="F220" s="6">
        <v>167</v>
      </c>
    </row>
    <row r="221" spans="1:6" x14ac:dyDescent="0.25">
      <c r="A221" s="6" t="s">
        <v>1221</v>
      </c>
      <c r="B221" s="6">
        <v>1.8515999999999999</v>
      </c>
      <c r="C221" s="6">
        <v>50</v>
      </c>
      <c r="D221" s="6">
        <v>2.2541000000000002</v>
      </c>
      <c r="E221" s="6">
        <v>10.9115</v>
      </c>
      <c r="F221" s="6">
        <v>158</v>
      </c>
    </row>
    <row r="222" spans="1:6" x14ac:dyDescent="0.25">
      <c r="A222" s="6" t="s">
        <v>1222</v>
      </c>
      <c r="B222" s="6">
        <v>1.1617999999999999</v>
      </c>
      <c r="C222" s="6">
        <v>31</v>
      </c>
      <c r="D222" s="6">
        <v>2.4807999999999999</v>
      </c>
      <c r="E222" s="6">
        <v>7.6090999999999998</v>
      </c>
      <c r="F222" s="6">
        <v>91</v>
      </c>
    </row>
    <row r="223" spans="1:6" x14ac:dyDescent="0.25">
      <c r="A223" s="6" t="s">
        <v>1223</v>
      </c>
      <c r="B223" s="6">
        <v>1.1237999999999999</v>
      </c>
      <c r="C223" s="6">
        <v>35</v>
      </c>
      <c r="D223" s="6">
        <v>2.3414000000000001</v>
      </c>
      <c r="E223" s="6">
        <v>11.98</v>
      </c>
      <c r="F223" s="6">
        <v>167</v>
      </c>
    </row>
    <row r="224" spans="1:6" x14ac:dyDescent="0.25">
      <c r="A224" s="6" t="s">
        <v>1224</v>
      </c>
      <c r="B224" s="6">
        <v>0.75990000000000002</v>
      </c>
      <c r="C224" s="6">
        <v>23</v>
      </c>
      <c r="D224" s="6">
        <v>1.9213</v>
      </c>
      <c r="E224" s="6">
        <v>5.6666999999999996</v>
      </c>
      <c r="F224" s="6">
        <v>74</v>
      </c>
    </row>
    <row r="225" spans="1:6" x14ac:dyDescent="0.25">
      <c r="A225" s="6" t="s">
        <v>1225</v>
      </c>
      <c r="B225" s="6">
        <v>1.1754</v>
      </c>
      <c r="C225" s="6">
        <v>27</v>
      </c>
      <c r="D225" s="6">
        <v>2.9540999999999999</v>
      </c>
      <c r="E225" s="6">
        <v>10.1061</v>
      </c>
      <c r="F225" s="6">
        <v>126</v>
      </c>
    </row>
    <row r="226" spans="1:6" x14ac:dyDescent="0.25">
      <c r="A226" s="6" t="s">
        <v>1226</v>
      </c>
      <c r="B226" s="6">
        <v>0.9849</v>
      </c>
      <c r="C226" s="6">
        <v>30</v>
      </c>
      <c r="D226" s="6">
        <v>2.9401999999999999</v>
      </c>
      <c r="E226" s="6">
        <v>5.8159000000000001</v>
      </c>
      <c r="F226" s="6">
        <v>65</v>
      </c>
    </row>
    <row r="227" spans="1:6" x14ac:dyDescent="0.25">
      <c r="A227" s="6" t="s">
        <v>1227</v>
      </c>
      <c r="B227" s="6">
        <v>0.90669999999999995</v>
      </c>
      <c r="C227" s="6">
        <v>24</v>
      </c>
      <c r="D227" s="6">
        <v>2.4683000000000002</v>
      </c>
      <c r="E227" s="6">
        <v>6.5835999999999997</v>
      </c>
      <c r="F227" s="6">
        <v>66</v>
      </c>
    </row>
    <row r="228" spans="1:6" x14ac:dyDescent="0.25">
      <c r="A228" s="6" t="s">
        <v>1228</v>
      </c>
      <c r="B228" s="6">
        <v>1.2713000000000001</v>
      </c>
      <c r="C228" s="6">
        <v>33</v>
      </c>
      <c r="D228" s="6">
        <v>2.8347000000000002</v>
      </c>
      <c r="E228" s="6">
        <v>9.8542000000000005</v>
      </c>
      <c r="F228" s="6">
        <v>140</v>
      </c>
    </row>
    <row r="229" spans="1:6" x14ac:dyDescent="0.25">
      <c r="A229" s="6" t="s">
        <v>1229</v>
      </c>
      <c r="B229" s="6">
        <v>1.7529999999999999</v>
      </c>
      <c r="C229" s="6">
        <v>39</v>
      </c>
      <c r="D229" s="6">
        <v>3.8982999999999999</v>
      </c>
      <c r="E229" s="6">
        <v>10.543699999999999</v>
      </c>
      <c r="F229" s="6">
        <v>127</v>
      </c>
    </row>
    <row r="230" spans="1:6" x14ac:dyDescent="0.25">
      <c r="A230" s="6" t="s">
        <v>1230</v>
      </c>
      <c r="B230" s="6">
        <v>0.52229999999999999</v>
      </c>
      <c r="C230" s="6">
        <v>17</v>
      </c>
      <c r="D230" s="6">
        <v>2.1674000000000002</v>
      </c>
      <c r="E230" s="6">
        <v>8.7495999999999992</v>
      </c>
      <c r="F230" s="6">
        <v>130</v>
      </c>
    </row>
    <row r="231" spans="1:6" x14ac:dyDescent="0.25">
      <c r="A231" s="6" t="s">
        <v>1231</v>
      </c>
      <c r="B231" s="6">
        <v>2.9599000000000002</v>
      </c>
      <c r="C231" s="6">
        <v>64</v>
      </c>
      <c r="D231" s="6">
        <v>2.9033000000000002</v>
      </c>
      <c r="E231" s="6">
        <v>11.242699999999999</v>
      </c>
      <c r="F231" s="6">
        <v>165</v>
      </c>
    </row>
    <row r="232" spans="1:6" x14ac:dyDescent="0.25">
      <c r="A232" s="6" t="s">
        <v>1232</v>
      </c>
      <c r="B232" s="6">
        <v>1.4915</v>
      </c>
      <c r="C232" s="6">
        <v>37</v>
      </c>
      <c r="D232" s="6">
        <v>2.6021999999999998</v>
      </c>
      <c r="E232" s="6">
        <v>5.3407999999999998</v>
      </c>
      <c r="F232" s="6">
        <v>47</v>
      </c>
    </row>
    <row r="233" spans="1:6" x14ac:dyDescent="0.25">
      <c r="A233" s="6" t="s">
        <v>1233</v>
      </c>
      <c r="B233" s="6">
        <v>1.9837</v>
      </c>
      <c r="C233" s="6">
        <v>48</v>
      </c>
      <c r="D233" s="6">
        <v>2.8214999999999999</v>
      </c>
      <c r="E233" s="6">
        <v>10.6251</v>
      </c>
      <c r="F233" s="6">
        <v>133</v>
      </c>
    </row>
    <row r="234" spans="1:6" x14ac:dyDescent="0.25">
      <c r="A234" s="6" t="s">
        <v>1234</v>
      </c>
      <c r="B234" s="6">
        <v>1.9355</v>
      </c>
      <c r="C234" s="6">
        <v>56</v>
      </c>
      <c r="D234" s="6">
        <v>2.6326999999999998</v>
      </c>
      <c r="E234" s="6">
        <v>9.1092999999999993</v>
      </c>
      <c r="F234" s="6">
        <v>125</v>
      </c>
    </row>
    <row r="235" spans="1:6" x14ac:dyDescent="0.25">
      <c r="A235" s="6" t="s">
        <v>1235</v>
      </c>
      <c r="B235" s="6">
        <v>1.4060999999999999</v>
      </c>
      <c r="C235" s="6">
        <v>34</v>
      </c>
      <c r="D235" s="6">
        <v>2.3151999999999999</v>
      </c>
      <c r="E235" s="6">
        <v>4.9021999999999997</v>
      </c>
      <c r="F235" s="6">
        <v>60</v>
      </c>
    </row>
    <row r="236" spans="1:6" x14ac:dyDescent="0.25">
      <c r="A236" s="6" t="s">
        <v>1236</v>
      </c>
      <c r="B236" s="6">
        <v>1.6057999999999999</v>
      </c>
      <c r="C236" s="6">
        <v>46</v>
      </c>
      <c r="D236" s="6">
        <v>2.1257999999999999</v>
      </c>
      <c r="E236" s="6">
        <v>6.0571999999999999</v>
      </c>
      <c r="F236" s="6">
        <v>70</v>
      </c>
    </row>
    <row r="237" spans="1:6" x14ac:dyDescent="0.25">
      <c r="A237" s="6" t="s">
        <v>1237</v>
      </c>
      <c r="B237" s="6">
        <v>2.0939000000000001</v>
      </c>
      <c r="C237" s="6">
        <v>30</v>
      </c>
      <c r="D237" s="6">
        <v>3.6389</v>
      </c>
      <c r="E237" s="6">
        <v>9.5489999999999995</v>
      </c>
      <c r="F237" s="6">
        <v>112</v>
      </c>
    </row>
    <row r="238" spans="1:6" x14ac:dyDescent="0.25">
      <c r="A238" s="6" t="s">
        <v>1238</v>
      </c>
      <c r="B238" s="6">
        <v>9.3561999999999994</v>
      </c>
      <c r="C238" s="6">
        <v>182</v>
      </c>
      <c r="D238" s="6">
        <v>2.9011999999999998</v>
      </c>
      <c r="E238" s="6">
        <v>12.116400000000001</v>
      </c>
      <c r="F238" s="6">
        <v>148</v>
      </c>
    </row>
    <row r="239" spans="1:6" x14ac:dyDescent="0.25">
      <c r="A239" s="6" t="s">
        <v>1239</v>
      </c>
      <c r="B239" s="6">
        <v>1.1686000000000001</v>
      </c>
      <c r="C239" s="6">
        <v>32</v>
      </c>
      <c r="D239" s="6">
        <v>3.1267</v>
      </c>
      <c r="E239" s="6">
        <v>12.086</v>
      </c>
      <c r="F239" s="6">
        <v>162</v>
      </c>
    </row>
    <row r="240" spans="1:6" x14ac:dyDescent="0.25">
      <c r="A240" s="6" t="s">
        <v>1240</v>
      </c>
      <c r="B240" s="6">
        <v>1.3968</v>
      </c>
      <c r="C240" s="6">
        <v>36</v>
      </c>
      <c r="D240" s="6">
        <v>2.8218999999999999</v>
      </c>
      <c r="E240" s="6">
        <v>9.8377999999999997</v>
      </c>
      <c r="F240" s="6">
        <v>116</v>
      </c>
    </row>
    <row r="241" spans="1:6" x14ac:dyDescent="0.25">
      <c r="A241" s="6" t="s">
        <v>1241</v>
      </c>
      <c r="B241" s="6">
        <v>0.71389999999999998</v>
      </c>
      <c r="C241" s="6">
        <v>25</v>
      </c>
      <c r="D241" s="6">
        <v>2.1036000000000001</v>
      </c>
      <c r="E241" s="6">
        <v>8.1731999999999996</v>
      </c>
      <c r="F241" s="6">
        <v>111</v>
      </c>
    </row>
    <row r="242" spans="1:6" x14ac:dyDescent="0.25">
      <c r="A242" s="6" t="s">
        <v>1242</v>
      </c>
      <c r="B242" s="6">
        <v>0.65959999999999996</v>
      </c>
      <c r="C242" s="6">
        <v>19</v>
      </c>
      <c r="D242" s="6">
        <v>2.1089000000000002</v>
      </c>
      <c r="E242" s="6">
        <v>7.7325999999999997</v>
      </c>
      <c r="F242" s="6">
        <v>99</v>
      </c>
    </row>
    <row r="243" spans="1:6" x14ac:dyDescent="0.25">
      <c r="A243" s="6" t="s">
        <v>1243</v>
      </c>
      <c r="B243" s="6">
        <v>0.80110000000000003</v>
      </c>
      <c r="C243" s="6">
        <v>25</v>
      </c>
      <c r="D243" s="6">
        <v>1.3431999999999999</v>
      </c>
      <c r="E243" s="6">
        <v>5.2511000000000001</v>
      </c>
      <c r="F243" s="6">
        <v>89</v>
      </c>
    </row>
    <row r="244" spans="1:6" x14ac:dyDescent="0.25">
      <c r="A244" s="6" t="s">
        <v>1244</v>
      </c>
      <c r="B244" s="6">
        <v>1</v>
      </c>
      <c r="C244" s="6">
        <v>28</v>
      </c>
      <c r="D244" s="6">
        <v>1.8565</v>
      </c>
      <c r="E244" s="6">
        <v>3.8866000000000001</v>
      </c>
      <c r="F244" s="6">
        <v>41</v>
      </c>
    </row>
    <row r="245" spans="1:6" x14ac:dyDescent="0.25">
      <c r="A245" s="6" t="s">
        <v>1245</v>
      </c>
      <c r="B245" s="6">
        <v>1.0366</v>
      </c>
      <c r="C245" s="6">
        <v>31</v>
      </c>
      <c r="D245" s="6">
        <v>2.1314000000000002</v>
      </c>
      <c r="E245" s="6">
        <v>9.9763000000000002</v>
      </c>
      <c r="F245" s="6">
        <v>142</v>
      </c>
    </row>
    <row r="246" spans="1:6" x14ac:dyDescent="0.25">
      <c r="A246" s="6" t="s">
        <v>1246</v>
      </c>
      <c r="B246" s="6">
        <v>0.75349999999999995</v>
      </c>
      <c r="C246" s="6">
        <v>22</v>
      </c>
      <c r="D246" s="6">
        <v>2.5358999999999998</v>
      </c>
      <c r="E246" s="6">
        <v>6.7461000000000002</v>
      </c>
      <c r="F246" s="6">
        <v>90</v>
      </c>
    </row>
    <row r="247" spans="1:6" x14ac:dyDescent="0.25">
      <c r="A247" s="6" t="s">
        <v>1247</v>
      </c>
      <c r="B247" s="6">
        <v>1.5291999999999999</v>
      </c>
      <c r="C247" s="6">
        <v>41</v>
      </c>
      <c r="D247" s="6">
        <v>2.3512</v>
      </c>
      <c r="E247" s="6">
        <v>9.7827000000000002</v>
      </c>
      <c r="F247" s="6">
        <v>146</v>
      </c>
    </row>
    <row r="248" spans="1:6" x14ac:dyDescent="0.25">
      <c r="A248" s="6" t="s">
        <v>1248</v>
      </c>
      <c r="B248" s="6">
        <v>0.93979999999999997</v>
      </c>
      <c r="C248" s="6">
        <v>27</v>
      </c>
      <c r="D248" s="6">
        <v>2.0914000000000001</v>
      </c>
      <c r="E248" s="6">
        <v>5.5885999999999996</v>
      </c>
      <c r="F248" s="6">
        <v>65</v>
      </c>
    </row>
    <row r="249" spans="1:6" x14ac:dyDescent="0.25">
      <c r="A249" s="6" t="s">
        <v>1249</v>
      </c>
      <c r="B249" s="6">
        <v>0.72719999999999996</v>
      </c>
      <c r="C249" s="6">
        <v>22</v>
      </c>
      <c r="D249" s="6">
        <v>2.4617</v>
      </c>
      <c r="E249" s="6">
        <v>8.1879000000000008</v>
      </c>
      <c r="F249" s="6">
        <v>99</v>
      </c>
    </row>
    <row r="250" spans="1:6" x14ac:dyDescent="0.25">
      <c r="A250" s="6" t="s">
        <v>1250</v>
      </c>
      <c r="B250" s="6">
        <v>1.4251</v>
      </c>
      <c r="C250" s="6">
        <v>37</v>
      </c>
      <c r="D250" s="6">
        <v>3.1591</v>
      </c>
      <c r="E250" s="6">
        <v>6.2228000000000003</v>
      </c>
      <c r="F250" s="6">
        <v>58</v>
      </c>
    </row>
    <row r="251" spans="1:6" x14ac:dyDescent="0.25">
      <c r="A251" s="6" t="s">
        <v>1251</v>
      </c>
      <c r="B251" s="6">
        <v>1.351</v>
      </c>
      <c r="C251" s="6">
        <v>35</v>
      </c>
      <c r="D251" s="6">
        <v>2.7155</v>
      </c>
      <c r="E251" s="6">
        <v>8.8165999999999993</v>
      </c>
      <c r="F251" s="6">
        <v>103</v>
      </c>
    </row>
    <row r="252" spans="1:6" x14ac:dyDescent="0.25">
      <c r="A252" s="6" t="s">
        <v>1252</v>
      </c>
      <c r="B252" s="6">
        <v>1.2638</v>
      </c>
      <c r="C252" s="6">
        <v>32</v>
      </c>
      <c r="D252" s="6">
        <v>2.7652999999999999</v>
      </c>
      <c r="E252" s="6">
        <v>7.0098000000000003</v>
      </c>
      <c r="F252" s="6">
        <v>89</v>
      </c>
    </row>
    <row r="253" spans="1:6" x14ac:dyDescent="0.25">
      <c r="A253" s="6" t="s">
        <v>1253</v>
      </c>
      <c r="B253" s="6">
        <v>1.228</v>
      </c>
      <c r="C253" s="6">
        <v>33</v>
      </c>
      <c r="D253" s="6">
        <v>2.7313000000000001</v>
      </c>
      <c r="E253" s="6">
        <v>8.1041000000000007</v>
      </c>
      <c r="F253" s="6">
        <v>91</v>
      </c>
    </row>
    <row r="254" spans="1:6" x14ac:dyDescent="0.25">
      <c r="A254" s="6" t="s">
        <v>1254</v>
      </c>
      <c r="B254" s="6">
        <v>0.6996</v>
      </c>
      <c r="C254" s="6">
        <v>22</v>
      </c>
      <c r="D254" s="6">
        <v>2.4735999999999998</v>
      </c>
      <c r="E254" s="6">
        <v>4.0217999999999998</v>
      </c>
      <c r="F254" s="6">
        <v>39</v>
      </c>
    </row>
    <row r="255" spans="1:6" x14ac:dyDescent="0.25">
      <c r="A255" s="6" t="s">
        <v>1255</v>
      </c>
      <c r="B255" s="6">
        <v>0.6865</v>
      </c>
      <c r="C255" s="6">
        <v>19</v>
      </c>
      <c r="D255" s="6">
        <v>2.0125999999999999</v>
      </c>
      <c r="E255" s="6">
        <v>7.8448000000000002</v>
      </c>
      <c r="F255" s="6">
        <v>116</v>
      </c>
    </row>
    <row r="256" spans="1:6" x14ac:dyDescent="0.25">
      <c r="A256" s="6" t="s">
        <v>1256</v>
      </c>
      <c r="B256" s="6">
        <v>0.62760000000000005</v>
      </c>
      <c r="C256" s="6">
        <v>17</v>
      </c>
      <c r="D256" s="6">
        <v>2.1438000000000001</v>
      </c>
      <c r="E256" s="6">
        <v>11.058299999999999</v>
      </c>
      <c r="F256" s="6">
        <v>184</v>
      </c>
    </row>
    <row r="257" spans="1:6" x14ac:dyDescent="0.25">
      <c r="A257" s="6" t="s">
        <v>1257</v>
      </c>
      <c r="B257" s="6">
        <v>0.80459999999999998</v>
      </c>
      <c r="C257" s="6">
        <v>24</v>
      </c>
      <c r="D257" s="6">
        <v>1.9836</v>
      </c>
      <c r="E257" s="6">
        <v>5.0232000000000001</v>
      </c>
      <c r="F257" s="6">
        <v>56</v>
      </c>
    </row>
    <row r="258" spans="1:6" x14ac:dyDescent="0.25">
      <c r="A258" s="6" t="s">
        <v>1258</v>
      </c>
      <c r="B258" s="6">
        <v>0.45550000000000002</v>
      </c>
      <c r="C258" s="6">
        <v>14</v>
      </c>
      <c r="D258" s="6">
        <v>1.9542999999999999</v>
      </c>
      <c r="E258" s="6">
        <v>3.5344000000000002</v>
      </c>
      <c r="F258" s="6">
        <v>39</v>
      </c>
    </row>
    <row r="259" spans="1:6" x14ac:dyDescent="0.25">
      <c r="A259" s="6" t="s">
        <v>1259</v>
      </c>
      <c r="B259" s="6">
        <v>0.86209999999999998</v>
      </c>
      <c r="C259" s="6">
        <v>25</v>
      </c>
      <c r="D259" s="6">
        <v>1.9946999999999999</v>
      </c>
      <c r="E259" s="6">
        <v>9.3165999999999993</v>
      </c>
      <c r="F259" s="6">
        <v>133</v>
      </c>
    </row>
    <row r="260" spans="1:6" x14ac:dyDescent="0.25">
      <c r="A260" s="6" t="s">
        <v>1260</v>
      </c>
      <c r="B260" s="6">
        <v>1.3787</v>
      </c>
      <c r="C260" s="6">
        <v>39</v>
      </c>
      <c r="D260" s="6">
        <v>2.6166</v>
      </c>
      <c r="E260" s="6">
        <v>17.2392</v>
      </c>
      <c r="F260" s="6">
        <v>231</v>
      </c>
    </row>
    <row r="261" spans="1:6" x14ac:dyDescent="0.25">
      <c r="A261" s="6" t="s">
        <v>1261</v>
      </c>
      <c r="B261" s="6">
        <v>1.5665</v>
      </c>
      <c r="C261" s="6">
        <v>37</v>
      </c>
      <c r="D261" s="6">
        <v>4.3524000000000003</v>
      </c>
      <c r="E261" s="6">
        <v>7.3192000000000004</v>
      </c>
      <c r="F261" s="6">
        <v>70</v>
      </c>
    </row>
    <row r="262" spans="1:6" x14ac:dyDescent="0.25">
      <c r="A262" s="6" t="s">
        <v>1262</v>
      </c>
      <c r="B262" s="6">
        <v>0.90100000000000002</v>
      </c>
      <c r="C262" s="6">
        <v>26</v>
      </c>
      <c r="D262" s="6">
        <v>2.1951999999999998</v>
      </c>
      <c r="E262" s="6">
        <v>7.23</v>
      </c>
      <c r="F262" s="6">
        <v>92</v>
      </c>
    </row>
    <row r="263" spans="1:6" x14ac:dyDescent="0.25">
      <c r="A263" s="6" t="s">
        <v>1263</v>
      </c>
      <c r="B263" s="6">
        <v>1.2799</v>
      </c>
      <c r="C263" s="6">
        <v>35</v>
      </c>
      <c r="D263" s="6">
        <v>2.5402</v>
      </c>
      <c r="E263" s="6">
        <v>10.7227</v>
      </c>
      <c r="F263" s="6">
        <v>127</v>
      </c>
    </row>
    <row r="264" spans="1:6" x14ac:dyDescent="0.25">
      <c r="A264" s="6" t="s">
        <v>1264</v>
      </c>
      <c r="B264" s="6">
        <v>0.81100000000000005</v>
      </c>
      <c r="C264" s="6">
        <v>26</v>
      </c>
      <c r="D264" s="6">
        <v>2.1392000000000002</v>
      </c>
      <c r="E264" s="6">
        <v>15.245100000000001</v>
      </c>
      <c r="F264" s="6">
        <v>237</v>
      </c>
    </row>
    <row r="265" spans="1:6" x14ac:dyDescent="0.25">
      <c r="A265" s="6" t="s">
        <v>1265</v>
      </c>
      <c r="B265" s="6">
        <v>0.65649999999999997</v>
      </c>
      <c r="C265" s="6">
        <v>20</v>
      </c>
      <c r="D265" s="6">
        <v>2.2351000000000001</v>
      </c>
      <c r="E265" s="6">
        <v>5.2298999999999998</v>
      </c>
      <c r="F265" s="6">
        <v>56</v>
      </c>
    </row>
    <row r="266" spans="1:6" x14ac:dyDescent="0.25">
      <c r="A266" s="6" t="s">
        <v>1266</v>
      </c>
      <c r="B266" s="6">
        <v>0.7157</v>
      </c>
      <c r="C266" s="6">
        <v>19</v>
      </c>
      <c r="D266" s="6">
        <v>2.2745000000000002</v>
      </c>
      <c r="E266" s="6">
        <v>6.2614999999999998</v>
      </c>
      <c r="F266" s="6">
        <v>79</v>
      </c>
    </row>
    <row r="267" spans="1:6" x14ac:dyDescent="0.25">
      <c r="A267" s="6" t="s">
        <v>1267</v>
      </c>
      <c r="B267" s="6">
        <v>1.3492999999999999</v>
      </c>
      <c r="C267" s="6">
        <v>37</v>
      </c>
      <c r="D267" s="6">
        <v>2.4039999999999999</v>
      </c>
      <c r="E267" s="6">
        <v>9.5101999999999993</v>
      </c>
      <c r="F267" s="6">
        <v>138</v>
      </c>
    </row>
    <row r="268" spans="1:6" x14ac:dyDescent="0.25">
      <c r="A268" s="6" t="s">
        <v>1268</v>
      </c>
      <c r="B268" s="6">
        <v>1.3681000000000001</v>
      </c>
      <c r="C268" s="6">
        <v>33</v>
      </c>
      <c r="D268" s="6">
        <v>2.8169</v>
      </c>
      <c r="E268" s="6">
        <v>9.7733000000000008</v>
      </c>
      <c r="F268" s="6">
        <v>130</v>
      </c>
    </row>
    <row r="269" spans="1:6" x14ac:dyDescent="0.25">
      <c r="A269" s="6" t="s">
        <v>1269</v>
      </c>
      <c r="B269" s="6">
        <v>1.0572999999999999</v>
      </c>
      <c r="C269" s="6">
        <v>31</v>
      </c>
      <c r="D269" s="6">
        <v>2.7429999999999999</v>
      </c>
      <c r="E269" s="6">
        <v>9.2720000000000002</v>
      </c>
      <c r="F269" s="6">
        <v>124</v>
      </c>
    </row>
    <row r="270" spans="1:6" x14ac:dyDescent="0.25">
      <c r="A270" s="6" t="s">
        <v>1270</v>
      </c>
      <c r="B270" s="6">
        <v>0.69540000000000002</v>
      </c>
      <c r="C270" s="6">
        <v>22</v>
      </c>
      <c r="D270" s="6">
        <v>2.5554999999999999</v>
      </c>
      <c r="E270" s="6">
        <v>5.5922000000000001</v>
      </c>
      <c r="F270" s="6">
        <v>67</v>
      </c>
    </row>
    <row r="271" spans="1:6" x14ac:dyDescent="0.25">
      <c r="A271" s="6" t="s">
        <v>1271</v>
      </c>
      <c r="B271" s="6">
        <v>1.1080000000000001</v>
      </c>
      <c r="C271" s="6">
        <v>31</v>
      </c>
      <c r="D271" s="6">
        <v>2.8246000000000002</v>
      </c>
      <c r="E271" s="6">
        <v>12.3713</v>
      </c>
      <c r="F271" s="6">
        <v>182</v>
      </c>
    </row>
    <row r="272" spans="1:6" x14ac:dyDescent="0.25">
      <c r="A272" s="6" t="s">
        <v>1272</v>
      </c>
      <c r="B272" s="6">
        <v>1.6297999999999999</v>
      </c>
      <c r="C272" s="6">
        <v>44</v>
      </c>
      <c r="D272" s="6">
        <v>2.6896</v>
      </c>
      <c r="E272" s="6">
        <v>8.5013000000000005</v>
      </c>
      <c r="F272" s="6">
        <v>110</v>
      </c>
    </row>
    <row r="273" spans="1:6" x14ac:dyDescent="0.25">
      <c r="A273" s="6" t="s">
        <v>1273</v>
      </c>
      <c r="B273" s="6">
        <v>1.528</v>
      </c>
      <c r="C273" s="6">
        <v>42</v>
      </c>
      <c r="D273" s="6">
        <v>2.2751000000000001</v>
      </c>
      <c r="E273" s="6">
        <v>12.0732</v>
      </c>
      <c r="F273" s="6">
        <v>171</v>
      </c>
    </row>
    <row r="274" spans="1:6" x14ac:dyDescent="0.25">
      <c r="A274" s="6" t="s">
        <v>1274</v>
      </c>
      <c r="B274" s="6">
        <v>0.9415</v>
      </c>
      <c r="C274" s="6">
        <v>28</v>
      </c>
      <c r="D274" s="6">
        <v>2.0928</v>
      </c>
      <c r="E274" s="6">
        <v>8.3793000000000006</v>
      </c>
      <c r="F274" s="6">
        <v>125</v>
      </c>
    </row>
    <row r="275" spans="1:6" x14ac:dyDescent="0.25">
      <c r="A275" s="6" t="s">
        <v>1275</v>
      </c>
      <c r="B275" s="6">
        <v>1.0666</v>
      </c>
      <c r="C275" s="6">
        <v>28</v>
      </c>
      <c r="D275" s="6">
        <v>2.3624000000000001</v>
      </c>
      <c r="E275" s="6">
        <v>11.2051</v>
      </c>
      <c r="F275" s="6">
        <v>179</v>
      </c>
    </row>
    <row r="276" spans="1:6" x14ac:dyDescent="0.25">
      <c r="A276" s="6" t="s">
        <v>1276</v>
      </c>
      <c r="B276" s="6">
        <v>1.5386</v>
      </c>
      <c r="C276" s="6">
        <v>39</v>
      </c>
      <c r="D276" s="6">
        <v>2.4041000000000001</v>
      </c>
      <c r="E276" s="6">
        <v>3.298</v>
      </c>
      <c r="F276" s="6">
        <v>34</v>
      </c>
    </row>
    <row r="277" spans="1:6" x14ac:dyDescent="0.25">
      <c r="A277" s="6" t="s">
        <v>1277</v>
      </c>
      <c r="B277" s="6">
        <v>0.82740000000000002</v>
      </c>
      <c r="C277" s="6">
        <v>26</v>
      </c>
      <c r="D277" s="6">
        <v>1.974</v>
      </c>
      <c r="E277" s="6">
        <v>8.8567</v>
      </c>
      <c r="F277" s="6">
        <v>113</v>
      </c>
    </row>
    <row r="278" spans="1:6" x14ac:dyDescent="0.25">
      <c r="A278" s="6" t="s">
        <v>1278</v>
      </c>
      <c r="B278" s="6">
        <v>0.88890000000000002</v>
      </c>
      <c r="C278" s="6">
        <v>27</v>
      </c>
      <c r="D278" s="6">
        <v>2.7414000000000001</v>
      </c>
      <c r="E278" s="6">
        <v>13.4932</v>
      </c>
      <c r="F278" s="6">
        <v>178</v>
      </c>
    </row>
    <row r="279" spans="1:6" x14ac:dyDescent="0.25">
      <c r="A279" s="6" t="s">
        <v>1279</v>
      </c>
      <c r="B279" s="6">
        <v>0.7218</v>
      </c>
      <c r="C279" s="6">
        <v>25</v>
      </c>
      <c r="D279" s="6">
        <v>2.4182999999999999</v>
      </c>
      <c r="E279" s="6">
        <v>4.2718999999999996</v>
      </c>
      <c r="F279" s="6">
        <v>44</v>
      </c>
    </row>
    <row r="280" spans="1:6" x14ac:dyDescent="0.25">
      <c r="A280" s="6" t="s">
        <v>1280</v>
      </c>
      <c r="B280" s="6">
        <v>0.72</v>
      </c>
      <c r="C280" s="6">
        <v>19</v>
      </c>
      <c r="D280" s="6">
        <v>2.5402999999999998</v>
      </c>
      <c r="E280" s="6">
        <v>8.9065999999999992</v>
      </c>
      <c r="F280" s="6">
        <v>115</v>
      </c>
    </row>
    <row r="281" spans="1:6" x14ac:dyDescent="0.25">
      <c r="A281" s="6" t="s">
        <v>1281</v>
      </c>
      <c r="B281" s="6">
        <v>1.5284</v>
      </c>
      <c r="C281" s="6">
        <v>44</v>
      </c>
      <c r="D281" s="6">
        <v>2.2288000000000001</v>
      </c>
      <c r="E281" s="6">
        <v>11.4209</v>
      </c>
      <c r="F281" s="6">
        <v>197</v>
      </c>
    </row>
    <row r="282" spans="1:6" x14ac:dyDescent="0.25">
      <c r="A282" s="6" t="s">
        <v>1282</v>
      </c>
      <c r="B282" s="6">
        <v>0.64480000000000004</v>
      </c>
      <c r="C282" s="6">
        <v>19</v>
      </c>
      <c r="D282" s="6">
        <v>1.1932</v>
      </c>
      <c r="E282" s="6">
        <v>7.2868000000000004</v>
      </c>
      <c r="F282" s="6">
        <v>90</v>
      </c>
    </row>
    <row r="283" spans="1:6" x14ac:dyDescent="0.25">
      <c r="A283" s="6" t="s">
        <v>1283</v>
      </c>
      <c r="B283" s="6">
        <v>1.2209000000000001</v>
      </c>
      <c r="C283" s="6">
        <v>28</v>
      </c>
      <c r="D283" s="6">
        <v>2.6703999999999999</v>
      </c>
      <c r="E283" s="6">
        <v>10.658200000000001</v>
      </c>
      <c r="F283" s="6">
        <v>158</v>
      </c>
    </row>
    <row r="284" spans="1:6" x14ac:dyDescent="0.25">
      <c r="A284" s="6" t="s">
        <v>1284</v>
      </c>
      <c r="B284" s="6">
        <v>0.77949999999999997</v>
      </c>
      <c r="C284" s="6">
        <v>26</v>
      </c>
      <c r="D284" s="6">
        <v>2.6059000000000001</v>
      </c>
      <c r="E284" s="6">
        <v>3.9104999999999999</v>
      </c>
      <c r="F284" s="6">
        <v>36</v>
      </c>
    </row>
    <row r="285" spans="1:6" x14ac:dyDescent="0.25">
      <c r="A285" s="6" t="s">
        <v>1285</v>
      </c>
      <c r="B285" s="6">
        <v>0.879</v>
      </c>
      <c r="C285" s="6">
        <v>28</v>
      </c>
      <c r="D285" s="6">
        <v>2.7397</v>
      </c>
      <c r="E285" s="6">
        <v>4.2801999999999998</v>
      </c>
      <c r="F285" s="6">
        <v>35</v>
      </c>
    </row>
    <row r="286" spans="1:6" x14ac:dyDescent="0.25">
      <c r="A286" s="6" t="s">
        <v>1286</v>
      </c>
      <c r="B286" s="6">
        <v>1.1304000000000001</v>
      </c>
      <c r="C286" s="6">
        <v>34</v>
      </c>
      <c r="D286" s="6">
        <v>2.0767000000000002</v>
      </c>
      <c r="E286" s="6">
        <v>8.5348000000000006</v>
      </c>
      <c r="F286" s="6">
        <v>108</v>
      </c>
    </row>
    <row r="287" spans="1:6" x14ac:dyDescent="0.25">
      <c r="A287" s="6" t="s">
        <v>1287</v>
      </c>
      <c r="B287" s="6">
        <v>0.5131</v>
      </c>
      <c r="C287" s="6">
        <v>14</v>
      </c>
      <c r="D287" s="6">
        <v>1.5782</v>
      </c>
      <c r="E287" s="6">
        <v>3.6044999999999998</v>
      </c>
      <c r="F287" s="6">
        <v>38</v>
      </c>
    </row>
    <row r="288" spans="1:6" x14ac:dyDescent="0.25">
      <c r="A288" s="6" t="s">
        <v>1288</v>
      </c>
      <c r="B288" s="6">
        <v>0.53069999999999995</v>
      </c>
      <c r="C288" s="6">
        <v>16</v>
      </c>
      <c r="D288" s="6">
        <v>1.5481</v>
      </c>
      <c r="E288" s="6">
        <v>3.6063000000000001</v>
      </c>
      <c r="F288" s="6">
        <v>38</v>
      </c>
    </row>
    <row r="289" spans="1:6" x14ac:dyDescent="0.25">
      <c r="A289" s="6" t="s">
        <v>1289</v>
      </c>
      <c r="B289" s="6">
        <v>1.0262</v>
      </c>
      <c r="C289" s="6">
        <v>31</v>
      </c>
      <c r="D289" s="6">
        <v>2.3005</v>
      </c>
      <c r="E289" s="6">
        <v>8.6257000000000001</v>
      </c>
      <c r="F289" s="6">
        <v>122</v>
      </c>
    </row>
    <row r="290" spans="1:6" x14ac:dyDescent="0.25">
      <c r="A290" s="6" t="s">
        <v>1290</v>
      </c>
      <c r="B290" s="6">
        <v>0.96840000000000004</v>
      </c>
      <c r="C290" s="6">
        <v>31</v>
      </c>
      <c r="D290" s="6">
        <v>2.403</v>
      </c>
      <c r="E290" s="6">
        <v>11.8005</v>
      </c>
      <c r="F290" s="6">
        <v>165</v>
      </c>
    </row>
    <row r="291" spans="1:6" x14ac:dyDescent="0.25">
      <c r="A291" s="6" t="s">
        <v>1291</v>
      </c>
      <c r="B291" s="6">
        <v>1.4753000000000001</v>
      </c>
      <c r="C291" s="6">
        <v>38</v>
      </c>
      <c r="D291" s="6">
        <v>2.8904000000000001</v>
      </c>
      <c r="E291" s="6">
        <v>9.9473000000000003</v>
      </c>
      <c r="F291" s="6">
        <v>128</v>
      </c>
    </row>
    <row r="292" spans="1:6" x14ac:dyDescent="0.25">
      <c r="A292" s="6" t="s">
        <v>1292</v>
      </c>
      <c r="B292" s="6">
        <v>1.3322000000000001</v>
      </c>
      <c r="C292" s="6">
        <v>34</v>
      </c>
      <c r="D292" s="6">
        <v>2.2986</v>
      </c>
      <c r="E292" s="6">
        <v>7.8776000000000002</v>
      </c>
      <c r="F292" s="6">
        <v>85</v>
      </c>
    </row>
    <row r="293" spans="1:6" x14ac:dyDescent="0.25">
      <c r="A293" s="6" t="s">
        <v>1293</v>
      </c>
      <c r="B293" s="6">
        <v>1.0168999999999999</v>
      </c>
      <c r="C293" s="6">
        <v>28</v>
      </c>
      <c r="D293" s="6">
        <v>2.2722000000000002</v>
      </c>
      <c r="E293" s="6">
        <v>6.1315999999999997</v>
      </c>
      <c r="F293" s="6">
        <v>77</v>
      </c>
    </row>
    <row r="294" spans="1:6" x14ac:dyDescent="0.25">
      <c r="A294" s="6" t="s">
        <v>1294</v>
      </c>
      <c r="B294" s="6">
        <v>0.96779999999999999</v>
      </c>
      <c r="C294" s="6">
        <v>26</v>
      </c>
      <c r="D294" s="6">
        <v>2.5541</v>
      </c>
      <c r="E294" s="6">
        <v>10.3698</v>
      </c>
      <c r="F294" s="6">
        <v>150</v>
      </c>
    </row>
    <row r="295" spans="1:6" x14ac:dyDescent="0.25">
      <c r="A295" s="6" t="s">
        <v>1295</v>
      </c>
      <c r="B295" s="6">
        <v>1.7545999999999999</v>
      </c>
      <c r="C295" s="6">
        <v>43</v>
      </c>
      <c r="D295" s="6">
        <v>2.2067000000000001</v>
      </c>
      <c r="E295" s="6">
        <v>16.351299999999998</v>
      </c>
      <c r="F295" s="6">
        <v>210</v>
      </c>
    </row>
    <row r="296" spans="1:6" x14ac:dyDescent="0.25">
      <c r="A296" s="6" t="s">
        <v>1296</v>
      </c>
      <c r="B296" s="6">
        <v>0.90010000000000001</v>
      </c>
      <c r="C296" s="6">
        <v>26</v>
      </c>
      <c r="D296" s="6">
        <v>2.2898999999999998</v>
      </c>
      <c r="E296" s="6">
        <v>8.9443000000000001</v>
      </c>
      <c r="F296" s="6">
        <v>133</v>
      </c>
    </row>
    <row r="297" spans="1:6" x14ac:dyDescent="0.25">
      <c r="A297" s="6" t="s">
        <v>1297</v>
      </c>
      <c r="B297" s="6">
        <v>1.3955</v>
      </c>
      <c r="C297" s="6">
        <v>43</v>
      </c>
      <c r="D297" s="6">
        <v>2.1631999999999998</v>
      </c>
      <c r="E297" s="6">
        <v>15.530900000000001</v>
      </c>
      <c r="F297" s="6">
        <v>214</v>
      </c>
    </row>
    <row r="298" spans="1:6" x14ac:dyDescent="0.25">
      <c r="A298" s="6" t="s">
        <v>1298</v>
      </c>
      <c r="B298" s="6">
        <v>1.3642000000000001</v>
      </c>
      <c r="C298" s="6">
        <v>37</v>
      </c>
      <c r="D298" s="6">
        <v>3.2141999999999999</v>
      </c>
      <c r="E298" s="6">
        <v>8.4263999999999992</v>
      </c>
      <c r="F298" s="6">
        <v>105</v>
      </c>
    </row>
    <row r="299" spans="1:6" x14ac:dyDescent="0.25">
      <c r="A299" s="6" t="s">
        <v>1299</v>
      </c>
      <c r="B299" s="6">
        <v>0.55640000000000001</v>
      </c>
      <c r="C299" s="6">
        <v>18</v>
      </c>
      <c r="D299" s="6">
        <v>1.1189</v>
      </c>
      <c r="E299" s="6">
        <v>7.9084000000000003</v>
      </c>
      <c r="F299" s="6">
        <v>130</v>
      </c>
    </row>
    <row r="300" spans="1:6" x14ac:dyDescent="0.25">
      <c r="A300" s="6" t="s">
        <v>1300</v>
      </c>
      <c r="B300" s="6">
        <v>1.7886</v>
      </c>
      <c r="C300" s="6">
        <v>40</v>
      </c>
      <c r="D300" s="6">
        <v>3.2101999999999999</v>
      </c>
      <c r="E300" s="6">
        <v>14.3101</v>
      </c>
      <c r="F300" s="6">
        <v>183</v>
      </c>
    </row>
    <row r="301" spans="1:6" x14ac:dyDescent="0.25">
      <c r="A301" s="6" t="s">
        <v>1301</v>
      </c>
      <c r="B301" s="6">
        <v>0.69179999999999997</v>
      </c>
      <c r="C301" s="6">
        <v>20</v>
      </c>
      <c r="D301" s="6">
        <v>3.0969000000000002</v>
      </c>
      <c r="E301" s="6">
        <v>5.8346999999999998</v>
      </c>
      <c r="F301" s="6">
        <v>55</v>
      </c>
    </row>
    <row r="302" spans="1:6" x14ac:dyDescent="0.25">
      <c r="A302" s="6" t="s">
        <v>1302</v>
      </c>
      <c r="B302" s="6">
        <v>1.2991999999999999</v>
      </c>
      <c r="C302" s="6">
        <v>34</v>
      </c>
      <c r="D302" s="6">
        <v>2.4872999999999998</v>
      </c>
      <c r="E302" s="6">
        <v>7.5575999999999999</v>
      </c>
      <c r="F302" s="6">
        <v>85</v>
      </c>
    </row>
    <row r="303" spans="1:6" x14ac:dyDescent="0.25">
      <c r="A303" s="6" t="s">
        <v>1303</v>
      </c>
      <c r="B303" s="6">
        <v>1.6047</v>
      </c>
      <c r="C303" s="6">
        <v>39</v>
      </c>
      <c r="D303" s="6">
        <v>2.6997</v>
      </c>
      <c r="E303" s="6">
        <v>11.455500000000001</v>
      </c>
      <c r="F303" s="6">
        <v>138</v>
      </c>
    </row>
    <row r="304" spans="1:6" x14ac:dyDescent="0.25">
      <c r="A304" s="6" t="s">
        <v>1304</v>
      </c>
      <c r="B304" s="6">
        <v>0.87470000000000003</v>
      </c>
      <c r="C304" s="6">
        <v>27</v>
      </c>
      <c r="D304" s="6">
        <v>2.0602</v>
      </c>
      <c r="E304" s="6">
        <v>7.1369999999999996</v>
      </c>
      <c r="F304" s="6">
        <v>91</v>
      </c>
    </row>
    <row r="305" spans="1:6" x14ac:dyDescent="0.25">
      <c r="A305" s="6" t="s">
        <v>1305</v>
      </c>
      <c r="B305" s="6">
        <v>1.2659</v>
      </c>
      <c r="C305" s="6">
        <v>31</v>
      </c>
      <c r="D305" s="6">
        <v>2.1520999999999999</v>
      </c>
      <c r="E305" s="6">
        <v>10.348699999999999</v>
      </c>
      <c r="F305" s="6">
        <v>134</v>
      </c>
    </row>
    <row r="306" spans="1:6" x14ac:dyDescent="0.25">
      <c r="A306" s="6" t="s">
        <v>1306</v>
      </c>
      <c r="B306" s="6">
        <v>1.3301000000000001</v>
      </c>
      <c r="C306" s="6">
        <v>36</v>
      </c>
      <c r="D306" s="6">
        <v>2.6831999999999998</v>
      </c>
      <c r="E306" s="6">
        <v>11.5341</v>
      </c>
      <c r="F306" s="6">
        <v>158</v>
      </c>
    </row>
    <row r="307" spans="1:6" x14ac:dyDescent="0.25">
      <c r="A307" s="6" t="s">
        <v>1307</v>
      </c>
      <c r="B307" s="6">
        <v>1.4643999999999999</v>
      </c>
      <c r="C307" s="6">
        <v>40</v>
      </c>
      <c r="D307" s="6">
        <v>2.0059</v>
      </c>
      <c r="E307" s="6">
        <v>10.871600000000001</v>
      </c>
      <c r="F307" s="6">
        <v>145</v>
      </c>
    </row>
    <row r="308" spans="1:6" x14ac:dyDescent="0.25">
      <c r="A308" s="6" t="s">
        <v>1308</v>
      </c>
      <c r="B308" s="6">
        <v>1.4618</v>
      </c>
      <c r="C308" s="6">
        <v>32</v>
      </c>
      <c r="D308" s="6">
        <v>3.0527000000000002</v>
      </c>
      <c r="E308" s="6">
        <v>12.602</v>
      </c>
      <c r="F308" s="6">
        <v>175</v>
      </c>
    </row>
    <row r="309" spans="1:6" x14ac:dyDescent="0.25">
      <c r="A309" s="6" t="s">
        <v>1309</v>
      </c>
      <c r="B309" s="6">
        <v>1.7205999999999999</v>
      </c>
      <c r="C309" s="6">
        <v>41</v>
      </c>
      <c r="D309" s="6">
        <v>3.3477000000000001</v>
      </c>
      <c r="E309" s="6">
        <v>10.6638</v>
      </c>
      <c r="F309" s="6">
        <v>124</v>
      </c>
    </row>
    <row r="310" spans="1:6" x14ac:dyDescent="0.25">
      <c r="A310" s="6" t="s">
        <v>1310</v>
      </c>
      <c r="B310" s="6">
        <v>1.6571</v>
      </c>
      <c r="C310" s="6">
        <v>42</v>
      </c>
      <c r="D310" s="6">
        <v>2.5525000000000002</v>
      </c>
      <c r="E310" s="6">
        <v>11.851699999999999</v>
      </c>
      <c r="F310" s="6">
        <v>178</v>
      </c>
    </row>
    <row r="311" spans="1:6" x14ac:dyDescent="0.25">
      <c r="A311" s="6" t="s">
        <v>1311</v>
      </c>
      <c r="B311" s="6">
        <v>1.5337000000000001</v>
      </c>
      <c r="C311" s="6">
        <v>44</v>
      </c>
      <c r="D311" s="6">
        <v>2.4544999999999999</v>
      </c>
      <c r="E311" s="6">
        <v>12.145300000000001</v>
      </c>
      <c r="F311" s="6">
        <v>162</v>
      </c>
    </row>
    <row r="312" spans="1:6" x14ac:dyDescent="0.25">
      <c r="A312" s="6" t="s">
        <v>1312</v>
      </c>
      <c r="B312" s="6">
        <v>1.2827</v>
      </c>
      <c r="C312" s="6">
        <v>38</v>
      </c>
      <c r="D312" s="6">
        <v>2.5933999999999999</v>
      </c>
      <c r="E312" s="6">
        <v>12.879200000000001</v>
      </c>
      <c r="F312" s="6">
        <v>176</v>
      </c>
    </row>
    <row r="313" spans="1:6" x14ac:dyDescent="0.25">
      <c r="A313" s="6" t="s">
        <v>1313</v>
      </c>
      <c r="B313" s="6">
        <v>0.61560000000000004</v>
      </c>
      <c r="C313" s="6">
        <v>22</v>
      </c>
      <c r="D313" s="6">
        <v>1.6007</v>
      </c>
      <c r="E313" s="6">
        <v>7.5655000000000001</v>
      </c>
      <c r="F313" s="6">
        <v>103</v>
      </c>
    </row>
    <row r="314" spans="1:6" x14ac:dyDescent="0.25">
      <c r="A314" s="6" t="s">
        <v>1314</v>
      </c>
      <c r="B314" s="6">
        <v>1.2459</v>
      </c>
      <c r="C314" s="6">
        <v>35</v>
      </c>
      <c r="D314" s="6">
        <v>2.6996000000000002</v>
      </c>
      <c r="E314" s="6">
        <v>8.6126000000000005</v>
      </c>
      <c r="F314" s="6">
        <v>106</v>
      </c>
    </row>
    <row r="315" spans="1:6" x14ac:dyDescent="0.25">
      <c r="A315" s="6" t="s">
        <v>1315</v>
      </c>
      <c r="B315" s="6">
        <v>1.7417</v>
      </c>
      <c r="C315" s="6">
        <v>47</v>
      </c>
      <c r="D315" s="6">
        <v>2.3481000000000001</v>
      </c>
      <c r="E315" s="6">
        <v>7.9496000000000002</v>
      </c>
      <c r="F315" s="6">
        <v>114</v>
      </c>
    </row>
    <row r="316" spans="1:6" x14ac:dyDescent="0.25">
      <c r="A316" s="6" t="s">
        <v>1316</v>
      </c>
      <c r="B316" s="6">
        <v>0.86309999999999998</v>
      </c>
      <c r="C316" s="6">
        <v>26</v>
      </c>
      <c r="D316" s="6">
        <v>2.7684000000000002</v>
      </c>
      <c r="E316" s="6">
        <v>5.9558999999999997</v>
      </c>
      <c r="F316" s="6">
        <v>63</v>
      </c>
    </row>
    <row r="317" spans="1:6" x14ac:dyDescent="0.25">
      <c r="A317" s="6" t="s">
        <v>1317</v>
      </c>
      <c r="B317" s="6">
        <v>1.5803</v>
      </c>
      <c r="C317" s="6">
        <v>44</v>
      </c>
      <c r="D317" s="6">
        <v>2.5347</v>
      </c>
      <c r="E317" s="6">
        <v>10.242699999999999</v>
      </c>
      <c r="F317" s="6">
        <v>139</v>
      </c>
    </row>
    <row r="318" spans="1:6" x14ac:dyDescent="0.25">
      <c r="A318" s="6" t="s">
        <v>1318</v>
      </c>
      <c r="B318" s="6">
        <v>0.48880000000000001</v>
      </c>
      <c r="C318" s="6">
        <v>17</v>
      </c>
      <c r="D318" s="6">
        <v>1.2626999999999999</v>
      </c>
      <c r="E318" s="6">
        <v>6.2081</v>
      </c>
      <c r="F318" s="6">
        <v>85</v>
      </c>
    </row>
    <row r="319" spans="1:6" x14ac:dyDescent="0.25">
      <c r="A319" s="6" t="s">
        <v>1319</v>
      </c>
      <c r="B319" s="6">
        <v>0.48959999999999998</v>
      </c>
      <c r="C319" s="6">
        <v>14</v>
      </c>
      <c r="D319" s="6">
        <v>1.3269</v>
      </c>
      <c r="E319" s="6">
        <v>3.4384999999999999</v>
      </c>
      <c r="F319" s="6">
        <v>38</v>
      </c>
    </row>
    <row r="320" spans="1:6" x14ac:dyDescent="0.25">
      <c r="A320" s="6" t="s">
        <v>1320</v>
      </c>
      <c r="B320" s="6">
        <v>0.60309999999999997</v>
      </c>
      <c r="C320" s="6">
        <v>20</v>
      </c>
      <c r="D320" s="6">
        <v>1.9478</v>
      </c>
      <c r="E320" s="6">
        <v>3.9826000000000001</v>
      </c>
      <c r="F320" s="6">
        <v>40</v>
      </c>
    </row>
    <row r="321" spans="1:6" x14ac:dyDescent="0.25">
      <c r="A321" s="6" t="s">
        <v>1321</v>
      </c>
      <c r="B321" s="6">
        <v>1.0555000000000001</v>
      </c>
      <c r="C321" s="6">
        <v>35</v>
      </c>
      <c r="D321" s="6">
        <v>1.9635</v>
      </c>
      <c r="E321" s="6">
        <v>9.6859999999999999</v>
      </c>
      <c r="F321" s="6">
        <v>132</v>
      </c>
    </row>
    <row r="322" spans="1:6" x14ac:dyDescent="0.25">
      <c r="A322" s="6" t="s">
        <v>1322</v>
      </c>
      <c r="B322" s="6">
        <v>0.83850000000000002</v>
      </c>
      <c r="C322" s="6">
        <v>24</v>
      </c>
      <c r="D322" s="6">
        <v>2.0198999999999998</v>
      </c>
      <c r="E322" s="6">
        <v>6.9640000000000004</v>
      </c>
      <c r="F322" s="6">
        <v>84</v>
      </c>
    </row>
    <row r="323" spans="1:6" x14ac:dyDescent="0.25">
      <c r="A323" s="6" t="s">
        <v>1323</v>
      </c>
      <c r="B323" s="6">
        <v>0.754</v>
      </c>
      <c r="C323" s="6">
        <v>19</v>
      </c>
      <c r="D323" s="6">
        <v>2.8180999999999998</v>
      </c>
      <c r="E323" s="6">
        <v>6.7325999999999997</v>
      </c>
      <c r="F323" s="6">
        <v>96</v>
      </c>
    </row>
    <row r="324" spans="1:6" x14ac:dyDescent="0.25">
      <c r="A324" s="6" t="s">
        <v>1324</v>
      </c>
      <c r="B324" s="6">
        <v>0.51080000000000003</v>
      </c>
      <c r="C324" s="6">
        <v>18</v>
      </c>
      <c r="D324" s="6">
        <v>2.1659000000000002</v>
      </c>
      <c r="E324" s="6">
        <v>5.6631</v>
      </c>
      <c r="F324" s="6">
        <v>66</v>
      </c>
    </row>
    <row r="325" spans="1:6" x14ac:dyDescent="0.25">
      <c r="A325" s="6" t="s">
        <v>1325</v>
      </c>
      <c r="B325" s="6">
        <v>1.0484</v>
      </c>
      <c r="C325" s="6">
        <v>30</v>
      </c>
      <c r="D325" s="6">
        <v>2.1999</v>
      </c>
      <c r="E325" s="6">
        <v>13.7819</v>
      </c>
      <c r="F325" s="6">
        <v>193</v>
      </c>
    </row>
    <row r="326" spans="1:6" x14ac:dyDescent="0.25">
      <c r="A326" s="6" t="s">
        <v>1326</v>
      </c>
      <c r="B326" s="6">
        <v>1.1747000000000001</v>
      </c>
      <c r="C326" s="6">
        <v>34</v>
      </c>
      <c r="D326" s="6">
        <v>2.4125999999999999</v>
      </c>
      <c r="E326" s="6">
        <v>8.9403000000000006</v>
      </c>
      <c r="F326" s="6">
        <v>119</v>
      </c>
    </row>
    <row r="327" spans="1:6" x14ac:dyDescent="0.25">
      <c r="A327" s="6" t="s">
        <v>1327</v>
      </c>
      <c r="B327" s="6">
        <v>1.9431</v>
      </c>
      <c r="C327" s="6">
        <v>50</v>
      </c>
      <c r="D327" s="6">
        <v>2.8824999999999998</v>
      </c>
      <c r="E327" s="6">
        <v>6.8545999999999996</v>
      </c>
      <c r="F327" s="6">
        <v>70</v>
      </c>
    </row>
    <row r="328" spans="1:6" x14ac:dyDescent="0.25">
      <c r="A328" s="6" t="s">
        <v>1328</v>
      </c>
      <c r="B328" s="6">
        <v>1.8931</v>
      </c>
      <c r="C328" s="6">
        <v>44</v>
      </c>
      <c r="D328" s="6">
        <v>3.1614</v>
      </c>
      <c r="E328" s="6">
        <v>8.4007000000000005</v>
      </c>
      <c r="F328" s="6">
        <v>104</v>
      </c>
    </row>
    <row r="329" spans="1:6" x14ac:dyDescent="0.25">
      <c r="A329" s="6" t="s">
        <v>1329</v>
      </c>
      <c r="B329" s="6">
        <v>0.44369999999999998</v>
      </c>
      <c r="C329" s="6">
        <v>16</v>
      </c>
      <c r="D329" s="6">
        <v>1.8698999999999999</v>
      </c>
      <c r="E329" s="6">
        <v>3.3098000000000001</v>
      </c>
      <c r="F329" s="6">
        <v>38</v>
      </c>
    </row>
    <row r="330" spans="1:6" x14ac:dyDescent="0.25">
      <c r="A330" s="6" t="s">
        <v>1330</v>
      </c>
      <c r="B330" s="6">
        <v>0.52100000000000002</v>
      </c>
      <c r="C330" s="6">
        <v>17</v>
      </c>
      <c r="D330" s="6">
        <v>1.8086</v>
      </c>
      <c r="E330" s="6">
        <v>4.0907</v>
      </c>
      <c r="F330" s="6">
        <v>41</v>
      </c>
    </row>
    <row r="331" spans="1:6" x14ac:dyDescent="0.25">
      <c r="A331" s="6" t="s">
        <v>1331</v>
      </c>
      <c r="B331" s="6">
        <v>1.5128999999999999</v>
      </c>
      <c r="C331" s="6">
        <v>39</v>
      </c>
      <c r="D331" s="6">
        <v>2.7256999999999998</v>
      </c>
      <c r="E331" s="6">
        <v>6.8163999999999998</v>
      </c>
      <c r="F331" s="6">
        <v>73</v>
      </c>
    </row>
    <row r="332" spans="1:6" x14ac:dyDescent="0.25">
      <c r="A332" s="6" t="s">
        <v>1332</v>
      </c>
      <c r="B332" s="6">
        <v>1.9666999999999999</v>
      </c>
      <c r="C332" s="6">
        <v>52</v>
      </c>
      <c r="D332" s="6">
        <v>2.3948999999999998</v>
      </c>
      <c r="E332" s="6">
        <v>7.9863999999999997</v>
      </c>
      <c r="F332" s="6">
        <v>114</v>
      </c>
    </row>
    <row r="333" spans="1:6" x14ac:dyDescent="0.25">
      <c r="A333" s="6" t="s">
        <v>1333</v>
      </c>
      <c r="B333" s="6">
        <v>2.9279000000000002</v>
      </c>
      <c r="C333" s="6">
        <v>65</v>
      </c>
      <c r="D333" s="6">
        <v>3.6778</v>
      </c>
      <c r="E333" s="6">
        <v>8.8512000000000004</v>
      </c>
      <c r="F333" s="6">
        <v>92</v>
      </c>
    </row>
    <row r="334" spans="1:6" x14ac:dyDescent="0.25">
      <c r="A334" s="6" t="s">
        <v>1334</v>
      </c>
      <c r="B334" s="6">
        <v>0.49680000000000002</v>
      </c>
      <c r="C334" s="6">
        <v>17</v>
      </c>
      <c r="D334" s="6">
        <v>1.7432000000000001</v>
      </c>
      <c r="E334" s="6">
        <v>4.4958</v>
      </c>
      <c r="F334" s="6">
        <v>64</v>
      </c>
    </row>
    <row r="335" spans="1:6" x14ac:dyDescent="0.25">
      <c r="A335" s="6" t="s">
        <v>1335</v>
      </c>
      <c r="B335" s="6">
        <v>2.423</v>
      </c>
      <c r="C335" s="6">
        <v>58</v>
      </c>
      <c r="D335" s="6">
        <v>2.1110000000000002</v>
      </c>
      <c r="E335" s="6">
        <v>12.2608</v>
      </c>
      <c r="F335" s="6">
        <v>148</v>
      </c>
    </row>
    <row r="336" spans="1:6" x14ac:dyDescent="0.25">
      <c r="A336" s="6" t="s">
        <v>1336</v>
      </c>
      <c r="B336" s="6">
        <v>1.2373000000000001</v>
      </c>
      <c r="C336" s="6">
        <v>38</v>
      </c>
      <c r="D336" s="6">
        <v>2.3683999999999998</v>
      </c>
      <c r="E336" s="6">
        <v>8.5546000000000006</v>
      </c>
      <c r="F336" s="6">
        <v>113</v>
      </c>
    </row>
    <row r="337" spans="1:6" x14ac:dyDescent="0.25">
      <c r="A337" s="6" t="s">
        <v>1337</v>
      </c>
      <c r="B337" s="6">
        <v>1.4248000000000001</v>
      </c>
      <c r="C337" s="6">
        <v>39</v>
      </c>
      <c r="D337" s="6">
        <v>2.363</v>
      </c>
      <c r="E337" s="6">
        <v>4.7729999999999997</v>
      </c>
      <c r="F337" s="6">
        <v>49</v>
      </c>
    </row>
    <row r="338" spans="1:6" x14ac:dyDescent="0.25">
      <c r="A338" s="6" t="s">
        <v>1338</v>
      </c>
      <c r="B338" s="6">
        <v>0.90290000000000004</v>
      </c>
      <c r="C338" s="6">
        <v>24</v>
      </c>
      <c r="D338" s="6">
        <v>2.3357999999999999</v>
      </c>
      <c r="E338" s="6">
        <v>6.0195999999999996</v>
      </c>
      <c r="F338" s="6">
        <v>58</v>
      </c>
    </row>
    <row r="339" spans="1:6" x14ac:dyDescent="0.25">
      <c r="A339" s="6" t="s">
        <v>1339</v>
      </c>
      <c r="B339" s="6">
        <v>1.7137</v>
      </c>
      <c r="C339" s="6">
        <v>47</v>
      </c>
      <c r="D339" s="6">
        <v>2.5514000000000001</v>
      </c>
      <c r="E339" s="6">
        <v>8.7173999999999996</v>
      </c>
      <c r="F339" s="6">
        <v>84</v>
      </c>
    </row>
    <row r="340" spans="1:6" x14ac:dyDescent="0.25">
      <c r="A340" s="6" t="s">
        <v>1340</v>
      </c>
      <c r="B340" s="6">
        <v>1.3793</v>
      </c>
      <c r="C340" s="6">
        <v>32</v>
      </c>
      <c r="D340" s="6">
        <v>2.8765000000000001</v>
      </c>
      <c r="E340" s="6">
        <v>10.977399999999999</v>
      </c>
      <c r="F340" s="6">
        <v>127</v>
      </c>
    </row>
    <row r="341" spans="1:6" x14ac:dyDescent="0.25">
      <c r="A341" s="6" t="s">
        <v>1341</v>
      </c>
      <c r="B341" s="6">
        <v>3.1324999999999998</v>
      </c>
      <c r="C341" s="6">
        <v>67</v>
      </c>
      <c r="D341" s="6">
        <v>2.609</v>
      </c>
      <c r="E341" s="6">
        <v>14.769</v>
      </c>
      <c r="F341" s="6">
        <v>174</v>
      </c>
    </row>
    <row r="342" spans="1:6" x14ac:dyDescent="0.25">
      <c r="A342" s="6" t="s">
        <v>1342</v>
      </c>
      <c r="B342" s="6">
        <v>1.4585999999999999</v>
      </c>
      <c r="C342" s="6">
        <v>43</v>
      </c>
      <c r="D342" s="6">
        <v>2.4952000000000001</v>
      </c>
      <c r="E342" s="6">
        <v>10.823399999999999</v>
      </c>
      <c r="F342" s="6">
        <v>135</v>
      </c>
    </row>
    <row r="343" spans="1:6" x14ac:dyDescent="0.25">
      <c r="A343" s="6" t="s">
        <v>1343</v>
      </c>
      <c r="B343" s="6">
        <v>0.4733</v>
      </c>
      <c r="C343" s="6">
        <v>16</v>
      </c>
      <c r="D343" s="6">
        <v>1.8388</v>
      </c>
      <c r="E343" s="6">
        <v>8.3684999999999992</v>
      </c>
      <c r="F343" s="6">
        <v>119</v>
      </c>
    </row>
    <row r="344" spans="1:6" x14ac:dyDescent="0.25">
      <c r="A344" s="6" t="s">
        <v>1344</v>
      </c>
      <c r="B344" s="6">
        <v>1.5111000000000001</v>
      </c>
      <c r="C344" s="6">
        <v>36</v>
      </c>
      <c r="D344" s="6">
        <v>2.4540999999999999</v>
      </c>
      <c r="E344" s="6">
        <v>14.3719</v>
      </c>
      <c r="F344" s="6">
        <v>200</v>
      </c>
    </row>
    <row r="345" spans="1:6" x14ac:dyDescent="0.25">
      <c r="A345" s="6" t="s">
        <v>1345</v>
      </c>
      <c r="B345" s="6">
        <v>1.7262</v>
      </c>
      <c r="C345" s="6">
        <v>45</v>
      </c>
      <c r="D345" s="6">
        <v>1.9424999999999999</v>
      </c>
      <c r="E345" s="6">
        <v>13.2463</v>
      </c>
      <c r="F345" s="6">
        <v>185</v>
      </c>
    </row>
    <row r="346" spans="1:6" x14ac:dyDescent="0.25">
      <c r="A346" s="6" t="s">
        <v>1346</v>
      </c>
      <c r="B346" s="6">
        <v>0.69669999999999999</v>
      </c>
      <c r="C346" s="6">
        <v>23</v>
      </c>
      <c r="D346" s="6">
        <v>1.8245</v>
      </c>
      <c r="E346" s="6">
        <v>11.5198</v>
      </c>
      <c r="F346" s="6">
        <v>171</v>
      </c>
    </row>
    <row r="347" spans="1:6" x14ac:dyDescent="0.25">
      <c r="A347" s="6" t="s">
        <v>1347</v>
      </c>
      <c r="B347" s="6">
        <v>2.2010999999999998</v>
      </c>
      <c r="C347" s="6">
        <v>48</v>
      </c>
      <c r="D347" s="6">
        <v>3.3188</v>
      </c>
      <c r="E347" s="6">
        <v>5.9279999999999999</v>
      </c>
      <c r="F347" s="6">
        <v>58</v>
      </c>
    </row>
    <row r="348" spans="1:6" x14ac:dyDescent="0.25">
      <c r="A348" s="6" t="s">
        <v>1348</v>
      </c>
      <c r="B348" s="6">
        <v>0.52669999999999995</v>
      </c>
      <c r="C348" s="6">
        <v>17</v>
      </c>
      <c r="D348" s="6">
        <v>1.8267</v>
      </c>
      <c r="E348" s="6">
        <v>8.3508999999999993</v>
      </c>
      <c r="F348" s="6">
        <v>122</v>
      </c>
    </row>
    <row r="349" spans="1:6" x14ac:dyDescent="0.25">
      <c r="A349" s="6" t="s">
        <v>1349</v>
      </c>
      <c r="B349" s="6">
        <v>0.72619999999999996</v>
      </c>
      <c r="C349" s="6">
        <v>24</v>
      </c>
      <c r="D349" s="6">
        <v>2.2511000000000001</v>
      </c>
      <c r="E349" s="6">
        <v>13.616099999999999</v>
      </c>
      <c r="F349" s="6">
        <v>176</v>
      </c>
    </row>
    <row r="350" spans="1:6" x14ac:dyDescent="0.25">
      <c r="A350" s="6" t="s">
        <v>1350</v>
      </c>
      <c r="B350" s="6">
        <v>0.92349999999999999</v>
      </c>
      <c r="C350" s="6">
        <v>29</v>
      </c>
      <c r="D350" s="6">
        <v>2.5886999999999998</v>
      </c>
      <c r="E350" s="6">
        <v>12.0901</v>
      </c>
      <c r="F350" s="6">
        <v>171</v>
      </c>
    </row>
    <row r="351" spans="1:6" x14ac:dyDescent="0.25">
      <c r="A351" s="6" t="s">
        <v>1351</v>
      </c>
      <c r="B351" s="6">
        <v>2.4428999999999998</v>
      </c>
      <c r="C351" s="6">
        <v>67</v>
      </c>
      <c r="D351" s="6">
        <v>2.2715000000000001</v>
      </c>
      <c r="E351" s="6">
        <v>9.1795000000000009</v>
      </c>
      <c r="F351" s="6">
        <v>125</v>
      </c>
    </row>
    <row r="352" spans="1:6" x14ac:dyDescent="0.25">
      <c r="A352" s="6" t="s">
        <v>1352</v>
      </c>
      <c r="B352" s="6">
        <v>1.0898000000000001</v>
      </c>
      <c r="C352" s="6">
        <v>35</v>
      </c>
      <c r="D352" s="6">
        <v>2.5493000000000001</v>
      </c>
      <c r="E352" s="6">
        <v>11.903700000000001</v>
      </c>
      <c r="F352" s="6">
        <v>145</v>
      </c>
    </row>
    <row r="353" spans="1:6" x14ac:dyDescent="0.25">
      <c r="A353" s="6" t="s">
        <v>1353</v>
      </c>
      <c r="B353" s="6">
        <v>1.1521999999999999</v>
      </c>
      <c r="C353" s="6">
        <v>33</v>
      </c>
      <c r="D353" s="6">
        <v>1.9094</v>
      </c>
      <c r="E353" s="6">
        <v>7.7725999999999997</v>
      </c>
      <c r="F353" s="6">
        <v>90</v>
      </c>
    </row>
    <row r="354" spans="1:6" x14ac:dyDescent="0.25">
      <c r="A354" s="6" t="s">
        <v>1354</v>
      </c>
      <c r="B354" s="6">
        <v>1.0596000000000001</v>
      </c>
      <c r="C354" s="6">
        <v>25</v>
      </c>
      <c r="D354" s="6">
        <v>2.6455000000000002</v>
      </c>
      <c r="E354" s="6">
        <v>13.819100000000001</v>
      </c>
      <c r="F354" s="6">
        <v>208</v>
      </c>
    </row>
    <row r="355" spans="1:6" x14ac:dyDescent="0.25">
      <c r="A355" s="6" t="s">
        <v>1355</v>
      </c>
      <c r="B355" s="6">
        <v>1.4756</v>
      </c>
      <c r="C355" s="6">
        <v>39</v>
      </c>
      <c r="D355" s="6">
        <v>2.8359999999999999</v>
      </c>
      <c r="E355" s="6">
        <v>5.9183000000000003</v>
      </c>
      <c r="F355" s="6">
        <v>57</v>
      </c>
    </row>
    <row r="356" spans="1:6" x14ac:dyDescent="0.25">
      <c r="A356" s="6" t="s">
        <v>1356</v>
      </c>
      <c r="B356" s="6">
        <v>1.3601000000000001</v>
      </c>
      <c r="C356" s="6">
        <v>37</v>
      </c>
      <c r="D356" s="6">
        <v>1.7294</v>
      </c>
      <c r="E356" s="6">
        <v>6.649</v>
      </c>
      <c r="F356" s="6">
        <v>94</v>
      </c>
    </row>
    <row r="357" spans="1:6" x14ac:dyDescent="0.25">
      <c r="A357" s="6" t="s">
        <v>1357</v>
      </c>
      <c r="B357" s="6">
        <v>0.78590000000000004</v>
      </c>
      <c r="C357" s="6">
        <v>25</v>
      </c>
      <c r="D357" s="6">
        <v>1.6068</v>
      </c>
      <c r="E357" s="6">
        <v>5.617</v>
      </c>
      <c r="F357" s="6">
        <v>75</v>
      </c>
    </row>
    <row r="358" spans="1:6" x14ac:dyDescent="0.25">
      <c r="A358" s="6" t="s">
        <v>1358</v>
      </c>
      <c r="B358" s="6">
        <v>1.3016000000000001</v>
      </c>
      <c r="C358" s="6">
        <v>34</v>
      </c>
      <c r="D358" s="6">
        <v>3.3714</v>
      </c>
      <c r="E358" s="6">
        <v>4.4029999999999996</v>
      </c>
      <c r="F358" s="6">
        <v>34</v>
      </c>
    </row>
    <row r="359" spans="1:6" x14ac:dyDescent="0.25">
      <c r="A359" s="6" t="s">
        <v>1359</v>
      </c>
      <c r="B359" s="6">
        <v>0.69220000000000004</v>
      </c>
      <c r="C359" s="6">
        <v>21</v>
      </c>
      <c r="D359" s="6">
        <v>1.5876999999999999</v>
      </c>
      <c r="E359" s="6">
        <v>8.0669000000000004</v>
      </c>
      <c r="F359" s="6">
        <v>123</v>
      </c>
    </row>
    <row r="360" spans="1:6" x14ac:dyDescent="0.25">
      <c r="A360" s="6" t="s">
        <v>1360</v>
      </c>
      <c r="B360" s="6">
        <v>1.3785000000000001</v>
      </c>
      <c r="C360" s="6">
        <v>32</v>
      </c>
      <c r="D360" s="6">
        <v>2.4805000000000001</v>
      </c>
      <c r="E360" s="6">
        <v>8.7375000000000007</v>
      </c>
      <c r="F360" s="6">
        <v>111</v>
      </c>
    </row>
    <row r="361" spans="1:6" x14ac:dyDescent="0.25">
      <c r="A361" s="6" t="s">
        <v>1361</v>
      </c>
      <c r="B361" s="6">
        <v>0.84930000000000005</v>
      </c>
      <c r="C361" s="6">
        <v>24</v>
      </c>
      <c r="D361" s="6">
        <v>2.39</v>
      </c>
      <c r="E361" s="6">
        <v>9.0632999999999999</v>
      </c>
      <c r="F361" s="6">
        <v>134</v>
      </c>
    </row>
    <row r="362" spans="1:6" x14ac:dyDescent="0.25">
      <c r="A362" s="6" t="s">
        <v>1362</v>
      </c>
      <c r="B362" s="6">
        <v>0.6411</v>
      </c>
      <c r="C362" s="6">
        <v>21</v>
      </c>
      <c r="D362" s="6">
        <v>2.1568000000000001</v>
      </c>
      <c r="E362" s="6">
        <v>7.0633999999999997</v>
      </c>
      <c r="F362" s="6">
        <v>75</v>
      </c>
    </row>
    <row r="363" spans="1:6" x14ac:dyDescent="0.25">
      <c r="A363" s="6" t="s">
        <v>1363</v>
      </c>
      <c r="B363" s="6">
        <v>0.95030000000000003</v>
      </c>
      <c r="C363" s="6">
        <v>27</v>
      </c>
      <c r="D363" s="6">
        <v>2.4076</v>
      </c>
      <c r="E363" s="6">
        <v>4.3207000000000004</v>
      </c>
      <c r="F363" s="6">
        <v>38</v>
      </c>
    </row>
    <row r="364" spans="1:6" x14ac:dyDescent="0.25">
      <c r="A364" s="6" t="s">
        <v>1364</v>
      </c>
      <c r="B364" s="6">
        <v>1.0017</v>
      </c>
      <c r="C364" s="6">
        <v>27</v>
      </c>
      <c r="D364" s="6">
        <v>3.1951000000000001</v>
      </c>
      <c r="E364" s="6">
        <v>13.9932</v>
      </c>
      <c r="F364" s="6">
        <v>173</v>
      </c>
    </row>
    <row r="365" spans="1:6" x14ac:dyDescent="0.25">
      <c r="A365" s="6" t="s">
        <v>1365</v>
      </c>
      <c r="B365" s="6">
        <v>1.1412</v>
      </c>
      <c r="C365" s="6">
        <v>32</v>
      </c>
      <c r="D365" s="6">
        <v>2.9845999999999999</v>
      </c>
      <c r="E365" s="6">
        <v>11.2803</v>
      </c>
      <c r="F365" s="6">
        <v>116</v>
      </c>
    </row>
    <row r="366" spans="1:6" x14ac:dyDescent="0.25">
      <c r="A366" s="6" t="s">
        <v>1366</v>
      </c>
      <c r="B366" s="6">
        <v>0.83289999999999997</v>
      </c>
      <c r="C366" s="6">
        <v>24</v>
      </c>
      <c r="D366" s="6">
        <v>1.4725999999999999</v>
      </c>
      <c r="E366" s="6">
        <v>13.5114</v>
      </c>
      <c r="F366" s="6">
        <v>213</v>
      </c>
    </row>
    <row r="367" spans="1:6" x14ac:dyDescent="0.25">
      <c r="A367" s="6" t="s">
        <v>1367</v>
      </c>
      <c r="B367" s="6">
        <v>0.49320000000000003</v>
      </c>
      <c r="C367" s="6">
        <v>18</v>
      </c>
      <c r="D367" s="6">
        <v>1.4077</v>
      </c>
      <c r="E367" s="6">
        <v>3.3433000000000002</v>
      </c>
      <c r="F367" s="6">
        <v>44</v>
      </c>
    </row>
    <row r="368" spans="1:6" x14ac:dyDescent="0.25">
      <c r="A368" s="6" t="s">
        <v>1368</v>
      </c>
      <c r="B368" s="6">
        <v>1.4402999999999999</v>
      </c>
      <c r="C368" s="6">
        <v>33</v>
      </c>
      <c r="D368" s="6">
        <v>3.1387</v>
      </c>
      <c r="E368" s="6">
        <v>10.714399999999999</v>
      </c>
      <c r="F368" s="6">
        <v>135</v>
      </c>
    </row>
    <row r="369" spans="1:6" x14ac:dyDescent="0.25">
      <c r="A369" s="6" t="s">
        <v>1369</v>
      </c>
      <c r="B369" s="6">
        <v>1.7192000000000001</v>
      </c>
      <c r="C369" s="6">
        <v>40</v>
      </c>
      <c r="D369" s="6">
        <v>3.0556999999999999</v>
      </c>
      <c r="E369" s="6">
        <v>13.5892</v>
      </c>
      <c r="F369" s="6">
        <v>161</v>
      </c>
    </row>
    <row r="370" spans="1:6" x14ac:dyDescent="0.25">
      <c r="A370" s="6" t="s">
        <v>1370</v>
      </c>
      <c r="B370" s="6">
        <v>0.5907</v>
      </c>
      <c r="C370" s="6">
        <v>21</v>
      </c>
      <c r="D370" s="6">
        <v>1.9676</v>
      </c>
      <c r="E370" s="6">
        <v>11.5123</v>
      </c>
      <c r="F370" s="6">
        <v>156</v>
      </c>
    </row>
    <row r="371" spans="1:6" x14ac:dyDescent="0.25">
      <c r="A371" s="6" t="s">
        <v>1371</v>
      </c>
      <c r="B371" s="6">
        <v>1.6473</v>
      </c>
      <c r="C371" s="6">
        <v>41</v>
      </c>
      <c r="D371" s="6">
        <v>2.4344000000000001</v>
      </c>
      <c r="E371" s="6">
        <v>16.858799999999999</v>
      </c>
      <c r="F371" s="6">
        <v>195</v>
      </c>
    </row>
    <row r="372" spans="1:6" x14ac:dyDescent="0.25">
      <c r="A372" s="6" t="s">
        <v>1372</v>
      </c>
      <c r="B372" s="6">
        <v>0.8992</v>
      </c>
      <c r="C372" s="6">
        <v>25</v>
      </c>
      <c r="D372" s="6">
        <v>2.0771999999999999</v>
      </c>
      <c r="E372" s="6">
        <v>5.5446999999999997</v>
      </c>
      <c r="F372" s="6">
        <v>62</v>
      </c>
    </row>
    <row r="373" spans="1:6" x14ac:dyDescent="0.25">
      <c r="A373" s="6" t="s">
        <v>1373</v>
      </c>
      <c r="B373" s="6">
        <v>0.57620000000000005</v>
      </c>
      <c r="C373" s="6">
        <v>17</v>
      </c>
      <c r="D373" s="6">
        <v>1.9776</v>
      </c>
      <c r="E373" s="6">
        <v>3.9504999999999999</v>
      </c>
      <c r="F373" s="6">
        <v>40</v>
      </c>
    </row>
    <row r="374" spans="1:6" x14ac:dyDescent="0.25">
      <c r="A374" s="6" t="s">
        <v>1374</v>
      </c>
      <c r="B374" s="6">
        <v>0.69920000000000004</v>
      </c>
      <c r="C374" s="6">
        <v>21</v>
      </c>
      <c r="D374" s="6">
        <v>2.0750999999999999</v>
      </c>
      <c r="E374" s="6">
        <v>3.5110000000000001</v>
      </c>
      <c r="F374" s="6">
        <v>39</v>
      </c>
    </row>
    <row r="375" spans="1:6" x14ac:dyDescent="0.25">
      <c r="A375" s="6" t="s">
        <v>1375</v>
      </c>
      <c r="B375" s="6">
        <v>0.82289999999999996</v>
      </c>
      <c r="C375" s="6">
        <v>26</v>
      </c>
      <c r="D375" s="6">
        <v>2.3306</v>
      </c>
      <c r="E375" s="6">
        <v>14.4453</v>
      </c>
      <c r="F375" s="6">
        <v>188</v>
      </c>
    </row>
    <row r="376" spans="1:6" x14ac:dyDescent="0.25">
      <c r="A376" s="6" t="s">
        <v>1376</v>
      </c>
      <c r="B376" s="6">
        <v>1.4303999999999999</v>
      </c>
      <c r="C376" s="6">
        <v>38</v>
      </c>
      <c r="D376" s="6">
        <v>2.3738999999999999</v>
      </c>
      <c r="E376" s="6">
        <v>8.7322000000000006</v>
      </c>
      <c r="F376" s="6">
        <v>120</v>
      </c>
    </row>
    <row r="377" spans="1:6" x14ac:dyDescent="0.25">
      <c r="A377" s="6" t="s">
        <v>1377</v>
      </c>
      <c r="B377" s="6">
        <v>1.9048</v>
      </c>
      <c r="C377" s="6">
        <v>46</v>
      </c>
      <c r="D377" s="6">
        <v>2.1553</v>
      </c>
      <c r="E377" s="6">
        <v>13.991099999999999</v>
      </c>
      <c r="F377" s="6">
        <v>189</v>
      </c>
    </row>
    <row r="378" spans="1:6" x14ac:dyDescent="0.25">
      <c r="A378" s="6" t="s">
        <v>1378</v>
      </c>
      <c r="B378" s="6">
        <v>1.8887</v>
      </c>
      <c r="C378" s="6">
        <v>50</v>
      </c>
      <c r="D378" s="6">
        <v>2.7269000000000001</v>
      </c>
      <c r="E378" s="6">
        <v>10.8057</v>
      </c>
      <c r="F378" s="6">
        <v>135</v>
      </c>
    </row>
    <row r="379" spans="1:6" x14ac:dyDescent="0.25">
      <c r="A379" s="6" t="s">
        <v>1379</v>
      </c>
      <c r="B379" s="6">
        <v>1.2468999999999999</v>
      </c>
      <c r="C379" s="6">
        <v>31</v>
      </c>
      <c r="D379" s="6">
        <v>2.4540000000000002</v>
      </c>
      <c r="E379" s="6">
        <v>4.2027000000000001</v>
      </c>
      <c r="F379" s="6">
        <v>43</v>
      </c>
    </row>
    <row r="380" spans="1:6" x14ac:dyDescent="0.25">
      <c r="A380" s="6" t="s">
        <v>1380</v>
      </c>
      <c r="B380" s="6">
        <v>0.80679999999999996</v>
      </c>
      <c r="C380" s="6">
        <v>25</v>
      </c>
      <c r="D380" s="6">
        <v>2.0720999999999998</v>
      </c>
      <c r="E380" s="6">
        <v>5.8452999999999999</v>
      </c>
      <c r="F380" s="6">
        <v>57</v>
      </c>
    </row>
    <row r="381" spans="1:6" x14ac:dyDescent="0.25">
      <c r="A381" s="6" t="s">
        <v>1381</v>
      </c>
      <c r="B381" s="6">
        <v>2.1716000000000002</v>
      </c>
      <c r="C381" s="6">
        <v>51</v>
      </c>
      <c r="D381" s="6">
        <v>2.9024000000000001</v>
      </c>
      <c r="E381" s="6">
        <v>10.7136</v>
      </c>
      <c r="F381" s="6">
        <v>115</v>
      </c>
    </row>
    <row r="382" spans="1:6" x14ac:dyDescent="0.25">
      <c r="A382" s="6" t="s">
        <v>1382</v>
      </c>
      <c r="B382" s="6">
        <v>1.3425</v>
      </c>
      <c r="C382" s="6">
        <v>38</v>
      </c>
      <c r="D382" s="6">
        <v>2.9521000000000002</v>
      </c>
      <c r="E382" s="6">
        <v>4.7754000000000003</v>
      </c>
      <c r="F382" s="6">
        <v>39</v>
      </c>
    </row>
    <row r="383" spans="1:6" x14ac:dyDescent="0.25">
      <c r="A383" s="6" t="s">
        <v>1383</v>
      </c>
      <c r="B383" s="6">
        <v>1.6623000000000001</v>
      </c>
      <c r="C383" s="6">
        <v>36</v>
      </c>
      <c r="D383" s="6">
        <v>3.1227999999999998</v>
      </c>
      <c r="E383" s="6">
        <v>14.8012</v>
      </c>
      <c r="F383" s="6">
        <v>203</v>
      </c>
    </row>
    <row r="384" spans="1:6" x14ac:dyDescent="0.25">
      <c r="A384" s="6" t="s">
        <v>1384</v>
      </c>
      <c r="B384" s="6">
        <v>1.2613000000000001</v>
      </c>
      <c r="C384" s="6">
        <v>36</v>
      </c>
      <c r="D384" s="6">
        <v>2.7397999999999998</v>
      </c>
      <c r="E384" s="6">
        <v>9.8245000000000005</v>
      </c>
      <c r="F384" s="6">
        <v>114</v>
      </c>
    </row>
    <row r="385" spans="1:6" x14ac:dyDescent="0.25">
      <c r="A385" s="6" t="s">
        <v>1385</v>
      </c>
      <c r="B385" s="6">
        <v>1.45</v>
      </c>
      <c r="C385" s="6">
        <v>34</v>
      </c>
      <c r="D385" s="6">
        <v>3.0316000000000001</v>
      </c>
      <c r="E385" s="6">
        <v>13.351599999999999</v>
      </c>
      <c r="F385" s="6">
        <v>189</v>
      </c>
    </row>
    <row r="386" spans="1:6" x14ac:dyDescent="0.25">
      <c r="A386" s="6" t="s">
        <v>1386</v>
      </c>
      <c r="B386" s="6">
        <v>0.81540000000000001</v>
      </c>
      <c r="C386" s="6">
        <v>24</v>
      </c>
      <c r="D386" s="6">
        <v>2.6177000000000001</v>
      </c>
      <c r="E386" s="6">
        <v>7.8414000000000001</v>
      </c>
      <c r="F386" s="6">
        <v>104</v>
      </c>
    </row>
    <row r="387" spans="1:6" x14ac:dyDescent="0.25">
      <c r="A387" s="6" t="s">
        <v>1387</v>
      </c>
      <c r="B387" s="6">
        <v>1.2428999999999999</v>
      </c>
      <c r="C387" s="6">
        <v>36</v>
      </c>
      <c r="D387" s="6">
        <v>2.7957999999999998</v>
      </c>
      <c r="E387" s="6">
        <v>6.7333999999999996</v>
      </c>
      <c r="F387" s="6">
        <v>76</v>
      </c>
    </row>
    <row r="388" spans="1:6" x14ac:dyDescent="0.25">
      <c r="A388" s="6" t="s">
        <v>1388</v>
      </c>
      <c r="B388" s="6">
        <v>1.5611999999999999</v>
      </c>
      <c r="C388" s="6">
        <v>40</v>
      </c>
      <c r="D388" s="6">
        <v>2.6234000000000002</v>
      </c>
      <c r="E388" s="6">
        <v>11.135</v>
      </c>
      <c r="F388" s="6">
        <v>118</v>
      </c>
    </row>
    <row r="389" spans="1:6" x14ac:dyDescent="0.25">
      <c r="A389" s="6" t="s">
        <v>1389</v>
      </c>
      <c r="B389" s="6">
        <v>0.6431</v>
      </c>
      <c r="C389" s="6">
        <v>20</v>
      </c>
      <c r="D389" s="6">
        <v>2.5815999999999999</v>
      </c>
      <c r="E389" s="6">
        <v>4.8746</v>
      </c>
      <c r="F389" s="6">
        <v>58</v>
      </c>
    </row>
    <row r="390" spans="1:6" x14ac:dyDescent="0.25">
      <c r="A390" s="6" t="s">
        <v>1390</v>
      </c>
      <c r="B390" s="6">
        <v>1.9335</v>
      </c>
      <c r="C390" s="6">
        <v>41</v>
      </c>
      <c r="D390" s="6">
        <v>3.2536999999999998</v>
      </c>
      <c r="E390" s="6">
        <v>8.4398999999999997</v>
      </c>
      <c r="F390" s="6">
        <v>113</v>
      </c>
    </row>
    <row r="391" spans="1:6" x14ac:dyDescent="0.25">
      <c r="A391" s="6" t="s">
        <v>1391</v>
      </c>
      <c r="B391" s="6">
        <v>1.4012</v>
      </c>
      <c r="C391" s="6">
        <v>37</v>
      </c>
      <c r="D391" s="6">
        <v>3.1726999999999999</v>
      </c>
      <c r="E391" s="6">
        <v>9.8389000000000006</v>
      </c>
      <c r="F391" s="6">
        <v>111</v>
      </c>
    </row>
    <row r="392" spans="1:6" x14ac:dyDescent="0.25">
      <c r="A392" s="6" t="s">
        <v>1392</v>
      </c>
      <c r="B392" s="6">
        <v>1.2519</v>
      </c>
      <c r="C392" s="6">
        <v>37</v>
      </c>
      <c r="D392" s="6">
        <v>2.8927999999999998</v>
      </c>
      <c r="E392" s="6">
        <v>13.091799999999999</v>
      </c>
      <c r="F392" s="6">
        <v>145</v>
      </c>
    </row>
    <row r="393" spans="1:6" x14ac:dyDescent="0.25">
      <c r="A393" s="6" t="s">
        <v>1393</v>
      </c>
      <c r="B393" s="6">
        <v>0.71379999999999999</v>
      </c>
      <c r="C393" s="6">
        <v>24</v>
      </c>
      <c r="D393" s="6">
        <v>2.0613999999999999</v>
      </c>
      <c r="E393" s="6">
        <v>8.0967000000000002</v>
      </c>
      <c r="F393" s="6">
        <v>119</v>
      </c>
    </row>
    <row r="394" spans="1:6" x14ac:dyDescent="0.25">
      <c r="A394" s="6" t="s">
        <v>1394</v>
      </c>
      <c r="B394" s="6">
        <v>1.6236999999999999</v>
      </c>
      <c r="C394" s="6">
        <v>44</v>
      </c>
      <c r="D394" s="6">
        <v>1.9419</v>
      </c>
      <c r="E394" s="6">
        <v>7.2652000000000001</v>
      </c>
      <c r="F394" s="6">
        <v>93</v>
      </c>
    </row>
    <row r="395" spans="1:6" x14ac:dyDescent="0.25">
      <c r="A395" s="6" t="s">
        <v>1395</v>
      </c>
      <c r="B395" s="6">
        <v>1.1113999999999999</v>
      </c>
      <c r="C395" s="6">
        <v>30</v>
      </c>
      <c r="D395" s="6">
        <v>2.3046000000000002</v>
      </c>
      <c r="E395" s="6">
        <v>20.125599999999999</v>
      </c>
      <c r="F395" s="6">
        <v>269</v>
      </c>
    </row>
    <row r="396" spans="1:6" x14ac:dyDescent="0.25">
      <c r="A396" s="6" t="s">
        <v>1396</v>
      </c>
      <c r="B396" s="6">
        <v>0.51490000000000002</v>
      </c>
      <c r="C396" s="6">
        <v>18</v>
      </c>
      <c r="D396" s="6">
        <v>1.6125</v>
      </c>
      <c r="E396" s="6">
        <v>4.0622999999999996</v>
      </c>
      <c r="F396" s="6">
        <v>40</v>
      </c>
    </row>
    <row r="397" spans="1:6" x14ac:dyDescent="0.25">
      <c r="A397" s="6" t="s">
        <v>1397</v>
      </c>
      <c r="B397" s="6">
        <v>0.77100000000000002</v>
      </c>
      <c r="C397" s="6">
        <v>25</v>
      </c>
      <c r="D397" s="6">
        <v>2.0034000000000001</v>
      </c>
      <c r="E397" s="6">
        <v>6.1612999999999998</v>
      </c>
      <c r="F397" s="6">
        <v>81</v>
      </c>
    </row>
    <row r="398" spans="1:6" x14ac:dyDescent="0.25">
      <c r="A398" s="6" t="s">
        <v>1398</v>
      </c>
      <c r="B398" s="6">
        <v>2.2639</v>
      </c>
      <c r="C398" s="6">
        <v>50</v>
      </c>
      <c r="D398" s="6">
        <v>2.7199</v>
      </c>
      <c r="E398" s="6">
        <v>7.5027999999999997</v>
      </c>
      <c r="F398" s="6">
        <v>88</v>
      </c>
    </row>
    <row r="399" spans="1:6" x14ac:dyDescent="0.25">
      <c r="A399" s="6" t="s">
        <v>1399</v>
      </c>
      <c r="B399" s="6">
        <v>1.9370000000000001</v>
      </c>
      <c r="C399" s="6">
        <v>49</v>
      </c>
      <c r="D399" s="6">
        <v>2.9376000000000002</v>
      </c>
      <c r="E399" s="6">
        <v>10.355600000000001</v>
      </c>
      <c r="F399" s="6">
        <v>136</v>
      </c>
    </row>
    <row r="400" spans="1:6" x14ac:dyDescent="0.25">
      <c r="A400" s="6" t="s">
        <v>1400</v>
      </c>
      <c r="B400" s="6">
        <v>2.0118999999999998</v>
      </c>
      <c r="C400" s="6">
        <v>49</v>
      </c>
      <c r="D400" s="6">
        <v>3.3540999999999999</v>
      </c>
      <c r="E400" s="6">
        <v>9.5343999999999998</v>
      </c>
      <c r="F400" s="6">
        <v>116</v>
      </c>
    </row>
    <row r="401" spans="1:6" x14ac:dyDescent="0.25">
      <c r="A401" s="6" t="s">
        <v>1401</v>
      </c>
      <c r="B401" s="6">
        <v>1.6992</v>
      </c>
      <c r="C401" s="6">
        <v>41</v>
      </c>
      <c r="D401" s="6">
        <v>3.2475999999999998</v>
      </c>
      <c r="E401" s="6">
        <v>9.2147000000000006</v>
      </c>
      <c r="F401" s="6">
        <v>111</v>
      </c>
    </row>
    <row r="402" spans="1:6" x14ac:dyDescent="0.25">
      <c r="A402" s="6" t="s">
        <v>1402</v>
      </c>
      <c r="B402" s="6">
        <v>1.0206999999999999</v>
      </c>
      <c r="C402" s="6">
        <v>30</v>
      </c>
      <c r="D402" s="6">
        <v>1.8759999999999999</v>
      </c>
      <c r="E402" s="6">
        <v>11.870799999999999</v>
      </c>
      <c r="F402" s="6">
        <v>162</v>
      </c>
    </row>
    <row r="403" spans="1:6" x14ac:dyDescent="0.25">
      <c r="A403" s="6" t="s">
        <v>1403</v>
      </c>
      <c r="B403" s="6">
        <v>0.67510000000000003</v>
      </c>
      <c r="C403" s="6">
        <v>21</v>
      </c>
      <c r="D403" s="6">
        <v>1.8794</v>
      </c>
      <c r="E403" s="6">
        <v>4.0898000000000003</v>
      </c>
      <c r="F403" s="6">
        <v>42</v>
      </c>
    </row>
    <row r="404" spans="1:6" x14ac:dyDescent="0.25">
      <c r="A404" s="6" t="s">
        <v>1404</v>
      </c>
      <c r="B404" s="6">
        <v>2.2452000000000001</v>
      </c>
      <c r="C404" s="6">
        <v>49</v>
      </c>
      <c r="D404" s="6">
        <v>3.8380999999999998</v>
      </c>
      <c r="E404" s="6">
        <v>11.1066</v>
      </c>
      <c r="F404" s="6">
        <v>118</v>
      </c>
    </row>
    <row r="405" spans="1:6" x14ac:dyDescent="0.25">
      <c r="A405" s="6" t="s">
        <v>1405</v>
      </c>
      <c r="B405" s="6">
        <v>0.84760000000000002</v>
      </c>
      <c r="C405" s="6">
        <v>27</v>
      </c>
      <c r="D405" s="6">
        <v>1.4688000000000001</v>
      </c>
      <c r="E405" s="6">
        <v>9.5899000000000001</v>
      </c>
      <c r="F405" s="6">
        <v>154</v>
      </c>
    </row>
    <row r="406" spans="1:6" x14ac:dyDescent="0.25">
      <c r="A406" s="6" t="s">
        <v>1406</v>
      </c>
      <c r="B406" s="6">
        <v>1.6183000000000001</v>
      </c>
      <c r="C406" s="6">
        <v>45</v>
      </c>
      <c r="D406" s="6">
        <v>2.1594000000000002</v>
      </c>
      <c r="E406" s="6">
        <v>8.7745999999999995</v>
      </c>
      <c r="F406" s="6">
        <v>100</v>
      </c>
    </row>
    <row r="407" spans="1:6" x14ac:dyDescent="0.25">
      <c r="A407" s="6" t="s">
        <v>1407</v>
      </c>
      <c r="B407" s="6">
        <v>0.71150000000000002</v>
      </c>
      <c r="C407" s="6">
        <v>21</v>
      </c>
      <c r="D407" s="6">
        <v>2.4327999999999999</v>
      </c>
      <c r="E407" s="6">
        <v>4.2279</v>
      </c>
      <c r="F407" s="6">
        <v>40</v>
      </c>
    </row>
    <row r="408" spans="1:6" x14ac:dyDescent="0.25">
      <c r="A408" s="6" t="s">
        <v>1408</v>
      </c>
      <c r="B408" s="6">
        <v>0.95389999999999997</v>
      </c>
      <c r="C408" s="6">
        <v>32</v>
      </c>
      <c r="D408" s="6">
        <v>2.1972</v>
      </c>
      <c r="E408" s="6">
        <v>9.6940000000000008</v>
      </c>
      <c r="F408" s="6">
        <v>127</v>
      </c>
    </row>
    <row r="409" spans="1:6" x14ac:dyDescent="0.25">
      <c r="A409" s="6" t="s">
        <v>1409</v>
      </c>
      <c r="B409" s="6">
        <v>0.82869999999999999</v>
      </c>
      <c r="C409" s="6">
        <v>24</v>
      </c>
      <c r="D409" s="6">
        <v>2.8639000000000001</v>
      </c>
      <c r="E409" s="6">
        <v>5.9238</v>
      </c>
      <c r="F409" s="6">
        <v>60</v>
      </c>
    </row>
    <row r="410" spans="1:6" x14ac:dyDescent="0.25">
      <c r="A410" s="6" t="s">
        <v>1410</v>
      </c>
      <c r="B410" s="6">
        <v>0.65369999999999995</v>
      </c>
      <c r="C410" s="6">
        <v>22</v>
      </c>
      <c r="D410" s="6">
        <v>1.5626</v>
      </c>
      <c r="E410" s="6">
        <v>3.8106</v>
      </c>
      <c r="F410" s="6">
        <v>39</v>
      </c>
    </row>
    <row r="411" spans="1:6" x14ac:dyDescent="0.25">
      <c r="A411" s="6" t="s">
        <v>1411</v>
      </c>
      <c r="B411" s="6">
        <v>0.56289999999999996</v>
      </c>
      <c r="C411" s="6">
        <v>17</v>
      </c>
      <c r="D411" s="6">
        <v>1.6735</v>
      </c>
      <c r="E411" s="6">
        <v>3.7847</v>
      </c>
      <c r="F411" s="6">
        <v>40</v>
      </c>
    </row>
    <row r="412" spans="1:6" x14ac:dyDescent="0.25">
      <c r="A412" s="6" t="s">
        <v>1412</v>
      </c>
      <c r="B412" s="6">
        <v>0.80859999999999999</v>
      </c>
      <c r="C412" s="6">
        <v>24</v>
      </c>
      <c r="D412" s="6">
        <v>2.4123000000000001</v>
      </c>
      <c r="E412" s="6">
        <v>9.9909999999999997</v>
      </c>
      <c r="F412" s="6">
        <v>114</v>
      </c>
    </row>
    <row r="413" spans="1:6" x14ac:dyDescent="0.25">
      <c r="A413" s="6" t="s">
        <v>1413</v>
      </c>
      <c r="B413" s="6">
        <v>4.2576000000000001</v>
      </c>
      <c r="C413" s="6">
        <v>97</v>
      </c>
      <c r="D413" s="6">
        <v>2.7343000000000002</v>
      </c>
      <c r="E413" s="6">
        <v>13.3874</v>
      </c>
      <c r="F413" s="6">
        <v>165</v>
      </c>
    </row>
    <row r="414" spans="1:6" x14ac:dyDescent="0.25">
      <c r="A414" s="6" t="s">
        <v>1414</v>
      </c>
      <c r="B414" s="6">
        <v>3.1246999999999998</v>
      </c>
      <c r="C414" s="6">
        <v>71</v>
      </c>
      <c r="D414" s="6">
        <v>2.8730000000000002</v>
      </c>
      <c r="E414" s="6">
        <v>14.0105</v>
      </c>
      <c r="F414" s="6">
        <v>166</v>
      </c>
    </row>
    <row r="415" spans="1:6" x14ac:dyDescent="0.25">
      <c r="A415" s="6" t="s">
        <v>1415</v>
      </c>
      <c r="B415" s="6">
        <v>1.2296</v>
      </c>
      <c r="C415" s="6">
        <v>36</v>
      </c>
      <c r="D415" s="6">
        <v>2.5827</v>
      </c>
      <c r="E415" s="6">
        <v>4.5574000000000003</v>
      </c>
      <c r="F415" s="6">
        <v>39</v>
      </c>
    </row>
    <row r="416" spans="1:6" x14ac:dyDescent="0.25">
      <c r="A416" s="6" t="s">
        <v>1416</v>
      </c>
      <c r="B416" s="6">
        <v>0.80920000000000003</v>
      </c>
      <c r="C416" s="6">
        <v>22</v>
      </c>
      <c r="D416" s="6">
        <v>1.6641999999999999</v>
      </c>
      <c r="E416" s="6">
        <v>7.6193999999999997</v>
      </c>
      <c r="F416" s="6">
        <v>105</v>
      </c>
    </row>
    <row r="417" spans="1:6" x14ac:dyDescent="0.25">
      <c r="A417" s="6" t="s">
        <v>1417</v>
      </c>
      <c r="B417" s="6">
        <v>0.85060000000000002</v>
      </c>
      <c r="C417" s="6">
        <v>24</v>
      </c>
      <c r="D417" s="6">
        <v>2.2717000000000001</v>
      </c>
      <c r="E417" s="6">
        <v>8.1317000000000004</v>
      </c>
      <c r="F417" s="6">
        <v>96</v>
      </c>
    </row>
    <row r="418" spans="1:6" x14ac:dyDescent="0.25">
      <c r="A418" s="6" t="s">
        <v>1418</v>
      </c>
      <c r="B418" s="6">
        <v>2.7240000000000002</v>
      </c>
      <c r="C418" s="6">
        <v>59</v>
      </c>
      <c r="D418" s="6">
        <v>2.8868999999999998</v>
      </c>
      <c r="E418" s="6">
        <v>8.1556999999999995</v>
      </c>
      <c r="F418" s="6">
        <v>116</v>
      </c>
    </row>
    <row r="419" spans="1:6" x14ac:dyDescent="0.25">
      <c r="A419" s="6" t="s">
        <v>1419</v>
      </c>
      <c r="B419" s="6">
        <v>0.80130000000000001</v>
      </c>
      <c r="C419" s="6">
        <v>25</v>
      </c>
      <c r="D419" s="6">
        <v>2.6888999999999998</v>
      </c>
      <c r="E419" s="6">
        <v>14.233599999999999</v>
      </c>
      <c r="F419" s="6">
        <v>192</v>
      </c>
    </row>
    <row r="420" spans="1:6" x14ac:dyDescent="0.25">
      <c r="A420" s="6" t="s">
        <v>1420</v>
      </c>
      <c r="B420" s="6">
        <v>0.97030000000000005</v>
      </c>
      <c r="C420" s="6">
        <v>26</v>
      </c>
      <c r="D420" s="6">
        <v>2.9134000000000002</v>
      </c>
      <c r="E420" s="6">
        <v>4.6919000000000004</v>
      </c>
      <c r="F420" s="6">
        <v>39</v>
      </c>
    </row>
    <row r="421" spans="1:6" x14ac:dyDescent="0.25">
      <c r="A421" s="6" t="s">
        <v>1421</v>
      </c>
      <c r="B421" s="6">
        <v>1.4420999999999999</v>
      </c>
      <c r="C421" s="6">
        <v>39</v>
      </c>
      <c r="D421" s="6">
        <v>2.7723</v>
      </c>
      <c r="E421" s="6">
        <v>9.8546999999999993</v>
      </c>
      <c r="F421" s="6">
        <v>132</v>
      </c>
    </row>
    <row r="422" spans="1:6" x14ac:dyDescent="0.25">
      <c r="A422" s="6" t="s">
        <v>1422</v>
      </c>
      <c r="B422" s="6">
        <v>1.5115000000000001</v>
      </c>
      <c r="C422" s="6">
        <v>37</v>
      </c>
      <c r="D422" s="6">
        <v>2.9051</v>
      </c>
      <c r="E422" s="6">
        <v>9.5818999999999992</v>
      </c>
      <c r="F422" s="6">
        <v>119</v>
      </c>
    </row>
    <row r="423" spans="1:6" x14ac:dyDescent="0.25">
      <c r="A423" s="6" t="s">
        <v>1423</v>
      </c>
      <c r="B423" s="6">
        <v>1.0063</v>
      </c>
      <c r="C423" s="6">
        <v>29</v>
      </c>
      <c r="D423" s="6">
        <v>1.9577</v>
      </c>
      <c r="E423" s="6">
        <v>3.3633999999999999</v>
      </c>
      <c r="F423" s="6">
        <v>38</v>
      </c>
    </row>
    <row r="424" spans="1:6" x14ac:dyDescent="0.25">
      <c r="A424" s="6" t="s">
        <v>1424</v>
      </c>
      <c r="B424" s="6">
        <v>0.84370000000000001</v>
      </c>
      <c r="C424" s="6">
        <v>26</v>
      </c>
      <c r="D424" s="6">
        <v>2.1341000000000001</v>
      </c>
      <c r="E424" s="6">
        <v>5.9207000000000001</v>
      </c>
      <c r="F424" s="6">
        <v>55</v>
      </c>
    </row>
    <row r="425" spans="1:6" x14ac:dyDescent="0.25">
      <c r="A425" s="6" t="s">
        <v>1425</v>
      </c>
      <c r="B425" s="6">
        <v>0.84960000000000002</v>
      </c>
      <c r="C425" s="6">
        <v>24</v>
      </c>
      <c r="D425" s="6">
        <v>2.1934</v>
      </c>
      <c r="E425" s="6">
        <v>4.8829000000000002</v>
      </c>
      <c r="F425" s="6">
        <v>52</v>
      </c>
    </row>
    <row r="426" spans="1:6" x14ac:dyDescent="0.25">
      <c r="A426" s="6" t="s">
        <v>1426</v>
      </c>
      <c r="B426" s="6">
        <v>0.70479999999999998</v>
      </c>
      <c r="C426" s="6">
        <v>21</v>
      </c>
      <c r="D426" s="6">
        <v>2.0228000000000002</v>
      </c>
      <c r="E426" s="6">
        <v>6.7442000000000002</v>
      </c>
      <c r="F426" s="6">
        <v>89</v>
      </c>
    </row>
    <row r="427" spans="1:6" x14ac:dyDescent="0.25">
      <c r="A427" s="6" t="s">
        <v>1427</v>
      </c>
      <c r="B427" s="6">
        <v>0.94059999999999999</v>
      </c>
      <c r="C427" s="6">
        <v>27</v>
      </c>
      <c r="D427" s="6">
        <v>2.0196999999999998</v>
      </c>
      <c r="E427" s="6">
        <v>9.1103000000000005</v>
      </c>
      <c r="F427" s="6">
        <v>123</v>
      </c>
    </row>
    <row r="428" spans="1:6" x14ac:dyDescent="0.25">
      <c r="A428" s="6" t="s">
        <v>1428</v>
      </c>
      <c r="B428" s="6">
        <v>1.8976</v>
      </c>
      <c r="C428" s="6">
        <v>40</v>
      </c>
      <c r="D428" s="6">
        <v>3.5518000000000001</v>
      </c>
      <c r="E428" s="6">
        <v>8.4222999999999999</v>
      </c>
      <c r="F428" s="6">
        <v>95</v>
      </c>
    </row>
    <row r="429" spans="1:6" x14ac:dyDescent="0.25">
      <c r="A429" s="6" t="s">
        <v>1429</v>
      </c>
      <c r="B429" s="6">
        <v>1.1720999999999999</v>
      </c>
      <c r="C429" s="6">
        <v>33</v>
      </c>
      <c r="D429" s="6">
        <v>2.1171000000000002</v>
      </c>
      <c r="E429" s="6">
        <v>12.224500000000001</v>
      </c>
      <c r="F429" s="6">
        <v>150</v>
      </c>
    </row>
    <row r="430" spans="1:6" x14ac:dyDescent="0.25">
      <c r="A430" s="6" t="s">
        <v>1430</v>
      </c>
      <c r="B430" s="6">
        <v>0.87429999999999997</v>
      </c>
      <c r="C430" s="6">
        <v>26</v>
      </c>
      <c r="D430" s="6">
        <v>1.8407</v>
      </c>
      <c r="E430" s="6">
        <v>4.4486999999999997</v>
      </c>
      <c r="F430" s="6">
        <v>40</v>
      </c>
    </row>
    <row r="431" spans="1:6" x14ac:dyDescent="0.25">
      <c r="A431" s="6" t="s">
        <v>1431</v>
      </c>
      <c r="B431" s="6">
        <v>0.80989999999999995</v>
      </c>
      <c r="C431" s="6">
        <v>24</v>
      </c>
      <c r="D431" s="6">
        <v>1.8723000000000001</v>
      </c>
      <c r="E431" s="6">
        <v>7.3994999999999997</v>
      </c>
      <c r="F431" s="6">
        <v>88</v>
      </c>
    </row>
    <row r="432" spans="1:6" x14ac:dyDescent="0.25">
      <c r="A432" s="6" t="s">
        <v>1432</v>
      </c>
      <c r="B432" s="6">
        <v>2.4194</v>
      </c>
      <c r="C432" s="6">
        <v>61</v>
      </c>
      <c r="D432" s="6">
        <v>2.4527999999999999</v>
      </c>
      <c r="E432" s="6">
        <v>12.589700000000001</v>
      </c>
      <c r="F432" s="6">
        <v>175</v>
      </c>
    </row>
    <row r="433" spans="1:6" x14ac:dyDescent="0.25">
      <c r="A433" s="6" t="s">
        <v>1433</v>
      </c>
      <c r="B433" s="6">
        <v>1.554</v>
      </c>
      <c r="C433" s="6">
        <v>43</v>
      </c>
      <c r="D433" s="6">
        <v>2.4986000000000002</v>
      </c>
      <c r="E433" s="6">
        <v>7.2525000000000004</v>
      </c>
      <c r="F433" s="6">
        <v>80</v>
      </c>
    </row>
    <row r="434" spans="1:6" x14ac:dyDescent="0.25">
      <c r="A434" s="6" t="s">
        <v>1434</v>
      </c>
      <c r="B434" s="6">
        <v>1.032</v>
      </c>
      <c r="C434" s="6">
        <v>27</v>
      </c>
      <c r="D434" s="6">
        <v>2.6446999999999998</v>
      </c>
      <c r="E434" s="6">
        <v>8.9314</v>
      </c>
      <c r="F434" s="6">
        <v>117</v>
      </c>
    </row>
    <row r="435" spans="1:6" x14ac:dyDescent="0.25">
      <c r="A435" s="6" t="s">
        <v>1435</v>
      </c>
      <c r="B435" s="6">
        <v>0.62670000000000003</v>
      </c>
      <c r="C435" s="6">
        <v>19</v>
      </c>
      <c r="D435" s="6">
        <v>2.0042</v>
      </c>
      <c r="E435" s="6">
        <v>4.8620999999999999</v>
      </c>
      <c r="F435" s="6">
        <v>44</v>
      </c>
    </row>
    <row r="436" spans="1:6" x14ac:dyDescent="0.25">
      <c r="A436" s="6" t="s">
        <v>1436</v>
      </c>
      <c r="B436" s="6">
        <v>1.2291000000000001</v>
      </c>
      <c r="C436" s="6">
        <v>33</v>
      </c>
      <c r="D436" s="6">
        <v>2.4649000000000001</v>
      </c>
      <c r="E436" s="6">
        <v>5.8621999999999996</v>
      </c>
      <c r="F436" s="6">
        <v>72</v>
      </c>
    </row>
    <row r="437" spans="1:6" x14ac:dyDescent="0.25">
      <c r="A437" s="6" t="s">
        <v>1437</v>
      </c>
      <c r="B437" s="6">
        <v>1.4367000000000001</v>
      </c>
      <c r="C437" s="6">
        <v>35</v>
      </c>
      <c r="D437" s="6">
        <v>2.8317000000000001</v>
      </c>
      <c r="E437" s="6">
        <v>10.635199999999999</v>
      </c>
      <c r="F437" s="6">
        <v>129</v>
      </c>
    </row>
    <row r="438" spans="1:6" x14ac:dyDescent="0.25">
      <c r="A438" s="6" t="s">
        <v>1438</v>
      </c>
      <c r="B438" s="6">
        <v>1.0458000000000001</v>
      </c>
      <c r="C438" s="6">
        <v>32</v>
      </c>
      <c r="D438" s="6">
        <v>1.8414999999999999</v>
      </c>
      <c r="E438" s="6">
        <v>5.3593000000000002</v>
      </c>
      <c r="F438" s="6">
        <v>93</v>
      </c>
    </row>
    <row r="439" spans="1:6" x14ac:dyDescent="0.25">
      <c r="A439" s="6" t="s">
        <v>1439</v>
      </c>
      <c r="B439" s="6">
        <v>1.4374</v>
      </c>
      <c r="C439" s="6">
        <v>37</v>
      </c>
      <c r="D439" s="6">
        <v>2.7795999999999998</v>
      </c>
      <c r="E439" s="6">
        <v>8.9489000000000001</v>
      </c>
      <c r="F439" s="6">
        <v>105</v>
      </c>
    </row>
    <row r="440" spans="1:6" x14ac:dyDescent="0.25">
      <c r="A440" s="6" t="s">
        <v>1440</v>
      </c>
      <c r="B440" s="6">
        <v>0.87739999999999996</v>
      </c>
      <c r="C440" s="6">
        <v>27</v>
      </c>
      <c r="D440" s="6">
        <v>1.6668000000000001</v>
      </c>
      <c r="E440" s="6">
        <v>6.1195000000000004</v>
      </c>
      <c r="F440" s="6">
        <v>67</v>
      </c>
    </row>
    <row r="441" spans="1:6" x14ac:dyDescent="0.25">
      <c r="A441" s="6" t="s">
        <v>1441</v>
      </c>
      <c r="B441" s="6">
        <v>0.71809999999999996</v>
      </c>
      <c r="C441" s="6">
        <v>19</v>
      </c>
      <c r="D441" s="6">
        <v>2.3626999999999998</v>
      </c>
      <c r="E441" s="6">
        <v>4.2477999999999998</v>
      </c>
      <c r="F441" s="6">
        <v>43</v>
      </c>
    </row>
    <row r="442" spans="1:6" x14ac:dyDescent="0.25">
      <c r="A442" s="6" t="s">
        <v>1442</v>
      </c>
      <c r="B442" s="6">
        <v>1.2803</v>
      </c>
      <c r="C442" s="6">
        <v>36</v>
      </c>
      <c r="D442" s="6">
        <v>2.2522000000000002</v>
      </c>
      <c r="E442" s="6">
        <v>8.5024999999999995</v>
      </c>
      <c r="F442" s="6">
        <v>104</v>
      </c>
    </row>
    <row r="443" spans="1:6" x14ac:dyDescent="0.25">
      <c r="A443" s="6" t="s">
        <v>1443</v>
      </c>
      <c r="B443" s="6">
        <v>0.83050000000000002</v>
      </c>
      <c r="C443" s="6">
        <v>23</v>
      </c>
      <c r="D443" s="6">
        <v>2.2267999999999999</v>
      </c>
      <c r="E443" s="6">
        <v>5.7762000000000002</v>
      </c>
      <c r="F443" s="6">
        <v>78</v>
      </c>
    </row>
    <row r="444" spans="1:6" x14ac:dyDescent="0.25">
      <c r="A444" s="6" t="s">
        <v>1444</v>
      </c>
      <c r="B444" s="6">
        <v>1.4985999999999999</v>
      </c>
      <c r="C444" s="6">
        <v>42</v>
      </c>
      <c r="D444" s="6">
        <v>2.605</v>
      </c>
      <c r="E444" s="6">
        <v>1.0095000000000001</v>
      </c>
      <c r="F444" s="6">
        <v>3</v>
      </c>
    </row>
    <row r="445" spans="1:6" x14ac:dyDescent="0.25">
      <c r="A445" s="6" t="s">
        <v>1445</v>
      </c>
      <c r="B445" s="6">
        <v>0.85350000000000004</v>
      </c>
      <c r="C445" s="6">
        <v>27</v>
      </c>
      <c r="D445" s="6">
        <v>2.3108</v>
      </c>
      <c r="E445" s="6">
        <v>4.2157999999999998</v>
      </c>
      <c r="F445" s="6">
        <v>40</v>
      </c>
    </row>
    <row r="446" spans="1:6" x14ac:dyDescent="0.25">
      <c r="A446" s="6" t="s">
        <v>1446</v>
      </c>
      <c r="B446" s="6">
        <v>1.0835999999999999</v>
      </c>
      <c r="C446" s="6">
        <v>26</v>
      </c>
      <c r="D446" s="6">
        <v>2.3975</v>
      </c>
      <c r="E446" s="6">
        <v>4.2826000000000004</v>
      </c>
      <c r="F446" s="6">
        <v>40</v>
      </c>
    </row>
    <row r="447" spans="1:6" x14ac:dyDescent="0.25">
      <c r="A447" s="6" t="s">
        <v>1447</v>
      </c>
      <c r="B447" s="6">
        <v>1.4401999999999999</v>
      </c>
      <c r="C447" s="6">
        <v>42</v>
      </c>
      <c r="D447" s="6">
        <v>2.2269999999999999</v>
      </c>
      <c r="E447" s="6">
        <v>5.7039</v>
      </c>
      <c r="F447" s="6">
        <v>55</v>
      </c>
    </row>
    <row r="448" spans="1:6" x14ac:dyDescent="0.25">
      <c r="A448" s="6" t="s">
        <v>1448</v>
      </c>
      <c r="B448" s="6">
        <v>0.88200000000000001</v>
      </c>
      <c r="C448" s="6">
        <v>25</v>
      </c>
      <c r="D448" s="6">
        <v>2.3660999999999999</v>
      </c>
      <c r="E448" s="6">
        <v>4.8707000000000003</v>
      </c>
      <c r="F448" s="6">
        <v>43</v>
      </c>
    </row>
    <row r="449" spans="1:6" x14ac:dyDescent="0.25">
      <c r="A449" s="6" t="s">
        <v>1449</v>
      </c>
      <c r="B449" s="6">
        <v>1.8609</v>
      </c>
      <c r="C449" s="6">
        <v>48</v>
      </c>
      <c r="D449" s="6">
        <v>1.6943999999999999</v>
      </c>
      <c r="E449" s="6">
        <v>13.4998</v>
      </c>
      <c r="F449" s="6">
        <v>180</v>
      </c>
    </row>
    <row r="450" spans="1:6" x14ac:dyDescent="0.25">
      <c r="A450" s="6" t="s">
        <v>1450</v>
      </c>
      <c r="B450" s="6">
        <v>0.77159999999999995</v>
      </c>
      <c r="C450" s="6">
        <v>24</v>
      </c>
      <c r="D450" s="6">
        <v>2.056</v>
      </c>
      <c r="E450" s="6">
        <v>7.7915000000000001</v>
      </c>
      <c r="F450" s="6">
        <v>109</v>
      </c>
    </row>
    <row r="451" spans="1:6" x14ac:dyDescent="0.25">
      <c r="A451" s="6" t="s">
        <v>1451</v>
      </c>
      <c r="B451" s="6">
        <v>0.60450000000000004</v>
      </c>
      <c r="C451" s="6">
        <v>18</v>
      </c>
      <c r="D451" s="6">
        <v>1.7677</v>
      </c>
      <c r="E451" s="6">
        <v>3.9504000000000001</v>
      </c>
      <c r="F451" s="6">
        <v>45</v>
      </c>
    </row>
    <row r="452" spans="1:6" x14ac:dyDescent="0.25">
      <c r="A452" s="6" t="s">
        <v>1452</v>
      </c>
      <c r="B452" s="6">
        <v>1.1336999999999999</v>
      </c>
      <c r="C452" s="6">
        <v>33</v>
      </c>
      <c r="D452" s="6">
        <v>1.9258999999999999</v>
      </c>
      <c r="E452" s="6">
        <v>6.4080000000000004</v>
      </c>
      <c r="F452" s="6">
        <v>72</v>
      </c>
    </row>
    <row r="453" spans="1:6" x14ac:dyDescent="0.25">
      <c r="A453" s="6" t="s">
        <v>1453</v>
      </c>
      <c r="B453" s="6">
        <v>0.96840000000000004</v>
      </c>
      <c r="C453" s="6">
        <v>28</v>
      </c>
      <c r="D453" s="6">
        <v>2.7749999999999999</v>
      </c>
      <c r="E453" s="6">
        <v>8.9780999999999995</v>
      </c>
      <c r="F453" s="6">
        <v>117</v>
      </c>
    </row>
    <row r="454" spans="1:6" x14ac:dyDescent="0.25">
      <c r="A454" s="6" t="s">
        <v>1454</v>
      </c>
      <c r="B454" s="6">
        <v>1.0787</v>
      </c>
      <c r="C454" s="6">
        <v>31</v>
      </c>
      <c r="D454" s="6">
        <v>2.7357</v>
      </c>
      <c r="E454" s="6">
        <v>5.7988999999999997</v>
      </c>
      <c r="F454" s="6">
        <v>59</v>
      </c>
    </row>
    <row r="455" spans="1:6" x14ac:dyDescent="0.25">
      <c r="A455" s="6" t="s">
        <v>1455</v>
      </c>
      <c r="B455" s="6">
        <v>0.93159999999999998</v>
      </c>
      <c r="C455" s="6">
        <v>25</v>
      </c>
      <c r="D455" s="6">
        <v>2.7155</v>
      </c>
      <c r="E455" s="6">
        <v>18.914300000000001</v>
      </c>
      <c r="F455" s="6">
        <v>230</v>
      </c>
    </row>
    <row r="456" spans="1:6" x14ac:dyDescent="0.25">
      <c r="A456" s="6" t="s">
        <v>1456</v>
      </c>
      <c r="B456" s="6">
        <v>0.66459999999999997</v>
      </c>
      <c r="C456" s="6">
        <v>20</v>
      </c>
      <c r="D456" s="6">
        <v>1.5313000000000001</v>
      </c>
      <c r="E456" s="6">
        <v>6.0258000000000003</v>
      </c>
      <c r="F456" s="6">
        <v>94</v>
      </c>
    </row>
    <row r="457" spans="1:6" x14ac:dyDescent="0.25">
      <c r="A457" s="6" t="s">
        <v>1457</v>
      </c>
      <c r="B457" s="6">
        <v>0.67889999999999995</v>
      </c>
      <c r="C457" s="6">
        <v>18</v>
      </c>
      <c r="D457" s="6">
        <v>1.421</v>
      </c>
      <c r="E457" s="6">
        <v>3.8628</v>
      </c>
      <c r="F457" s="6">
        <v>40</v>
      </c>
    </row>
    <row r="458" spans="1:6" x14ac:dyDescent="0.25">
      <c r="A458" s="6" t="s">
        <v>1458</v>
      </c>
      <c r="B458" s="6">
        <v>0.67020000000000002</v>
      </c>
      <c r="C458" s="6">
        <v>22</v>
      </c>
      <c r="D458" s="6">
        <v>1.6123000000000001</v>
      </c>
      <c r="E458" s="6">
        <v>5.2374000000000001</v>
      </c>
      <c r="F458" s="6">
        <v>63</v>
      </c>
    </row>
    <row r="459" spans="1:6" x14ac:dyDescent="0.25">
      <c r="A459" s="6" t="s">
        <v>1459</v>
      </c>
      <c r="B459" s="6">
        <v>0.96909999999999996</v>
      </c>
      <c r="C459" s="6">
        <v>27</v>
      </c>
      <c r="D459" s="6">
        <v>2.6825000000000001</v>
      </c>
      <c r="E459" s="6">
        <v>6.9291</v>
      </c>
      <c r="F459" s="6">
        <v>74</v>
      </c>
    </row>
    <row r="460" spans="1:6" x14ac:dyDescent="0.25">
      <c r="A460" s="6" t="s">
        <v>1460</v>
      </c>
      <c r="B460" s="6">
        <v>1.0148999999999999</v>
      </c>
      <c r="C460" s="6">
        <v>30</v>
      </c>
      <c r="D460" s="6">
        <v>2.5842999999999998</v>
      </c>
      <c r="E460" s="6">
        <v>10.114000000000001</v>
      </c>
      <c r="F460" s="6">
        <v>131</v>
      </c>
    </row>
    <row r="461" spans="1:6" x14ac:dyDescent="0.25">
      <c r="A461" s="6" t="s">
        <v>1461</v>
      </c>
      <c r="B461" s="6">
        <v>1.3955</v>
      </c>
      <c r="C461" s="6">
        <v>35</v>
      </c>
      <c r="D461" s="6">
        <v>2.988</v>
      </c>
      <c r="E461" s="6">
        <v>15.426399999999999</v>
      </c>
      <c r="F461" s="6">
        <v>191</v>
      </c>
    </row>
    <row r="462" spans="1:6" x14ac:dyDescent="0.25">
      <c r="A462" s="6" t="s">
        <v>1462</v>
      </c>
      <c r="B462" s="6">
        <v>3.3079000000000001</v>
      </c>
      <c r="C462" s="6">
        <v>71</v>
      </c>
      <c r="D462" s="6">
        <v>3.1511999999999998</v>
      </c>
      <c r="E462" s="6">
        <v>10.610900000000001</v>
      </c>
      <c r="F462" s="6">
        <v>131</v>
      </c>
    </row>
    <row r="463" spans="1:6" x14ac:dyDescent="0.25">
      <c r="A463" s="6" t="s">
        <v>1463</v>
      </c>
      <c r="B463" s="6">
        <v>0.95550000000000002</v>
      </c>
      <c r="C463" s="6">
        <v>28</v>
      </c>
      <c r="D463" s="6">
        <v>2.1970999999999998</v>
      </c>
      <c r="E463" s="6">
        <v>3.9289999999999998</v>
      </c>
      <c r="F463" s="6">
        <v>38</v>
      </c>
    </row>
    <row r="464" spans="1:6" x14ac:dyDescent="0.25">
      <c r="A464" s="6" t="s">
        <v>1464</v>
      </c>
      <c r="B464" s="6">
        <v>1.1321000000000001</v>
      </c>
      <c r="C464" s="6">
        <v>30</v>
      </c>
      <c r="D464" s="6">
        <v>2.5676000000000001</v>
      </c>
      <c r="E464" s="6">
        <v>9.8947000000000003</v>
      </c>
      <c r="F464" s="6">
        <v>107</v>
      </c>
    </row>
    <row r="465" spans="1:6" x14ac:dyDescent="0.25">
      <c r="A465" s="6" t="s">
        <v>1465</v>
      </c>
      <c r="B465" s="6">
        <v>1.8959999999999999</v>
      </c>
      <c r="C465" s="6">
        <v>52</v>
      </c>
      <c r="D465" s="6">
        <v>3.3388</v>
      </c>
      <c r="E465" s="6">
        <v>8.1905000000000001</v>
      </c>
      <c r="F465" s="6">
        <v>74</v>
      </c>
    </row>
    <row r="466" spans="1:6" x14ac:dyDescent="0.25">
      <c r="A466" s="6" t="s">
        <v>1466</v>
      </c>
      <c r="B466" s="6">
        <v>1.0331999999999999</v>
      </c>
      <c r="C466" s="6">
        <v>25</v>
      </c>
      <c r="D466" s="6">
        <v>3.6036999999999999</v>
      </c>
      <c r="E466" s="6">
        <v>8.7373999999999992</v>
      </c>
      <c r="F466" s="6">
        <v>106</v>
      </c>
    </row>
    <row r="467" spans="1:6" x14ac:dyDescent="0.25">
      <c r="A467" s="6" t="s">
        <v>1467</v>
      </c>
      <c r="B467" s="6">
        <v>0.90339999999999998</v>
      </c>
      <c r="C467" s="6">
        <v>25</v>
      </c>
      <c r="D467" s="6">
        <v>2.3971</v>
      </c>
      <c r="E467" s="6">
        <v>11.3245</v>
      </c>
      <c r="F467" s="6">
        <v>124</v>
      </c>
    </row>
    <row r="468" spans="1:6" x14ac:dyDescent="0.25">
      <c r="A468" s="6" t="s">
        <v>1468</v>
      </c>
      <c r="B468" s="6">
        <v>0.71609999999999996</v>
      </c>
      <c r="C468" s="6">
        <v>21</v>
      </c>
      <c r="D468" s="6">
        <v>2.1764999999999999</v>
      </c>
      <c r="E468" s="6">
        <v>8.6679999999999993</v>
      </c>
      <c r="F468" s="6">
        <v>118</v>
      </c>
    </row>
    <row r="469" spans="1:6" x14ac:dyDescent="0.25">
      <c r="A469" s="6" t="s">
        <v>1469</v>
      </c>
      <c r="B469" s="6">
        <v>2.0979000000000001</v>
      </c>
      <c r="C469" s="6">
        <v>50</v>
      </c>
      <c r="D469" s="6">
        <v>2.7551000000000001</v>
      </c>
      <c r="E469" s="6">
        <v>10.1821</v>
      </c>
      <c r="F469" s="6">
        <v>125</v>
      </c>
    </row>
    <row r="470" spans="1:6" x14ac:dyDescent="0.25">
      <c r="A470" s="6" t="s">
        <v>1470</v>
      </c>
      <c r="B470" s="6">
        <v>0.86890000000000001</v>
      </c>
      <c r="C470" s="6">
        <v>24</v>
      </c>
      <c r="D470" s="6">
        <v>2.0886</v>
      </c>
      <c r="E470" s="6">
        <v>8.6820000000000004</v>
      </c>
      <c r="F470" s="6">
        <v>115</v>
      </c>
    </row>
    <row r="471" spans="1:6" x14ac:dyDescent="0.25">
      <c r="A471" s="6" t="s">
        <v>1471</v>
      </c>
      <c r="B471" s="6">
        <v>0.65329999999999999</v>
      </c>
      <c r="C471" s="6">
        <v>23</v>
      </c>
      <c r="D471" s="6">
        <v>1.9227000000000001</v>
      </c>
      <c r="E471" s="6">
        <v>6.7411000000000003</v>
      </c>
      <c r="F471" s="6">
        <v>88</v>
      </c>
    </row>
    <row r="472" spans="1:6" x14ac:dyDescent="0.25">
      <c r="A472" s="6" t="s">
        <v>1472</v>
      </c>
      <c r="B472" s="6">
        <v>1.7946</v>
      </c>
      <c r="C472" s="6">
        <v>48</v>
      </c>
      <c r="D472" s="6">
        <v>2.1025</v>
      </c>
      <c r="E472" s="6">
        <v>16.165099999999999</v>
      </c>
      <c r="F472" s="6">
        <v>226</v>
      </c>
    </row>
    <row r="473" spans="1:6" x14ac:dyDescent="0.25">
      <c r="A473" s="6" t="s">
        <v>1473</v>
      </c>
      <c r="B473" s="6">
        <v>0.94069999999999998</v>
      </c>
      <c r="C473" s="6">
        <v>29</v>
      </c>
      <c r="D473" s="6">
        <v>2.2572000000000001</v>
      </c>
      <c r="E473" s="6">
        <v>7.1390000000000002</v>
      </c>
      <c r="F473" s="6">
        <v>77</v>
      </c>
    </row>
    <row r="474" spans="1:6" x14ac:dyDescent="0.25">
      <c r="A474" s="6" t="s">
        <v>1474</v>
      </c>
      <c r="B474" s="6">
        <v>1.1153</v>
      </c>
      <c r="C474" s="6">
        <v>34</v>
      </c>
      <c r="D474" s="6">
        <v>2.2562000000000002</v>
      </c>
      <c r="E474" s="6">
        <v>17.048500000000001</v>
      </c>
      <c r="F474" s="6">
        <v>216</v>
      </c>
    </row>
    <row r="475" spans="1:6" x14ac:dyDescent="0.25">
      <c r="A475" s="6" t="s">
        <v>1475</v>
      </c>
      <c r="B475" s="6">
        <v>1.2513000000000001</v>
      </c>
      <c r="C475" s="6">
        <v>35</v>
      </c>
      <c r="D475" s="6">
        <v>2.3414000000000001</v>
      </c>
      <c r="E475" s="6">
        <v>8.3854000000000006</v>
      </c>
      <c r="F475" s="6">
        <v>99</v>
      </c>
    </row>
    <row r="476" spans="1:6" x14ac:dyDescent="0.25">
      <c r="A476" s="6" t="s">
        <v>1476</v>
      </c>
      <c r="B476" s="6">
        <v>1.7581</v>
      </c>
      <c r="C476" s="6">
        <v>42</v>
      </c>
      <c r="D476" s="6">
        <v>2.8814000000000002</v>
      </c>
      <c r="E476" s="6">
        <v>12.072100000000001</v>
      </c>
      <c r="F476" s="6">
        <v>141</v>
      </c>
    </row>
    <row r="477" spans="1:6" x14ac:dyDescent="0.25">
      <c r="A477" s="6" t="s">
        <v>1477</v>
      </c>
      <c r="B477" s="6">
        <v>1.7601</v>
      </c>
      <c r="C477" s="6">
        <v>40</v>
      </c>
      <c r="D477" s="6">
        <v>3.1629999999999998</v>
      </c>
      <c r="E477" s="6">
        <v>8.1934000000000005</v>
      </c>
      <c r="F477" s="6">
        <v>90</v>
      </c>
    </row>
    <row r="478" spans="1:6" x14ac:dyDescent="0.25">
      <c r="A478" s="6" t="s">
        <v>1478</v>
      </c>
      <c r="B478" s="6">
        <v>2.1577000000000002</v>
      </c>
      <c r="C478" s="6">
        <v>43</v>
      </c>
      <c r="D478" s="6">
        <v>3.1690999999999998</v>
      </c>
      <c r="E478" s="6">
        <v>18.8477</v>
      </c>
      <c r="F478" s="6">
        <v>239</v>
      </c>
    </row>
    <row r="479" spans="1:6" x14ac:dyDescent="0.25">
      <c r="A479" s="6" t="s">
        <v>1479</v>
      </c>
      <c r="B479" s="6">
        <v>3.6246</v>
      </c>
      <c r="C479" s="6">
        <v>74</v>
      </c>
      <c r="D479" s="6">
        <v>2.7953000000000001</v>
      </c>
      <c r="E479" s="6">
        <v>7.8792999999999997</v>
      </c>
      <c r="F479" s="6">
        <v>98</v>
      </c>
    </row>
    <row r="480" spans="1:6" x14ac:dyDescent="0.25">
      <c r="A480" s="6" t="s">
        <v>1480</v>
      </c>
      <c r="B480" s="6">
        <v>4.1696999999999997</v>
      </c>
      <c r="C480" s="6">
        <v>86</v>
      </c>
      <c r="D480" s="6">
        <v>2.8224999999999998</v>
      </c>
      <c r="E480" s="6">
        <v>8.8650000000000002</v>
      </c>
      <c r="F480" s="6">
        <v>105</v>
      </c>
    </row>
    <row r="481" spans="1:6" x14ac:dyDescent="0.25">
      <c r="A481" s="6" t="s">
        <v>1481</v>
      </c>
      <c r="B481" s="6">
        <v>1.5067999999999999</v>
      </c>
      <c r="C481" s="6">
        <v>38</v>
      </c>
      <c r="D481" s="6">
        <v>2.8940000000000001</v>
      </c>
      <c r="E481" s="6">
        <v>8.5625999999999998</v>
      </c>
      <c r="F481" s="6">
        <v>76</v>
      </c>
    </row>
    <row r="482" spans="1:6" x14ac:dyDescent="0.25">
      <c r="A482" s="6" t="s">
        <v>1482</v>
      </c>
      <c r="B482" s="6">
        <v>1.335</v>
      </c>
      <c r="C482" s="6">
        <v>36</v>
      </c>
      <c r="D482" s="6">
        <v>2.7919999999999998</v>
      </c>
      <c r="E482" s="6">
        <v>7.5366</v>
      </c>
      <c r="F482" s="6">
        <v>88</v>
      </c>
    </row>
    <row r="483" spans="1:6" x14ac:dyDescent="0.25">
      <c r="A483" s="6" t="s">
        <v>1483</v>
      </c>
      <c r="B483" s="6">
        <v>0.87229999999999996</v>
      </c>
      <c r="C483" s="6">
        <v>25</v>
      </c>
      <c r="D483" s="6">
        <v>2.9832000000000001</v>
      </c>
      <c r="E483" s="6">
        <v>6.1044999999999998</v>
      </c>
      <c r="F483" s="6">
        <v>62</v>
      </c>
    </row>
    <row r="484" spans="1:6" x14ac:dyDescent="0.25">
      <c r="A484" s="6" t="s">
        <v>1484</v>
      </c>
      <c r="B484" s="6">
        <v>0.95850000000000002</v>
      </c>
      <c r="C484" s="6">
        <v>25</v>
      </c>
      <c r="D484" s="6">
        <v>2.7465999999999999</v>
      </c>
      <c r="E484" s="6">
        <v>10.914300000000001</v>
      </c>
      <c r="F484" s="6">
        <v>148</v>
      </c>
    </row>
    <row r="485" spans="1:6" x14ac:dyDescent="0.25">
      <c r="A485" s="6" t="s">
        <v>1485</v>
      </c>
      <c r="B485" s="6">
        <v>0.78849999999999998</v>
      </c>
      <c r="C485" s="6">
        <v>22</v>
      </c>
      <c r="D485" s="6">
        <v>3.1694</v>
      </c>
      <c r="E485" s="6">
        <v>5.8796999999999997</v>
      </c>
      <c r="F485" s="6">
        <v>79</v>
      </c>
    </row>
    <row r="486" spans="1:6" x14ac:dyDescent="0.25">
      <c r="A486" s="6" t="s">
        <v>1486</v>
      </c>
      <c r="B486" s="6">
        <v>2.0979999999999999</v>
      </c>
      <c r="C486" s="6">
        <v>55</v>
      </c>
      <c r="D486" s="6">
        <v>2.9687999999999999</v>
      </c>
      <c r="E486" s="6">
        <v>13.544700000000001</v>
      </c>
      <c r="F486" s="6">
        <v>166</v>
      </c>
    </row>
    <row r="487" spans="1:6" x14ac:dyDescent="0.25">
      <c r="A487" s="6" t="s">
        <v>1487</v>
      </c>
      <c r="B487" s="6">
        <v>1.5259</v>
      </c>
      <c r="C487" s="6">
        <v>43</v>
      </c>
      <c r="D487" s="6">
        <v>2.1976</v>
      </c>
      <c r="E487" s="6">
        <v>7.7545999999999999</v>
      </c>
      <c r="F487" s="6">
        <v>105</v>
      </c>
    </row>
    <row r="488" spans="1:6" x14ac:dyDescent="0.25">
      <c r="A488" s="6" t="s">
        <v>1488</v>
      </c>
      <c r="B488" s="6">
        <v>0.84150000000000003</v>
      </c>
      <c r="C488" s="6">
        <v>25</v>
      </c>
      <c r="D488" s="6">
        <v>2.5886</v>
      </c>
      <c r="E488" s="6">
        <v>7.0872000000000002</v>
      </c>
      <c r="F488" s="6">
        <v>103</v>
      </c>
    </row>
    <row r="489" spans="1:6" x14ac:dyDescent="0.25">
      <c r="A489" s="6" t="s">
        <v>1489</v>
      </c>
      <c r="B489" s="6">
        <v>0.58750000000000002</v>
      </c>
      <c r="C489" s="6">
        <v>18</v>
      </c>
      <c r="D489" s="6">
        <v>1.7753000000000001</v>
      </c>
      <c r="E489" s="6">
        <v>7.0461999999999998</v>
      </c>
      <c r="F489" s="6">
        <v>92</v>
      </c>
    </row>
    <row r="490" spans="1:6" x14ac:dyDescent="0.25">
      <c r="A490" s="6" t="s">
        <v>1490</v>
      </c>
      <c r="B490" s="6">
        <v>1.5102</v>
      </c>
      <c r="C490" s="6">
        <v>42</v>
      </c>
      <c r="D490" s="6">
        <v>2.4186999999999999</v>
      </c>
      <c r="E490" s="6">
        <v>7.9142000000000001</v>
      </c>
      <c r="F490" s="6">
        <v>105</v>
      </c>
    </row>
    <row r="491" spans="1:6" x14ac:dyDescent="0.25">
      <c r="A491" s="6" t="s">
        <v>1491</v>
      </c>
      <c r="B491" s="6">
        <v>0.58599999999999997</v>
      </c>
      <c r="C491" s="6">
        <v>16</v>
      </c>
      <c r="D491" s="6">
        <v>2.0975000000000001</v>
      </c>
      <c r="E491" s="6">
        <v>8.2063000000000006</v>
      </c>
      <c r="F491" s="6">
        <v>132</v>
      </c>
    </row>
    <row r="492" spans="1:6" x14ac:dyDescent="0.25">
      <c r="A492" s="6" t="s">
        <v>1492</v>
      </c>
      <c r="B492" s="6">
        <v>0.97809999999999997</v>
      </c>
      <c r="C492" s="6">
        <v>28</v>
      </c>
      <c r="D492" s="6">
        <v>1.905</v>
      </c>
      <c r="E492" s="6">
        <v>9.0324000000000009</v>
      </c>
      <c r="F492" s="6">
        <v>127</v>
      </c>
    </row>
    <row r="493" spans="1:6" x14ac:dyDescent="0.25">
      <c r="A493" s="6" t="s">
        <v>1493</v>
      </c>
      <c r="B493" s="6">
        <v>1.589</v>
      </c>
      <c r="C493" s="6">
        <v>41</v>
      </c>
      <c r="D493" s="6">
        <v>2.7545999999999999</v>
      </c>
      <c r="E493" s="6">
        <v>9.0259</v>
      </c>
      <c r="F493" s="6">
        <v>118</v>
      </c>
    </row>
    <row r="494" spans="1:6" x14ac:dyDescent="0.25">
      <c r="A494" s="6" t="s">
        <v>1494</v>
      </c>
      <c r="B494" s="6">
        <v>1.0378000000000001</v>
      </c>
      <c r="C494" s="6">
        <v>32</v>
      </c>
      <c r="D494" s="6">
        <v>2.4958999999999998</v>
      </c>
      <c r="E494" s="6">
        <v>7.7328000000000001</v>
      </c>
      <c r="F494" s="6">
        <v>87</v>
      </c>
    </row>
    <row r="495" spans="1:6" x14ac:dyDescent="0.25">
      <c r="A495" s="6" t="s">
        <v>1495</v>
      </c>
      <c r="B495" s="6">
        <v>0.65959999999999996</v>
      </c>
      <c r="C495" s="6">
        <v>20</v>
      </c>
      <c r="D495" s="6">
        <v>2.1753</v>
      </c>
      <c r="E495" s="6">
        <v>4.3871000000000002</v>
      </c>
      <c r="F495" s="6">
        <v>42</v>
      </c>
    </row>
    <row r="496" spans="1:6" x14ac:dyDescent="0.25">
      <c r="A496" s="6" t="s">
        <v>1496</v>
      </c>
      <c r="B496" s="6">
        <v>1.4439</v>
      </c>
      <c r="C496" s="6">
        <v>36</v>
      </c>
      <c r="D496" s="6">
        <v>1.9943</v>
      </c>
      <c r="E496" s="6">
        <v>7.9953000000000003</v>
      </c>
      <c r="F496" s="6">
        <v>122</v>
      </c>
    </row>
    <row r="497" spans="1:6" x14ac:dyDescent="0.25">
      <c r="A497" s="6" t="s">
        <v>1497</v>
      </c>
      <c r="B497" s="6">
        <v>0.71930000000000005</v>
      </c>
      <c r="C497" s="6">
        <v>20</v>
      </c>
      <c r="D497" s="6">
        <v>2.0522999999999998</v>
      </c>
      <c r="E497" s="6">
        <v>4.8597999999999999</v>
      </c>
      <c r="F497" s="6">
        <v>53</v>
      </c>
    </row>
    <row r="498" spans="1:6" x14ac:dyDescent="0.25">
      <c r="A498" s="6" t="s">
        <v>1498</v>
      </c>
      <c r="B498" s="6">
        <v>1.079</v>
      </c>
      <c r="C498" s="6">
        <v>30</v>
      </c>
      <c r="D498" s="6">
        <v>2.391</v>
      </c>
      <c r="E498" s="6">
        <v>8.6435999999999993</v>
      </c>
      <c r="F498" s="6">
        <v>126</v>
      </c>
    </row>
    <row r="499" spans="1:6" x14ac:dyDescent="0.25">
      <c r="A499" s="6" t="s">
        <v>1499</v>
      </c>
      <c r="B499" s="6">
        <v>1.2095</v>
      </c>
      <c r="C499" s="6">
        <v>33</v>
      </c>
      <c r="D499" s="6">
        <v>2.5884</v>
      </c>
      <c r="E499" s="6">
        <v>9.3909000000000002</v>
      </c>
      <c r="F499" s="6">
        <v>115</v>
      </c>
    </row>
    <row r="500" spans="1:6" x14ac:dyDescent="0.25">
      <c r="A500" s="6" t="s">
        <v>1500</v>
      </c>
      <c r="B500" s="6">
        <v>1.5215000000000001</v>
      </c>
      <c r="C500" s="6">
        <v>42</v>
      </c>
      <c r="D500" s="6">
        <v>2.5463</v>
      </c>
      <c r="E500" s="6">
        <v>9.9716000000000005</v>
      </c>
      <c r="F500" s="6">
        <v>137</v>
      </c>
    </row>
    <row r="501" spans="1:6" x14ac:dyDescent="0.25">
      <c r="A501" s="6" t="s">
        <v>1501</v>
      </c>
      <c r="B501" s="6">
        <v>1.5044</v>
      </c>
      <c r="C501" s="6">
        <v>36</v>
      </c>
      <c r="D501" s="6">
        <v>2.8106</v>
      </c>
      <c r="E501" s="6">
        <v>7.8437000000000001</v>
      </c>
      <c r="F501" s="6">
        <v>102</v>
      </c>
    </row>
    <row r="502" spans="1:6" x14ac:dyDescent="0.25">
      <c r="A502" s="6" t="s">
        <v>1502</v>
      </c>
      <c r="B502" s="6">
        <v>1.4060999999999999</v>
      </c>
      <c r="C502" s="6">
        <v>39</v>
      </c>
      <c r="D502" s="6">
        <v>2.5487000000000002</v>
      </c>
      <c r="E502" s="6">
        <v>9.7886000000000006</v>
      </c>
      <c r="F502" s="6">
        <v>138</v>
      </c>
    </row>
    <row r="503" spans="1:6" x14ac:dyDescent="0.25">
      <c r="A503" s="6" t="s">
        <v>1503</v>
      </c>
      <c r="B503" s="6">
        <v>1.0891999999999999</v>
      </c>
      <c r="C503" s="6">
        <v>32</v>
      </c>
      <c r="D503" s="6">
        <v>2.9497</v>
      </c>
      <c r="E503" s="6">
        <v>8.1529000000000007</v>
      </c>
      <c r="F503" s="6">
        <v>104</v>
      </c>
    </row>
    <row r="504" spans="1:6" x14ac:dyDescent="0.25">
      <c r="A504" s="6" t="s">
        <v>1504</v>
      </c>
      <c r="B504" s="6">
        <v>0.6613</v>
      </c>
      <c r="C504" s="6">
        <v>22</v>
      </c>
      <c r="D504" s="6">
        <v>1.6422000000000001</v>
      </c>
      <c r="E504" s="6">
        <v>4.7746000000000004</v>
      </c>
      <c r="F504" s="6">
        <v>52</v>
      </c>
    </row>
    <row r="505" spans="1:6" x14ac:dyDescent="0.25">
      <c r="A505" s="6" t="s">
        <v>1505</v>
      </c>
      <c r="B505" s="6">
        <v>0.53449999999999998</v>
      </c>
      <c r="C505" s="6">
        <v>15</v>
      </c>
      <c r="D505" s="6">
        <v>1.7293000000000001</v>
      </c>
      <c r="E505" s="6">
        <v>2.9432</v>
      </c>
      <c r="F505" s="6">
        <v>38</v>
      </c>
    </row>
    <row r="506" spans="1:6" x14ac:dyDescent="0.25">
      <c r="A506" s="6" t="s">
        <v>1506</v>
      </c>
      <c r="B506" s="6">
        <v>0.85660000000000003</v>
      </c>
      <c r="C506" s="6">
        <v>24</v>
      </c>
      <c r="D506" s="6">
        <v>2.3681000000000001</v>
      </c>
      <c r="E506" s="6">
        <v>4.6132999999999997</v>
      </c>
      <c r="F506" s="6">
        <v>50</v>
      </c>
    </row>
    <row r="507" spans="1:6" x14ac:dyDescent="0.25">
      <c r="A507" s="6" t="s">
        <v>1507</v>
      </c>
      <c r="B507" s="6">
        <v>0.57889999999999997</v>
      </c>
      <c r="C507" s="6">
        <v>17</v>
      </c>
      <c r="D507" s="6">
        <v>2.0762</v>
      </c>
      <c r="E507" s="6">
        <v>3.105</v>
      </c>
      <c r="F507" s="6">
        <v>34</v>
      </c>
    </row>
    <row r="508" spans="1:6" x14ac:dyDescent="0.25">
      <c r="A508" s="6" t="s">
        <v>1508</v>
      </c>
      <c r="B508" s="6">
        <v>4.6447000000000003</v>
      </c>
      <c r="C508" s="6">
        <v>72</v>
      </c>
      <c r="D508" s="6">
        <v>3.9169999999999998</v>
      </c>
      <c r="E508" s="6">
        <v>14.8545</v>
      </c>
      <c r="F508" s="6">
        <v>175</v>
      </c>
    </row>
    <row r="509" spans="1:6" x14ac:dyDescent="0.25">
      <c r="A509" s="6" t="s">
        <v>1509</v>
      </c>
      <c r="B509" s="6">
        <v>2.6366000000000001</v>
      </c>
      <c r="C509" s="6">
        <v>61</v>
      </c>
      <c r="D509" s="6">
        <v>2.8780999999999999</v>
      </c>
      <c r="E509" s="6">
        <v>12.9</v>
      </c>
      <c r="F509" s="6">
        <v>176</v>
      </c>
    </row>
    <row r="510" spans="1:6" x14ac:dyDescent="0.25">
      <c r="A510" s="6" t="s">
        <v>1510</v>
      </c>
      <c r="B510" s="6">
        <v>1.3868</v>
      </c>
      <c r="C510" s="6">
        <v>35</v>
      </c>
      <c r="D510" s="6">
        <v>2.7075999999999998</v>
      </c>
      <c r="E510" s="6">
        <v>6.8724999999999996</v>
      </c>
      <c r="F510" s="6">
        <v>82</v>
      </c>
    </row>
    <row r="511" spans="1:6" x14ac:dyDescent="0.25">
      <c r="A511" s="6" t="s">
        <v>1511</v>
      </c>
      <c r="B511" s="6">
        <v>0.95589999999999997</v>
      </c>
      <c r="C511" s="6">
        <v>26</v>
      </c>
      <c r="D511" s="6">
        <v>2.3083</v>
      </c>
      <c r="E511" s="6">
        <v>7.8788</v>
      </c>
      <c r="F511" s="6">
        <v>106</v>
      </c>
    </row>
    <row r="512" spans="1:6" x14ac:dyDescent="0.25">
      <c r="A512" s="6" t="s">
        <v>1512</v>
      </c>
      <c r="B512" s="6">
        <v>0.77929999999999999</v>
      </c>
      <c r="C512" s="6">
        <v>20</v>
      </c>
      <c r="D512" s="6">
        <v>2.6692</v>
      </c>
      <c r="E512" s="6">
        <v>3.7399</v>
      </c>
      <c r="F512" s="6">
        <v>46</v>
      </c>
    </row>
    <row r="513" spans="1:6" x14ac:dyDescent="0.25">
      <c r="A513" s="6" t="s">
        <v>1513</v>
      </c>
      <c r="B513" s="6">
        <v>0.76339999999999997</v>
      </c>
      <c r="C513" s="6">
        <v>21</v>
      </c>
      <c r="D513" s="6">
        <v>2.6006</v>
      </c>
      <c r="E513" s="6">
        <v>5.6581999999999999</v>
      </c>
      <c r="F513" s="6">
        <v>71</v>
      </c>
    </row>
    <row r="514" spans="1:6" x14ac:dyDescent="0.25">
      <c r="A514" s="6" t="s">
        <v>1514</v>
      </c>
      <c r="B514" s="6">
        <v>1.4040999999999999</v>
      </c>
      <c r="C514" s="6">
        <v>35</v>
      </c>
      <c r="D514" s="6">
        <v>2.6560999999999999</v>
      </c>
      <c r="E514" s="6">
        <v>9.1709999999999994</v>
      </c>
      <c r="F514" s="6">
        <v>129</v>
      </c>
    </row>
    <row r="515" spans="1:6" x14ac:dyDescent="0.25">
      <c r="A515" s="6" t="s">
        <v>1515</v>
      </c>
      <c r="B515" s="6">
        <v>0.72729999999999995</v>
      </c>
      <c r="C515" s="6">
        <v>18</v>
      </c>
      <c r="D515" s="6">
        <v>2.4043999999999999</v>
      </c>
      <c r="E515" s="6">
        <v>3.1116000000000001</v>
      </c>
      <c r="F515" s="6">
        <v>34</v>
      </c>
    </row>
    <row r="516" spans="1:6" x14ac:dyDescent="0.25">
      <c r="A516" s="6" t="s">
        <v>1516</v>
      </c>
      <c r="B516" s="6">
        <v>0.85389999999999999</v>
      </c>
      <c r="C516" s="6">
        <v>25</v>
      </c>
      <c r="D516" s="6">
        <v>2.5760999999999998</v>
      </c>
      <c r="E516" s="6">
        <v>7.98</v>
      </c>
      <c r="F516" s="6">
        <v>113</v>
      </c>
    </row>
    <row r="517" spans="1:6" x14ac:dyDescent="0.25">
      <c r="A517" s="6" t="s">
        <v>1517</v>
      </c>
      <c r="B517" s="6">
        <v>1.284</v>
      </c>
      <c r="C517" s="6">
        <v>34</v>
      </c>
      <c r="D517" s="6">
        <v>2.798</v>
      </c>
      <c r="E517" s="6">
        <v>9.6923999999999992</v>
      </c>
      <c r="F517" s="6">
        <v>120</v>
      </c>
    </row>
    <row r="518" spans="1:6" x14ac:dyDescent="0.25">
      <c r="A518" s="6" t="s">
        <v>1518</v>
      </c>
      <c r="B518" s="6">
        <v>0.88729999999999998</v>
      </c>
      <c r="C518" s="6">
        <v>24</v>
      </c>
      <c r="D518" s="6">
        <v>3.4609999999999999</v>
      </c>
      <c r="E518" s="6">
        <v>10.7385</v>
      </c>
      <c r="F518" s="6">
        <v>131</v>
      </c>
    </row>
    <row r="519" spans="1:6" x14ac:dyDescent="0.25">
      <c r="A519" s="6" t="s">
        <v>1519</v>
      </c>
      <c r="B519" s="6">
        <v>0.76619999999999999</v>
      </c>
      <c r="C519" s="6">
        <v>24</v>
      </c>
      <c r="D519" s="6">
        <v>2.6835</v>
      </c>
      <c r="E519" s="6">
        <v>7.1824000000000003</v>
      </c>
      <c r="F519" s="6">
        <v>81</v>
      </c>
    </row>
    <row r="520" spans="1:6" x14ac:dyDescent="0.25">
      <c r="A520" s="6" t="s">
        <v>1520</v>
      </c>
      <c r="B520" s="6">
        <v>2.6829000000000001</v>
      </c>
      <c r="C520" s="6">
        <v>52</v>
      </c>
      <c r="D520" s="6">
        <v>3.8485999999999998</v>
      </c>
      <c r="E520" s="6">
        <v>11.922000000000001</v>
      </c>
      <c r="F520" s="6">
        <v>146</v>
      </c>
    </row>
    <row r="521" spans="1:6" x14ac:dyDescent="0.25">
      <c r="A521" s="6" t="s">
        <v>1521</v>
      </c>
      <c r="B521" s="6">
        <v>2.8092000000000001</v>
      </c>
      <c r="C521" s="6">
        <v>57</v>
      </c>
      <c r="D521" s="6">
        <v>3.9047999999999998</v>
      </c>
      <c r="E521" s="6">
        <v>14.863099999999999</v>
      </c>
      <c r="F521" s="6">
        <v>179</v>
      </c>
    </row>
    <row r="522" spans="1:6" x14ac:dyDescent="0.25">
      <c r="A522" s="6" t="s">
        <v>1522</v>
      </c>
      <c r="B522" s="6">
        <v>1.9897</v>
      </c>
      <c r="C522" s="6">
        <v>40</v>
      </c>
      <c r="D522" s="6">
        <v>3.9956</v>
      </c>
      <c r="E522" s="6">
        <v>11.940099999999999</v>
      </c>
      <c r="F522" s="6">
        <v>138</v>
      </c>
    </row>
    <row r="523" spans="1:6" x14ac:dyDescent="0.25">
      <c r="A523" s="6" t="s">
        <v>1523</v>
      </c>
      <c r="B523" s="6">
        <v>1.5928</v>
      </c>
      <c r="C523" s="6">
        <v>38</v>
      </c>
      <c r="D523" s="6">
        <v>2.6745999999999999</v>
      </c>
      <c r="E523" s="6">
        <v>9.0409000000000006</v>
      </c>
      <c r="F523" s="6">
        <v>106</v>
      </c>
    </row>
    <row r="524" spans="1:6" x14ac:dyDescent="0.25">
      <c r="A524" s="6" t="s">
        <v>1524</v>
      </c>
      <c r="B524" s="6">
        <v>0.752</v>
      </c>
      <c r="C524" s="6">
        <v>25</v>
      </c>
      <c r="D524" s="6">
        <v>2.7829999999999999</v>
      </c>
      <c r="E524" s="6">
        <v>9.0978999999999992</v>
      </c>
      <c r="F524" s="6">
        <v>112</v>
      </c>
    </row>
    <row r="525" spans="1:6" x14ac:dyDescent="0.25">
      <c r="A525" s="6" t="s">
        <v>1525</v>
      </c>
      <c r="B525" s="6">
        <v>1.7294</v>
      </c>
      <c r="C525" s="6">
        <v>43</v>
      </c>
      <c r="D525" s="6">
        <v>2.8163999999999998</v>
      </c>
      <c r="E525" s="6">
        <v>5.7232000000000003</v>
      </c>
      <c r="F525" s="6">
        <v>70</v>
      </c>
    </row>
    <row r="526" spans="1:6" x14ac:dyDescent="0.25">
      <c r="A526" s="6" t="s">
        <v>1526</v>
      </c>
      <c r="B526" s="6">
        <v>4.0902000000000003</v>
      </c>
      <c r="C526" s="6">
        <v>90</v>
      </c>
      <c r="D526" s="6">
        <v>2.7139000000000002</v>
      </c>
      <c r="E526" s="6">
        <v>14.4222</v>
      </c>
      <c r="F526" s="6">
        <v>182</v>
      </c>
    </row>
    <row r="527" spans="1:6" x14ac:dyDescent="0.25">
      <c r="A527" s="6" t="s">
        <v>1527</v>
      </c>
      <c r="B527" s="6">
        <v>1.9489000000000001</v>
      </c>
      <c r="C527" s="6">
        <v>45</v>
      </c>
      <c r="D527" s="6">
        <v>3.4935</v>
      </c>
      <c r="E527" s="6">
        <v>9.6814</v>
      </c>
      <c r="F527" s="6">
        <v>93</v>
      </c>
    </row>
    <row r="528" spans="1:6" x14ac:dyDescent="0.25">
      <c r="A528" s="6" t="s">
        <v>1528</v>
      </c>
      <c r="B528" s="6">
        <v>2.4891000000000001</v>
      </c>
      <c r="C528" s="6">
        <v>53</v>
      </c>
      <c r="D528" s="6">
        <v>4.085</v>
      </c>
      <c r="E528" s="6">
        <v>10.9351</v>
      </c>
      <c r="F528" s="6">
        <v>128</v>
      </c>
    </row>
    <row r="529" spans="1:6" x14ac:dyDescent="0.25">
      <c r="A529" s="6" t="s">
        <v>1529</v>
      </c>
      <c r="B529" s="6">
        <v>1.3464</v>
      </c>
      <c r="C529" s="6">
        <v>41</v>
      </c>
      <c r="D529" s="6">
        <v>2.6482000000000001</v>
      </c>
      <c r="E529" s="6">
        <v>10.461499999999999</v>
      </c>
      <c r="F529" s="6">
        <v>135</v>
      </c>
    </row>
    <row r="530" spans="1:6" x14ac:dyDescent="0.25">
      <c r="A530" s="6" t="s">
        <v>1530</v>
      </c>
      <c r="B530" s="6">
        <v>1.966</v>
      </c>
      <c r="C530" s="6">
        <v>51</v>
      </c>
      <c r="D530" s="6">
        <v>2.59</v>
      </c>
      <c r="E530" s="6">
        <v>12.706200000000001</v>
      </c>
      <c r="F530" s="6">
        <v>176</v>
      </c>
    </row>
    <row r="531" spans="1:6" x14ac:dyDescent="0.25">
      <c r="A531" s="6" t="s">
        <v>1531</v>
      </c>
      <c r="B531" s="6">
        <v>1.5452999999999999</v>
      </c>
      <c r="C531" s="6">
        <v>40</v>
      </c>
      <c r="D531" s="6">
        <v>2.4561000000000002</v>
      </c>
      <c r="E531" s="6">
        <v>10.1746</v>
      </c>
      <c r="F531" s="6">
        <v>154</v>
      </c>
    </row>
    <row r="532" spans="1:6" x14ac:dyDescent="0.25">
      <c r="A532" s="6" t="s">
        <v>1532</v>
      </c>
      <c r="B532" s="6">
        <v>0.93459999999999999</v>
      </c>
      <c r="C532" s="6">
        <v>27</v>
      </c>
      <c r="D532" s="6">
        <v>3.3357999999999999</v>
      </c>
      <c r="E532" s="6">
        <v>5.8681999999999999</v>
      </c>
      <c r="F532" s="6">
        <v>64</v>
      </c>
    </row>
    <row r="533" spans="1:6" x14ac:dyDescent="0.25">
      <c r="A533" s="6" t="s">
        <v>1533</v>
      </c>
      <c r="B533" s="6">
        <v>1.4785999999999999</v>
      </c>
      <c r="C533" s="6">
        <v>37</v>
      </c>
      <c r="D533" s="6">
        <v>2.8573</v>
      </c>
      <c r="E533" s="6">
        <v>7.7839999999999998</v>
      </c>
      <c r="F533" s="6">
        <v>92</v>
      </c>
    </row>
    <row r="534" spans="1:6" x14ac:dyDescent="0.25">
      <c r="A534" s="6" t="s">
        <v>1534</v>
      </c>
      <c r="B534" s="6">
        <v>1.133</v>
      </c>
      <c r="C534" s="6">
        <v>32</v>
      </c>
      <c r="D534" s="6">
        <v>2.7924000000000002</v>
      </c>
      <c r="E534" s="6">
        <v>10.0924</v>
      </c>
      <c r="F534" s="6">
        <v>154</v>
      </c>
    </row>
    <row r="535" spans="1:6" x14ac:dyDescent="0.25">
      <c r="A535" s="6" t="s">
        <v>1535</v>
      </c>
      <c r="B535" s="6">
        <v>1.0061</v>
      </c>
      <c r="C535" s="6">
        <v>31</v>
      </c>
      <c r="D535" s="6">
        <v>2.5327999999999999</v>
      </c>
      <c r="E535" s="6">
        <v>7.1807999999999996</v>
      </c>
      <c r="F535" s="6">
        <v>87</v>
      </c>
    </row>
    <row r="536" spans="1:6" x14ac:dyDescent="0.25">
      <c r="A536" s="6" t="s">
        <v>1536</v>
      </c>
      <c r="B536" s="6">
        <v>1.5949</v>
      </c>
      <c r="C536" s="6">
        <v>39</v>
      </c>
      <c r="D536" s="6">
        <v>2.9224999999999999</v>
      </c>
      <c r="E536" s="6">
        <v>6.5340999999999996</v>
      </c>
      <c r="F536" s="6">
        <v>82</v>
      </c>
    </row>
    <row r="537" spans="1:6" x14ac:dyDescent="0.25">
      <c r="A537" s="6" t="s">
        <v>1537</v>
      </c>
      <c r="B537" s="6">
        <v>1.9349000000000001</v>
      </c>
      <c r="C537" s="6">
        <v>45</v>
      </c>
      <c r="D537" s="6">
        <v>3.2863000000000002</v>
      </c>
      <c r="E537" s="6">
        <v>15.100300000000001</v>
      </c>
      <c r="F537" s="6">
        <v>207</v>
      </c>
    </row>
    <row r="538" spans="1:6" x14ac:dyDescent="0.25">
      <c r="A538" s="6" t="s">
        <v>1538</v>
      </c>
      <c r="B538" s="6">
        <v>2.4074</v>
      </c>
      <c r="C538" s="6">
        <v>55</v>
      </c>
      <c r="D538" s="6">
        <v>3.4887000000000001</v>
      </c>
      <c r="E538" s="6">
        <v>10.8207</v>
      </c>
      <c r="F538" s="6">
        <v>120</v>
      </c>
    </row>
    <row r="539" spans="1:6" x14ac:dyDescent="0.25">
      <c r="A539" s="6" t="s">
        <v>1539</v>
      </c>
      <c r="B539" s="6">
        <v>3.6882999999999999</v>
      </c>
      <c r="C539" s="6">
        <v>89</v>
      </c>
      <c r="D539" s="6">
        <v>2.9626999999999999</v>
      </c>
      <c r="E539" s="6">
        <v>9.7037999999999993</v>
      </c>
      <c r="F539" s="6">
        <v>118</v>
      </c>
    </row>
    <row r="540" spans="1:6" x14ac:dyDescent="0.25">
      <c r="A540" s="6" t="s">
        <v>1540</v>
      </c>
      <c r="B540" s="6">
        <v>1.6149</v>
      </c>
      <c r="C540" s="6">
        <v>45</v>
      </c>
      <c r="D540" s="6">
        <v>3.0154000000000001</v>
      </c>
      <c r="E540" s="6">
        <v>11.976699999999999</v>
      </c>
      <c r="F540" s="6">
        <v>160</v>
      </c>
    </row>
    <row r="541" spans="1:6" x14ac:dyDescent="0.25">
      <c r="A541" s="6" t="s">
        <v>1541</v>
      </c>
      <c r="B541" s="6">
        <v>1.3395999999999999</v>
      </c>
      <c r="C541" s="6">
        <v>39</v>
      </c>
      <c r="D541" s="6">
        <v>2.6474000000000002</v>
      </c>
      <c r="E541" s="6">
        <v>10.164199999999999</v>
      </c>
      <c r="F541" s="6">
        <v>124</v>
      </c>
    </row>
    <row r="542" spans="1:6" x14ac:dyDescent="0.25">
      <c r="A542" s="6" t="s">
        <v>1542</v>
      </c>
      <c r="B542" s="6">
        <v>1.2401</v>
      </c>
      <c r="C542" s="6">
        <v>38</v>
      </c>
      <c r="D542" s="6">
        <v>2.8094000000000001</v>
      </c>
      <c r="E542" s="6">
        <v>12.857699999999999</v>
      </c>
      <c r="F542" s="6">
        <v>172</v>
      </c>
    </row>
    <row r="543" spans="1:6" x14ac:dyDescent="0.25">
      <c r="A543" s="6" t="s">
        <v>1543</v>
      </c>
      <c r="B543" s="6">
        <v>0.58360000000000001</v>
      </c>
      <c r="C543" s="6">
        <v>19</v>
      </c>
      <c r="D543" s="6">
        <v>1.6341000000000001</v>
      </c>
      <c r="E543" s="6">
        <v>7.8421000000000003</v>
      </c>
      <c r="F543" s="6">
        <v>106</v>
      </c>
    </row>
    <row r="544" spans="1:6" x14ac:dyDescent="0.25">
      <c r="A544" s="6" t="s">
        <v>1544</v>
      </c>
      <c r="B544" s="6">
        <v>1.7556</v>
      </c>
      <c r="C544" s="6">
        <v>40</v>
      </c>
      <c r="D544" s="6">
        <v>3.0005999999999999</v>
      </c>
      <c r="E544" s="6">
        <v>9.1643000000000008</v>
      </c>
      <c r="F544" s="6">
        <v>113</v>
      </c>
    </row>
    <row r="545" spans="1:6" x14ac:dyDescent="0.25">
      <c r="A545" s="6" t="s">
        <v>1545</v>
      </c>
      <c r="B545" s="6">
        <v>0.85870000000000002</v>
      </c>
      <c r="C545" s="6">
        <v>26</v>
      </c>
      <c r="D545" s="6">
        <v>2.9815999999999998</v>
      </c>
      <c r="E545" s="6">
        <v>6.7137000000000002</v>
      </c>
      <c r="F545" s="6">
        <v>72</v>
      </c>
    </row>
    <row r="546" spans="1:6" x14ac:dyDescent="0.25">
      <c r="A546" s="6" t="s">
        <v>1546</v>
      </c>
      <c r="B546" s="6">
        <v>1.4494</v>
      </c>
      <c r="C546" s="6">
        <v>29</v>
      </c>
      <c r="D546" s="6">
        <v>3.8860999999999999</v>
      </c>
      <c r="E546" s="6">
        <v>14.9415</v>
      </c>
      <c r="F546" s="6">
        <v>182</v>
      </c>
    </row>
    <row r="547" spans="1:6" x14ac:dyDescent="0.25">
      <c r="A547" s="6" t="s">
        <v>1547</v>
      </c>
      <c r="B547" s="6">
        <v>5.1932</v>
      </c>
      <c r="C547" s="6">
        <v>103</v>
      </c>
      <c r="D547" s="6">
        <v>4.0472999999999999</v>
      </c>
      <c r="E547" s="6">
        <v>14.127000000000001</v>
      </c>
      <c r="F547" s="6">
        <v>144</v>
      </c>
    </row>
    <row r="548" spans="1:6" x14ac:dyDescent="0.25">
      <c r="A548" s="6" t="s">
        <v>1548</v>
      </c>
      <c r="B548" s="6">
        <v>1.9194</v>
      </c>
      <c r="C548" s="6">
        <v>40</v>
      </c>
      <c r="D548" s="6">
        <v>4.141</v>
      </c>
      <c r="E548" s="6">
        <v>11.7033</v>
      </c>
      <c r="F548" s="6">
        <v>138</v>
      </c>
    </row>
    <row r="549" spans="1:6" x14ac:dyDescent="0.25">
      <c r="A549" s="6" t="s">
        <v>1549</v>
      </c>
      <c r="B549" s="6">
        <v>2.3129</v>
      </c>
      <c r="C549" s="6">
        <v>48</v>
      </c>
      <c r="D549" s="6">
        <v>4.1327999999999996</v>
      </c>
      <c r="E549" s="6">
        <v>10.7319</v>
      </c>
      <c r="F549" s="6">
        <v>113</v>
      </c>
    </row>
    <row r="550" spans="1:6" x14ac:dyDescent="0.25">
      <c r="A550" s="6" t="s">
        <v>1550</v>
      </c>
      <c r="B550" s="6">
        <v>1.2141</v>
      </c>
      <c r="C550" s="6">
        <v>33</v>
      </c>
      <c r="D550" s="6">
        <v>2.3696999999999999</v>
      </c>
      <c r="E550" s="6">
        <v>11.0533</v>
      </c>
      <c r="F550" s="6">
        <v>165</v>
      </c>
    </row>
    <row r="551" spans="1:6" x14ac:dyDescent="0.25">
      <c r="A551" s="6" t="s">
        <v>1551</v>
      </c>
      <c r="B551" s="6">
        <v>2.5215000000000001</v>
      </c>
      <c r="C551" s="6">
        <v>58</v>
      </c>
      <c r="D551" s="6">
        <v>3.2669000000000001</v>
      </c>
      <c r="E551" s="6">
        <v>8.8856000000000002</v>
      </c>
      <c r="F551" s="6">
        <v>111</v>
      </c>
    </row>
    <row r="552" spans="1:6" x14ac:dyDescent="0.25">
      <c r="A552" s="6" t="s">
        <v>1552</v>
      </c>
      <c r="B552" s="6">
        <v>0.75539999999999996</v>
      </c>
      <c r="C552" s="6">
        <v>24</v>
      </c>
      <c r="D552" s="6">
        <v>2.1089000000000002</v>
      </c>
      <c r="E552" s="6">
        <v>9.5039999999999996</v>
      </c>
      <c r="F552" s="6">
        <v>151</v>
      </c>
    </row>
    <row r="553" spans="1:6" x14ac:dyDescent="0.25">
      <c r="A553" s="6" t="s">
        <v>1553</v>
      </c>
      <c r="B553" s="6">
        <v>1.0316000000000001</v>
      </c>
      <c r="C553" s="6">
        <v>26</v>
      </c>
      <c r="D553" s="6">
        <v>2.4268000000000001</v>
      </c>
      <c r="E553" s="6">
        <v>10.4459</v>
      </c>
      <c r="F553" s="6">
        <v>155</v>
      </c>
    </row>
    <row r="554" spans="1:6" x14ac:dyDescent="0.25">
      <c r="A554" s="6" t="s">
        <v>1554</v>
      </c>
      <c r="B554" s="6">
        <v>1.7687999999999999</v>
      </c>
      <c r="C554" s="6">
        <v>52</v>
      </c>
      <c r="D554" s="6">
        <v>2.2342</v>
      </c>
      <c r="E554" s="6">
        <v>16.324999999999999</v>
      </c>
      <c r="F554" s="6">
        <v>211</v>
      </c>
    </row>
    <row r="555" spans="1:6" x14ac:dyDescent="0.25">
      <c r="A555" s="6" t="s">
        <v>1555</v>
      </c>
      <c r="B555" s="6">
        <v>0.5554</v>
      </c>
      <c r="C555" s="6">
        <v>18</v>
      </c>
      <c r="D555" s="6">
        <v>2.1863000000000001</v>
      </c>
      <c r="E555" s="6">
        <v>7.3151999999999999</v>
      </c>
      <c r="F555" s="6">
        <v>114</v>
      </c>
    </row>
    <row r="556" spans="1:6" x14ac:dyDescent="0.25">
      <c r="A556" s="6" t="s">
        <v>1556</v>
      </c>
      <c r="B556" s="6">
        <v>1.0983000000000001</v>
      </c>
      <c r="C556" s="6">
        <v>33</v>
      </c>
      <c r="D556" s="6">
        <v>2.1983999999999999</v>
      </c>
      <c r="E556" s="6">
        <v>10.3672</v>
      </c>
      <c r="F556" s="6">
        <v>155</v>
      </c>
    </row>
    <row r="557" spans="1:6" x14ac:dyDescent="0.25">
      <c r="A557" s="6" t="s">
        <v>1557</v>
      </c>
      <c r="B557" s="6">
        <v>2.1496</v>
      </c>
      <c r="C557" s="6">
        <v>47</v>
      </c>
      <c r="D557" s="6">
        <v>3.5562</v>
      </c>
      <c r="E557" s="6">
        <v>7.6033999999999997</v>
      </c>
      <c r="F557" s="6">
        <v>82</v>
      </c>
    </row>
    <row r="558" spans="1:6" x14ac:dyDescent="0.25">
      <c r="A558" s="6" t="s">
        <v>1558</v>
      </c>
      <c r="B558" s="6">
        <v>2.0306999999999999</v>
      </c>
      <c r="C558" s="6">
        <v>45</v>
      </c>
      <c r="D558" s="6">
        <v>3.4727999999999999</v>
      </c>
      <c r="E558" s="6">
        <v>10.6165</v>
      </c>
      <c r="F558" s="6">
        <v>124</v>
      </c>
    </row>
    <row r="559" spans="1:6" x14ac:dyDescent="0.25">
      <c r="A559" s="6" t="s">
        <v>1559</v>
      </c>
      <c r="B559" s="6">
        <v>1.4697</v>
      </c>
      <c r="C559" s="6">
        <v>33</v>
      </c>
      <c r="D559" s="6">
        <v>3.5192000000000001</v>
      </c>
      <c r="E559" s="6">
        <v>9.2559000000000005</v>
      </c>
      <c r="F559" s="6">
        <v>113</v>
      </c>
    </row>
    <row r="560" spans="1:6" x14ac:dyDescent="0.25">
      <c r="A560" s="6" t="s">
        <v>1560</v>
      </c>
      <c r="B560" s="6">
        <v>1.3098000000000001</v>
      </c>
      <c r="C560" s="6">
        <v>40</v>
      </c>
      <c r="D560" s="6">
        <v>2.3736999999999999</v>
      </c>
      <c r="E560" s="6">
        <v>8.1023999999999994</v>
      </c>
      <c r="F560" s="6">
        <v>99</v>
      </c>
    </row>
    <row r="561" spans="1:6" x14ac:dyDescent="0.25">
      <c r="A561" s="6" t="s">
        <v>1561</v>
      </c>
      <c r="B561" s="6">
        <v>1.7869999999999999</v>
      </c>
      <c r="C561" s="6">
        <v>44</v>
      </c>
      <c r="D561" s="6">
        <v>2.9887000000000001</v>
      </c>
      <c r="E561" s="6">
        <v>8.9580000000000002</v>
      </c>
      <c r="F561" s="6">
        <v>127</v>
      </c>
    </row>
    <row r="562" spans="1:6" x14ac:dyDescent="0.25">
      <c r="A562" s="6" t="s">
        <v>1562</v>
      </c>
      <c r="B562" s="6">
        <v>1.7904</v>
      </c>
      <c r="C562" s="6">
        <v>48</v>
      </c>
      <c r="D562" s="6">
        <v>2.8976000000000002</v>
      </c>
      <c r="E562" s="6">
        <v>5.7708000000000004</v>
      </c>
      <c r="F562" s="6">
        <v>48</v>
      </c>
    </row>
    <row r="563" spans="1:6" x14ac:dyDescent="0.25">
      <c r="A563" s="6" t="s">
        <v>1563</v>
      </c>
      <c r="B563" s="6">
        <v>1.1645000000000001</v>
      </c>
      <c r="C563" s="6">
        <v>27</v>
      </c>
      <c r="D563" s="6">
        <v>2.6819000000000002</v>
      </c>
      <c r="E563" s="6">
        <v>11.872199999999999</v>
      </c>
      <c r="F563" s="6">
        <v>159</v>
      </c>
    </row>
    <row r="564" spans="1:6" x14ac:dyDescent="0.25">
      <c r="A564" s="6" t="s">
        <v>1564</v>
      </c>
      <c r="B564" s="6">
        <v>1.3505</v>
      </c>
      <c r="C564" s="6">
        <v>37</v>
      </c>
      <c r="D564" s="6">
        <v>3.3620999999999999</v>
      </c>
      <c r="E564" s="6">
        <v>6.5750000000000002</v>
      </c>
      <c r="F564" s="6">
        <v>61</v>
      </c>
    </row>
    <row r="565" spans="1:6" x14ac:dyDescent="0.25">
      <c r="A565" s="6" t="s">
        <v>1565</v>
      </c>
      <c r="B565" s="6">
        <v>1.4133</v>
      </c>
      <c r="C565" s="6">
        <v>35</v>
      </c>
      <c r="D565" s="6">
        <v>3.5091999999999999</v>
      </c>
      <c r="E565" s="6">
        <v>9.3971999999999998</v>
      </c>
      <c r="F565" s="6">
        <v>116</v>
      </c>
    </row>
    <row r="566" spans="1:6" x14ac:dyDescent="0.25">
      <c r="A566" s="6" t="s">
        <v>1566</v>
      </c>
      <c r="B566" s="6">
        <v>0.98409999999999997</v>
      </c>
      <c r="C566" s="6">
        <v>32</v>
      </c>
      <c r="D566" s="6">
        <v>3.2589000000000001</v>
      </c>
      <c r="E566" s="6">
        <v>7.2887000000000004</v>
      </c>
      <c r="F566" s="6">
        <v>67</v>
      </c>
    </row>
    <row r="567" spans="1:6" x14ac:dyDescent="0.25">
      <c r="A567" s="6" t="s">
        <v>1567</v>
      </c>
      <c r="B567" s="6">
        <v>3.1648999999999998</v>
      </c>
      <c r="C567" s="6">
        <v>70</v>
      </c>
      <c r="D567" s="6">
        <v>2.8386</v>
      </c>
      <c r="E567" s="6">
        <v>11.4579</v>
      </c>
      <c r="F567" s="6">
        <v>153</v>
      </c>
    </row>
    <row r="568" spans="1:6" x14ac:dyDescent="0.25">
      <c r="A568" s="6" t="s">
        <v>1568</v>
      </c>
      <c r="B568" s="6">
        <v>1.5703</v>
      </c>
      <c r="C568" s="6">
        <v>42</v>
      </c>
      <c r="D568" s="6">
        <v>3.0196999999999998</v>
      </c>
      <c r="E568" s="6">
        <v>8.1496999999999993</v>
      </c>
      <c r="F568" s="6">
        <v>74</v>
      </c>
    </row>
    <row r="569" spans="1:6" x14ac:dyDescent="0.25">
      <c r="A569" s="6" t="s">
        <v>1569</v>
      </c>
      <c r="B569" s="6">
        <v>1.0383</v>
      </c>
      <c r="C569" s="6">
        <v>26</v>
      </c>
      <c r="D569" s="6">
        <v>2.7951000000000001</v>
      </c>
      <c r="E569" s="6">
        <v>8.7559000000000005</v>
      </c>
      <c r="F569" s="6">
        <v>117</v>
      </c>
    </row>
    <row r="570" spans="1:6" x14ac:dyDescent="0.25">
      <c r="A570" s="6" t="s">
        <v>1570</v>
      </c>
      <c r="B570" s="6">
        <v>2.0669</v>
      </c>
      <c r="C570" s="6">
        <v>50</v>
      </c>
      <c r="D570" s="6">
        <v>2.9013</v>
      </c>
      <c r="E570" s="6">
        <v>9.6324000000000005</v>
      </c>
      <c r="F570" s="6">
        <v>128</v>
      </c>
    </row>
    <row r="571" spans="1:6" x14ac:dyDescent="0.25">
      <c r="A571" s="6" t="s">
        <v>1571</v>
      </c>
      <c r="B571" s="6">
        <v>1.0632999999999999</v>
      </c>
      <c r="C571" s="6">
        <v>29</v>
      </c>
      <c r="D571" s="6">
        <v>2.2848000000000002</v>
      </c>
      <c r="E571" s="6">
        <v>10.405200000000001</v>
      </c>
      <c r="F571" s="6">
        <v>133</v>
      </c>
    </row>
    <row r="572" spans="1:6" x14ac:dyDescent="0.25">
      <c r="A572" s="6" t="s">
        <v>1572</v>
      </c>
      <c r="B572" s="6">
        <v>1.1528</v>
      </c>
      <c r="C572" s="6">
        <v>30</v>
      </c>
      <c r="D572" s="6">
        <v>2.2654000000000001</v>
      </c>
      <c r="E572" s="6">
        <v>6.3231999999999999</v>
      </c>
      <c r="F572" s="6">
        <v>90</v>
      </c>
    </row>
    <row r="573" spans="1:6" x14ac:dyDescent="0.25">
      <c r="A573" s="6" t="s">
        <v>1573</v>
      </c>
      <c r="B573" s="6">
        <v>0.77449999999999997</v>
      </c>
      <c r="C573" s="6">
        <v>23</v>
      </c>
      <c r="D573" s="6">
        <v>1.9227000000000001</v>
      </c>
      <c r="E573" s="6">
        <v>2.9922</v>
      </c>
      <c r="F573" s="6">
        <v>32</v>
      </c>
    </row>
    <row r="574" spans="1:6" x14ac:dyDescent="0.25">
      <c r="A574" s="6" t="s">
        <v>1574</v>
      </c>
      <c r="B574" s="6">
        <v>1.4066000000000001</v>
      </c>
      <c r="C574" s="6">
        <v>41</v>
      </c>
      <c r="D574" s="6">
        <v>2.4714999999999998</v>
      </c>
      <c r="E574" s="6">
        <v>10.2942</v>
      </c>
      <c r="F574" s="6">
        <v>139</v>
      </c>
    </row>
    <row r="575" spans="1:6" x14ac:dyDescent="0.25">
      <c r="A575" s="6" t="s">
        <v>1575</v>
      </c>
      <c r="B575" s="6">
        <v>1.4261999999999999</v>
      </c>
      <c r="C575" s="6">
        <v>42</v>
      </c>
      <c r="D575" s="6">
        <v>2.7115999999999998</v>
      </c>
      <c r="E575" s="6">
        <v>8.9291</v>
      </c>
      <c r="F575" s="6">
        <v>126</v>
      </c>
    </row>
    <row r="576" spans="1:6" x14ac:dyDescent="0.25">
      <c r="A576" s="6" t="s">
        <v>1576</v>
      </c>
      <c r="B576" s="6">
        <v>1.2958000000000001</v>
      </c>
      <c r="C576" s="6">
        <v>33</v>
      </c>
      <c r="D576" s="6">
        <v>2.8056999999999999</v>
      </c>
      <c r="E576" s="6">
        <v>5.7191999999999998</v>
      </c>
      <c r="F576" s="6">
        <v>57</v>
      </c>
    </row>
    <row r="577" spans="1:6" x14ac:dyDescent="0.25">
      <c r="A577" s="6" t="s">
        <v>1577</v>
      </c>
      <c r="B577" s="6">
        <v>1.1917</v>
      </c>
      <c r="C577" s="6">
        <v>27</v>
      </c>
      <c r="D577" s="6">
        <v>3.3022</v>
      </c>
      <c r="E577" s="6">
        <v>9.1766000000000005</v>
      </c>
      <c r="F577" s="6">
        <v>95</v>
      </c>
    </row>
    <row r="578" spans="1:6" x14ac:dyDescent="0.25">
      <c r="A578" s="6" t="s">
        <v>1578</v>
      </c>
      <c r="B578" s="6">
        <v>1.7002999999999999</v>
      </c>
      <c r="C578" s="6">
        <v>40</v>
      </c>
      <c r="D578" s="6">
        <v>3.2444000000000002</v>
      </c>
      <c r="E578" s="6">
        <v>8.9393999999999991</v>
      </c>
      <c r="F578" s="6">
        <v>108</v>
      </c>
    </row>
    <row r="579" spans="1:6" x14ac:dyDescent="0.25">
      <c r="A579" s="6" t="s">
        <v>1579</v>
      </c>
      <c r="B579" s="6">
        <v>0.79810000000000003</v>
      </c>
      <c r="C579" s="6">
        <v>25</v>
      </c>
      <c r="D579" s="6">
        <v>2.3064</v>
      </c>
      <c r="E579" s="6">
        <v>6.8937999999999997</v>
      </c>
      <c r="F579" s="6">
        <v>90</v>
      </c>
    </row>
    <row r="580" spans="1:6" x14ac:dyDescent="0.25">
      <c r="A580" s="6" t="s">
        <v>1580</v>
      </c>
      <c r="B580" s="6">
        <v>1.5764</v>
      </c>
      <c r="C580" s="6">
        <v>36</v>
      </c>
      <c r="D580" s="6">
        <v>3.5632999999999999</v>
      </c>
      <c r="E580" s="6">
        <v>8.1130999999999993</v>
      </c>
      <c r="F580" s="6">
        <v>95</v>
      </c>
    </row>
    <row r="581" spans="1:6" x14ac:dyDescent="0.25">
      <c r="A581" s="6" t="s">
        <v>1581</v>
      </c>
      <c r="B581" s="6">
        <v>1.7766999999999999</v>
      </c>
      <c r="C581" s="6">
        <v>44</v>
      </c>
      <c r="D581" s="6">
        <v>3.3540000000000001</v>
      </c>
      <c r="E581" s="6">
        <v>9.3590999999999998</v>
      </c>
      <c r="F581" s="6">
        <v>117</v>
      </c>
    </row>
    <row r="582" spans="1:6" x14ac:dyDescent="0.25">
      <c r="A582" s="6" t="s">
        <v>1582</v>
      </c>
      <c r="B582" s="6">
        <v>3.1303000000000001</v>
      </c>
      <c r="C582" s="6">
        <v>63</v>
      </c>
      <c r="D582" s="6">
        <v>3.2635999999999998</v>
      </c>
      <c r="E582" s="6">
        <v>10.8062</v>
      </c>
      <c r="F582" s="6">
        <v>147</v>
      </c>
    </row>
    <row r="583" spans="1:6" x14ac:dyDescent="0.25">
      <c r="A583" s="6" t="s">
        <v>1583</v>
      </c>
      <c r="B583" s="6">
        <v>1.2522</v>
      </c>
      <c r="C583" s="6">
        <v>31</v>
      </c>
      <c r="D583" s="6">
        <v>3.5354000000000001</v>
      </c>
      <c r="E583" s="6">
        <v>11.219900000000001</v>
      </c>
      <c r="F583" s="6">
        <v>146</v>
      </c>
    </row>
    <row r="584" spans="1:6" x14ac:dyDescent="0.25">
      <c r="A584" s="6" t="s">
        <v>1584</v>
      </c>
      <c r="B584" s="6">
        <v>1.3057000000000001</v>
      </c>
      <c r="C584" s="6">
        <v>33</v>
      </c>
      <c r="D584" s="6">
        <v>3.2523</v>
      </c>
      <c r="E584" s="6">
        <v>10.604100000000001</v>
      </c>
      <c r="F584" s="6">
        <v>143</v>
      </c>
    </row>
    <row r="585" spans="1:6" x14ac:dyDescent="0.25">
      <c r="A585" s="6" t="s">
        <v>1585</v>
      </c>
      <c r="B585" s="6">
        <v>1.1536999999999999</v>
      </c>
      <c r="C585" s="6">
        <v>28</v>
      </c>
      <c r="D585" s="6">
        <v>3.3584000000000001</v>
      </c>
      <c r="E585" s="6">
        <v>9.7540999999999993</v>
      </c>
      <c r="F585" s="6">
        <v>110</v>
      </c>
    </row>
    <row r="586" spans="1:6" x14ac:dyDescent="0.25">
      <c r="A586" s="6" t="s">
        <v>1586</v>
      </c>
      <c r="B586" s="6">
        <v>1.3436999999999999</v>
      </c>
      <c r="C586" s="6">
        <v>40</v>
      </c>
      <c r="D586" s="6">
        <v>2.6494</v>
      </c>
      <c r="E586" s="6">
        <v>12.9194</v>
      </c>
      <c r="F586" s="6">
        <v>160</v>
      </c>
    </row>
    <row r="587" spans="1:6" x14ac:dyDescent="0.25">
      <c r="A587" s="6" t="s">
        <v>1587</v>
      </c>
      <c r="B587" s="6">
        <v>1.5833999999999999</v>
      </c>
      <c r="C587" s="6">
        <v>40</v>
      </c>
      <c r="D587" s="6">
        <v>2.9281999999999999</v>
      </c>
      <c r="E587" s="6">
        <v>6.8639000000000001</v>
      </c>
      <c r="F587" s="6">
        <v>65</v>
      </c>
    </row>
    <row r="588" spans="1:6" x14ac:dyDescent="0.25">
      <c r="A588" s="6" t="s">
        <v>1588</v>
      </c>
      <c r="B588" s="6">
        <v>1.6036999999999999</v>
      </c>
      <c r="C588" s="6">
        <v>41</v>
      </c>
      <c r="D588" s="6">
        <v>2.657</v>
      </c>
      <c r="E588" s="6">
        <v>8.9544999999999995</v>
      </c>
      <c r="F588" s="6">
        <v>119</v>
      </c>
    </row>
    <row r="589" spans="1:6" x14ac:dyDescent="0.25">
      <c r="A589" s="6" t="s">
        <v>1589</v>
      </c>
      <c r="B589" s="6">
        <v>1.3783000000000001</v>
      </c>
      <c r="C589" s="6">
        <v>36</v>
      </c>
      <c r="D589" s="6">
        <v>3.1391</v>
      </c>
      <c r="E589" s="6">
        <v>11.751899999999999</v>
      </c>
      <c r="F589" s="6">
        <v>161</v>
      </c>
    </row>
    <row r="590" spans="1:6" x14ac:dyDescent="0.25">
      <c r="A590" s="6" t="s">
        <v>1590</v>
      </c>
      <c r="B590" s="6">
        <v>0.83550000000000002</v>
      </c>
      <c r="C590" s="6">
        <v>28</v>
      </c>
      <c r="D590" s="6">
        <v>2.8955000000000002</v>
      </c>
      <c r="E590" s="6">
        <v>5.9882999999999997</v>
      </c>
      <c r="F590" s="6">
        <v>55</v>
      </c>
    </row>
    <row r="591" spans="1:6" x14ac:dyDescent="0.25">
      <c r="A591" s="6" t="s">
        <v>1591</v>
      </c>
      <c r="B591" s="6">
        <v>1.1353</v>
      </c>
      <c r="C591" s="6">
        <v>30</v>
      </c>
      <c r="D591" s="6">
        <v>2.7761999999999998</v>
      </c>
      <c r="E591" s="6">
        <v>11.2242</v>
      </c>
      <c r="F591" s="6">
        <v>146</v>
      </c>
    </row>
    <row r="592" spans="1:6" x14ac:dyDescent="0.25">
      <c r="A592" s="6" t="s">
        <v>1592</v>
      </c>
      <c r="B592" s="6">
        <v>1.2892999999999999</v>
      </c>
      <c r="C592" s="6">
        <v>42</v>
      </c>
      <c r="D592" s="6">
        <v>2.8102</v>
      </c>
      <c r="E592" s="6">
        <v>8.1117000000000008</v>
      </c>
      <c r="F592" s="6">
        <v>103</v>
      </c>
    </row>
    <row r="593" spans="1:6" x14ac:dyDescent="0.25">
      <c r="A593" s="6" t="s">
        <v>1593</v>
      </c>
      <c r="B593" s="6">
        <v>1.2121</v>
      </c>
      <c r="C593" s="6">
        <v>35</v>
      </c>
      <c r="D593" s="6">
        <v>1.9870000000000001</v>
      </c>
      <c r="E593" s="6">
        <v>16.723700000000001</v>
      </c>
      <c r="F593" s="6">
        <v>241</v>
      </c>
    </row>
    <row r="594" spans="1:6" x14ac:dyDescent="0.25">
      <c r="A594" s="6" t="s">
        <v>1594</v>
      </c>
      <c r="B594" s="6">
        <v>1.0164</v>
      </c>
      <c r="C594" s="6">
        <v>29</v>
      </c>
      <c r="D594" s="6">
        <v>2.4283999999999999</v>
      </c>
      <c r="E594" s="6">
        <v>6.7812999999999999</v>
      </c>
      <c r="F594" s="6">
        <v>74</v>
      </c>
    </row>
    <row r="595" spans="1:6" x14ac:dyDescent="0.25">
      <c r="A595" s="6" t="s">
        <v>1595</v>
      </c>
      <c r="B595" s="6">
        <v>1.0008999999999999</v>
      </c>
      <c r="C595" s="6">
        <v>29</v>
      </c>
      <c r="D595" s="6">
        <v>2.7442000000000002</v>
      </c>
      <c r="E595" s="6">
        <v>5.1189</v>
      </c>
      <c r="F595" s="6">
        <v>51</v>
      </c>
    </row>
    <row r="596" spans="1:6" x14ac:dyDescent="0.25">
      <c r="A596" s="6" t="s">
        <v>1596</v>
      </c>
      <c r="B596" s="6">
        <v>1.702</v>
      </c>
      <c r="C596" s="6">
        <v>42</v>
      </c>
      <c r="D596" s="6">
        <v>2.9136000000000002</v>
      </c>
      <c r="E596" s="6">
        <v>13.965999999999999</v>
      </c>
      <c r="F596" s="6">
        <v>238</v>
      </c>
    </row>
    <row r="597" spans="1:6" x14ac:dyDescent="0.25">
      <c r="A597" s="6" t="s">
        <v>1597</v>
      </c>
      <c r="B597" s="6">
        <v>1.8696999999999999</v>
      </c>
      <c r="C597" s="6">
        <v>45</v>
      </c>
      <c r="D597" s="6">
        <v>3.0853999999999999</v>
      </c>
      <c r="E597" s="6">
        <v>8.5181000000000004</v>
      </c>
      <c r="F597" s="6">
        <v>118</v>
      </c>
    </row>
    <row r="598" spans="1:6" x14ac:dyDescent="0.25">
      <c r="A598" s="6" t="s">
        <v>1598</v>
      </c>
      <c r="B598" s="6">
        <v>1.2363999999999999</v>
      </c>
      <c r="C598" s="6">
        <v>36</v>
      </c>
      <c r="D598" s="6">
        <v>2.0514999999999999</v>
      </c>
      <c r="E598" s="6">
        <v>5.9964000000000004</v>
      </c>
      <c r="F598" s="6">
        <v>76</v>
      </c>
    </row>
    <row r="599" spans="1:6" x14ac:dyDescent="0.25">
      <c r="A599" s="6" t="s">
        <v>1599</v>
      </c>
      <c r="B599" s="6">
        <v>1.3688</v>
      </c>
      <c r="C599" s="6">
        <v>40</v>
      </c>
      <c r="D599" s="6">
        <v>2.3138999999999998</v>
      </c>
      <c r="E599" s="6">
        <v>8.4573</v>
      </c>
      <c r="F599" s="6">
        <v>109</v>
      </c>
    </row>
    <row r="600" spans="1:6" x14ac:dyDescent="0.25">
      <c r="A600" s="6" t="s">
        <v>1600</v>
      </c>
      <c r="B600" s="6">
        <v>0.85070000000000001</v>
      </c>
      <c r="C600" s="6">
        <v>27</v>
      </c>
      <c r="D600" s="6">
        <v>1.9196</v>
      </c>
      <c r="E600" s="6">
        <v>6.3163999999999998</v>
      </c>
      <c r="F600" s="6">
        <v>85</v>
      </c>
    </row>
    <row r="601" spans="1:6" x14ac:dyDescent="0.25">
      <c r="A601" s="6" t="s">
        <v>1601</v>
      </c>
      <c r="B601" s="6">
        <v>0.71450000000000002</v>
      </c>
      <c r="C601" s="6">
        <v>21</v>
      </c>
      <c r="D601" s="6">
        <v>2.7585999999999999</v>
      </c>
      <c r="E601" s="6">
        <v>8.4094999999999995</v>
      </c>
      <c r="F601" s="6">
        <v>97</v>
      </c>
    </row>
    <row r="602" spans="1:6" x14ac:dyDescent="0.25">
      <c r="A602" s="6" t="s">
        <v>1602</v>
      </c>
      <c r="B602" s="6">
        <v>1.5153000000000001</v>
      </c>
      <c r="C602" s="6">
        <v>36</v>
      </c>
      <c r="D602" s="6">
        <v>2.7631000000000001</v>
      </c>
      <c r="E602" s="6">
        <v>11.210800000000001</v>
      </c>
      <c r="F602" s="6">
        <v>159</v>
      </c>
    </row>
    <row r="603" spans="1:6" x14ac:dyDescent="0.25">
      <c r="A603" s="6" t="s">
        <v>1603</v>
      </c>
      <c r="B603" s="6">
        <v>1.2058</v>
      </c>
      <c r="C603" s="6">
        <v>33</v>
      </c>
      <c r="D603" s="6">
        <v>3.0219</v>
      </c>
      <c r="E603" s="6">
        <v>6.4889000000000001</v>
      </c>
      <c r="F603" s="6">
        <v>74</v>
      </c>
    </row>
    <row r="604" spans="1:6" x14ac:dyDescent="0.25">
      <c r="A604" s="6" t="s">
        <v>1604</v>
      </c>
      <c r="B604" s="6">
        <v>1.7189000000000001</v>
      </c>
      <c r="C604" s="6">
        <v>49</v>
      </c>
      <c r="D604" s="6">
        <v>2.5171000000000001</v>
      </c>
      <c r="E604" s="6">
        <v>9.6834000000000007</v>
      </c>
      <c r="F604" s="6">
        <v>140</v>
      </c>
    </row>
    <row r="605" spans="1:6" x14ac:dyDescent="0.25">
      <c r="A605" s="6" t="s">
        <v>1605</v>
      </c>
      <c r="B605" s="6">
        <v>1.0113000000000001</v>
      </c>
      <c r="C605" s="6">
        <v>26</v>
      </c>
      <c r="D605" s="6">
        <v>2.8372000000000002</v>
      </c>
      <c r="E605" s="6">
        <v>11.851900000000001</v>
      </c>
      <c r="F605" s="6">
        <v>177</v>
      </c>
    </row>
    <row r="606" spans="1:6" x14ac:dyDescent="0.25">
      <c r="A606" s="6" t="s">
        <v>1606</v>
      </c>
      <c r="B606" s="6">
        <v>2.3963000000000001</v>
      </c>
      <c r="C606" s="6">
        <v>54</v>
      </c>
      <c r="D606" s="6">
        <v>3.5741000000000001</v>
      </c>
      <c r="E606" s="6">
        <v>11.7707</v>
      </c>
      <c r="F606" s="6">
        <v>142</v>
      </c>
    </row>
    <row r="607" spans="1:6" x14ac:dyDescent="0.25">
      <c r="A607" s="6" t="s">
        <v>1607</v>
      </c>
      <c r="B607" s="6">
        <v>1.2914000000000001</v>
      </c>
      <c r="C607" s="6">
        <v>34</v>
      </c>
      <c r="D607" s="6">
        <v>3.9434999999999998</v>
      </c>
      <c r="E607" s="6">
        <v>5.7007000000000003</v>
      </c>
      <c r="F607" s="6">
        <v>49</v>
      </c>
    </row>
    <row r="608" spans="1:6" x14ac:dyDescent="0.25">
      <c r="A608" s="6" t="s">
        <v>1608</v>
      </c>
      <c r="B608" s="6">
        <v>1.8374999999999999</v>
      </c>
      <c r="C608" s="6">
        <v>45</v>
      </c>
      <c r="D608" s="6">
        <v>3.8226</v>
      </c>
      <c r="E608" s="6">
        <v>11.764900000000001</v>
      </c>
      <c r="F608" s="6">
        <v>124</v>
      </c>
    </row>
    <row r="609" spans="1:6" x14ac:dyDescent="0.25">
      <c r="A609" s="6" t="s">
        <v>1609</v>
      </c>
      <c r="B609" s="6">
        <v>0.89559999999999995</v>
      </c>
      <c r="C609" s="6">
        <v>30</v>
      </c>
      <c r="D609" s="6">
        <v>2.0775999999999999</v>
      </c>
      <c r="E609" s="6">
        <v>4.0702999999999996</v>
      </c>
      <c r="F609" s="6">
        <v>40</v>
      </c>
    </row>
    <row r="610" spans="1:6" x14ac:dyDescent="0.25">
      <c r="A610" s="6" t="s">
        <v>1610</v>
      </c>
      <c r="B610" s="6">
        <v>0.70430000000000004</v>
      </c>
      <c r="C610" s="6">
        <v>24</v>
      </c>
      <c r="D610" s="6">
        <v>2.2301000000000002</v>
      </c>
      <c r="E610" s="6">
        <v>3.5777999999999999</v>
      </c>
      <c r="F610" s="6">
        <v>40</v>
      </c>
    </row>
    <row r="611" spans="1:6" x14ac:dyDescent="0.25">
      <c r="A611" s="6" t="s">
        <v>1611</v>
      </c>
      <c r="B611" s="6">
        <v>1.4213</v>
      </c>
      <c r="C611" s="6">
        <v>37</v>
      </c>
      <c r="D611" s="6">
        <v>2.4817</v>
      </c>
      <c r="E611" s="6">
        <v>9.7189999999999994</v>
      </c>
      <c r="F611" s="6">
        <v>129</v>
      </c>
    </row>
    <row r="612" spans="1:6" x14ac:dyDescent="0.25">
      <c r="A612" s="6" t="s">
        <v>1612</v>
      </c>
      <c r="B612" s="6">
        <v>1.2675000000000001</v>
      </c>
      <c r="C612" s="6">
        <v>33</v>
      </c>
      <c r="D612" s="6">
        <v>2.3050999999999999</v>
      </c>
      <c r="E612" s="6">
        <v>6.8197999999999999</v>
      </c>
      <c r="F612" s="6">
        <v>85</v>
      </c>
    </row>
    <row r="613" spans="1:6" x14ac:dyDescent="0.25">
      <c r="A613" s="6" t="s">
        <v>1613</v>
      </c>
      <c r="B613" s="6">
        <v>1.3825000000000001</v>
      </c>
      <c r="C613" s="6">
        <v>38</v>
      </c>
      <c r="D613" s="6">
        <v>2.4897999999999998</v>
      </c>
      <c r="E613" s="6">
        <v>10.815200000000001</v>
      </c>
      <c r="F613" s="6">
        <v>161</v>
      </c>
    </row>
    <row r="614" spans="1:6" x14ac:dyDescent="0.25">
      <c r="A614" s="6" t="s">
        <v>1614</v>
      </c>
      <c r="B614" s="6">
        <v>0.84709999999999996</v>
      </c>
      <c r="C614" s="6">
        <v>26</v>
      </c>
      <c r="D614" s="6">
        <v>2.1366000000000001</v>
      </c>
      <c r="E614" s="6">
        <v>8.3505000000000003</v>
      </c>
      <c r="F614" s="6">
        <v>108</v>
      </c>
    </row>
    <row r="615" spans="1:6" x14ac:dyDescent="0.25">
      <c r="A615" s="6" t="s">
        <v>1615</v>
      </c>
      <c r="B615" s="6">
        <v>2.8062</v>
      </c>
      <c r="C615" s="6">
        <v>60</v>
      </c>
      <c r="D615" s="6">
        <v>3.1295000000000002</v>
      </c>
      <c r="E615" s="6">
        <v>8.9114000000000004</v>
      </c>
      <c r="F615" s="6">
        <v>100</v>
      </c>
    </row>
    <row r="616" spans="1:6" x14ac:dyDescent="0.25">
      <c r="A616" s="6" t="s">
        <v>1616</v>
      </c>
      <c r="B616" s="6">
        <v>1.9812000000000001</v>
      </c>
      <c r="C616" s="6">
        <v>46</v>
      </c>
      <c r="D616" s="6">
        <v>3.7277999999999998</v>
      </c>
      <c r="E616" s="6">
        <v>8.3417999999999992</v>
      </c>
      <c r="F616" s="6">
        <v>88</v>
      </c>
    </row>
    <row r="617" spans="1:6" x14ac:dyDescent="0.25">
      <c r="A617" s="6" t="s">
        <v>1617</v>
      </c>
      <c r="B617" s="6">
        <v>1.3210999999999999</v>
      </c>
      <c r="C617" s="6">
        <v>38</v>
      </c>
      <c r="D617" s="6">
        <v>2.9209999999999998</v>
      </c>
      <c r="E617" s="6">
        <v>7.6844999999999999</v>
      </c>
      <c r="F617" s="6">
        <v>73</v>
      </c>
    </row>
    <row r="618" spans="1:6" x14ac:dyDescent="0.25">
      <c r="A618" s="6" t="s">
        <v>1618</v>
      </c>
      <c r="B618" s="6">
        <v>2.2654999999999998</v>
      </c>
      <c r="C618" s="6">
        <v>55</v>
      </c>
      <c r="D618" s="6">
        <v>3.1471</v>
      </c>
      <c r="E618" s="6">
        <v>10.6693</v>
      </c>
      <c r="F618" s="6">
        <v>142</v>
      </c>
    </row>
    <row r="619" spans="1:6" x14ac:dyDescent="0.25">
      <c r="A619" s="6" t="s">
        <v>1619</v>
      </c>
      <c r="B619" s="6">
        <v>2.2395</v>
      </c>
      <c r="C619" s="6">
        <v>47</v>
      </c>
      <c r="D619" s="6">
        <v>3.4415</v>
      </c>
      <c r="E619" s="6">
        <v>9.8298000000000005</v>
      </c>
      <c r="F619" s="6">
        <v>118</v>
      </c>
    </row>
    <row r="620" spans="1:6" x14ac:dyDescent="0.25">
      <c r="A620" s="6" t="s">
        <v>1620</v>
      </c>
      <c r="B620" s="6">
        <v>1.6941999999999999</v>
      </c>
      <c r="C620" s="6">
        <v>48</v>
      </c>
      <c r="D620" s="6">
        <v>2.9653999999999998</v>
      </c>
      <c r="E620" s="6">
        <v>8.9420000000000002</v>
      </c>
      <c r="F620" s="6">
        <v>107</v>
      </c>
    </row>
    <row r="621" spans="1:6" x14ac:dyDescent="0.25">
      <c r="A621" s="6" t="s">
        <v>1621</v>
      </c>
      <c r="B621" s="6">
        <v>0.7056</v>
      </c>
      <c r="C621" s="6">
        <v>24</v>
      </c>
      <c r="D621" s="6">
        <v>1.7738</v>
      </c>
      <c r="E621" s="6">
        <v>8.3922000000000008</v>
      </c>
      <c r="F621" s="6">
        <v>110</v>
      </c>
    </row>
    <row r="622" spans="1:6" x14ac:dyDescent="0.25">
      <c r="A622" s="6" t="s">
        <v>1622</v>
      </c>
      <c r="B622" s="6">
        <v>2.0468000000000002</v>
      </c>
      <c r="C622" s="6">
        <v>44</v>
      </c>
      <c r="D622" s="6">
        <v>3.0518000000000001</v>
      </c>
      <c r="E622" s="6">
        <v>8.2843</v>
      </c>
      <c r="F622" s="6">
        <v>101</v>
      </c>
    </row>
    <row r="623" spans="1:6" x14ac:dyDescent="0.25">
      <c r="A623" s="6" t="s">
        <v>1623</v>
      </c>
      <c r="B623" s="6">
        <v>3.2848999999999999</v>
      </c>
      <c r="C623" s="6">
        <v>65</v>
      </c>
      <c r="D623" s="6">
        <v>4.0571000000000002</v>
      </c>
      <c r="E623" s="6">
        <v>13.060499999999999</v>
      </c>
      <c r="F623" s="6">
        <v>143</v>
      </c>
    </row>
    <row r="624" spans="1:6" x14ac:dyDescent="0.25">
      <c r="A624" s="6" t="s">
        <v>1624</v>
      </c>
      <c r="B624" s="6">
        <v>0.84389999999999998</v>
      </c>
      <c r="C624" s="6">
        <v>22</v>
      </c>
      <c r="D624" s="6">
        <v>3.4005999999999998</v>
      </c>
      <c r="E624" s="6">
        <v>13.2509</v>
      </c>
      <c r="F624" s="6">
        <v>167</v>
      </c>
    </row>
    <row r="625" spans="1:6" x14ac:dyDescent="0.25">
      <c r="A625" s="6" t="s">
        <v>1625</v>
      </c>
      <c r="B625" s="6">
        <v>1.9236</v>
      </c>
      <c r="C625" s="6">
        <v>47</v>
      </c>
      <c r="D625" s="6">
        <v>2.8292999999999999</v>
      </c>
      <c r="E625" s="6">
        <v>8.7025000000000006</v>
      </c>
      <c r="F625" s="6">
        <v>115</v>
      </c>
    </row>
    <row r="626" spans="1:6" x14ac:dyDescent="0.25">
      <c r="A626" s="6" t="s">
        <v>1626</v>
      </c>
      <c r="B626" s="6">
        <v>2.0337000000000001</v>
      </c>
      <c r="C626" s="6">
        <v>51</v>
      </c>
      <c r="D626" s="6">
        <v>2.7431000000000001</v>
      </c>
      <c r="E626" s="6">
        <v>10.328099999999999</v>
      </c>
      <c r="F626" s="6">
        <v>143</v>
      </c>
    </row>
    <row r="627" spans="1:6" x14ac:dyDescent="0.25">
      <c r="A627" s="6" t="s">
        <v>1627</v>
      </c>
      <c r="B627" s="6">
        <v>0.93740000000000001</v>
      </c>
      <c r="C627" s="6">
        <v>27</v>
      </c>
      <c r="D627" s="6">
        <v>2.6673</v>
      </c>
      <c r="E627" s="6">
        <v>11.2638</v>
      </c>
      <c r="F627" s="6">
        <v>147</v>
      </c>
    </row>
    <row r="628" spans="1:6" x14ac:dyDescent="0.25">
      <c r="A628" s="6" t="s">
        <v>1628</v>
      </c>
      <c r="B628" s="6">
        <v>1.19</v>
      </c>
      <c r="C628" s="6">
        <v>27</v>
      </c>
      <c r="D628" s="6">
        <v>2.9805000000000001</v>
      </c>
      <c r="E628" s="6">
        <v>5.7934000000000001</v>
      </c>
      <c r="F628" s="6">
        <v>64</v>
      </c>
    </row>
    <row r="629" spans="1:6" x14ac:dyDescent="0.25">
      <c r="A629" s="6" t="s">
        <v>1629</v>
      </c>
      <c r="B629" s="6">
        <v>1.5362</v>
      </c>
      <c r="C629" s="6">
        <v>42</v>
      </c>
      <c r="D629" s="6">
        <v>2.8742000000000001</v>
      </c>
      <c r="E629" s="6">
        <v>6.4995000000000003</v>
      </c>
      <c r="F629" s="6">
        <v>78</v>
      </c>
    </row>
    <row r="630" spans="1:6" x14ac:dyDescent="0.25">
      <c r="A630" s="6" t="s">
        <v>1630</v>
      </c>
      <c r="B630" s="6">
        <v>1.2235</v>
      </c>
      <c r="C630" s="6">
        <v>31</v>
      </c>
      <c r="D630" s="6">
        <v>3.5505</v>
      </c>
      <c r="E630" s="6">
        <v>9.0870999999999995</v>
      </c>
      <c r="F630" s="6">
        <v>122</v>
      </c>
    </row>
    <row r="631" spans="1:6" x14ac:dyDescent="0.25">
      <c r="A631" s="6" t="s">
        <v>1631</v>
      </c>
      <c r="B631" s="6">
        <v>1.9773000000000001</v>
      </c>
      <c r="C631" s="6">
        <v>46</v>
      </c>
      <c r="D631" s="6">
        <v>3.3401000000000001</v>
      </c>
      <c r="E631" s="6">
        <v>12.6874</v>
      </c>
      <c r="F631" s="6">
        <v>151</v>
      </c>
    </row>
    <row r="632" spans="1:6" x14ac:dyDescent="0.25">
      <c r="A632" s="6" t="s">
        <v>1632</v>
      </c>
      <c r="B632" s="6">
        <v>1.6142000000000001</v>
      </c>
      <c r="C632" s="6">
        <v>37</v>
      </c>
      <c r="D632" s="6">
        <v>4.0537999999999998</v>
      </c>
      <c r="E632" s="6">
        <v>12.476599999999999</v>
      </c>
      <c r="F632" s="6">
        <v>168</v>
      </c>
    </row>
    <row r="633" spans="1:6" x14ac:dyDescent="0.25">
      <c r="A633" s="6" t="s">
        <v>1633</v>
      </c>
      <c r="B633" s="6">
        <v>0.877</v>
      </c>
      <c r="C633" s="6">
        <v>30</v>
      </c>
      <c r="D633" s="6">
        <v>2.3395000000000001</v>
      </c>
      <c r="E633" s="6">
        <v>7.7422000000000004</v>
      </c>
      <c r="F633" s="6">
        <v>92</v>
      </c>
    </row>
    <row r="634" spans="1:6" x14ac:dyDescent="0.25">
      <c r="A634" s="6" t="s">
        <v>1634</v>
      </c>
      <c r="B634" s="6">
        <v>1.121</v>
      </c>
      <c r="C634" s="6">
        <v>30</v>
      </c>
      <c r="D634" s="6">
        <v>2.3616999999999999</v>
      </c>
      <c r="E634" s="6">
        <v>11.630699999999999</v>
      </c>
      <c r="F634" s="6">
        <v>170</v>
      </c>
    </row>
    <row r="635" spans="1:6" x14ac:dyDescent="0.25">
      <c r="A635" s="6" t="s">
        <v>1635</v>
      </c>
      <c r="B635" s="6">
        <v>0.96009999999999995</v>
      </c>
      <c r="C635" s="6">
        <v>30</v>
      </c>
      <c r="D635" s="6">
        <v>2.3454999999999999</v>
      </c>
      <c r="E635" s="6">
        <v>4.9359999999999999</v>
      </c>
      <c r="F635" s="6">
        <v>76</v>
      </c>
    </row>
    <row r="636" spans="1:6" x14ac:dyDescent="0.25">
      <c r="A636" s="6" t="s">
        <v>1636</v>
      </c>
      <c r="B636" s="6">
        <v>0.93630000000000002</v>
      </c>
      <c r="C636" s="6">
        <v>27</v>
      </c>
      <c r="D636" s="6">
        <v>2.4489999999999998</v>
      </c>
      <c r="E636" s="6">
        <v>6.2899000000000003</v>
      </c>
      <c r="F636" s="6">
        <v>83</v>
      </c>
    </row>
    <row r="637" spans="1:6" x14ac:dyDescent="0.25">
      <c r="A637" s="6" t="s">
        <v>1637</v>
      </c>
      <c r="B637" s="6">
        <v>2.0884</v>
      </c>
      <c r="C637" s="6">
        <v>51</v>
      </c>
      <c r="D637" s="6">
        <v>2.3317999999999999</v>
      </c>
      <c r="E637" s="6">
        <v>11.7775</v>
      </c>
      <c r="F637" s="6">
        <v>189</v>
      </c>
    </row>
    <row r="638" spans="1:6" x14ac:dyDescent="0.25">
      <c r="A638" s="6" t="s">
        <v>1638</v>
      </c>
      <c r="B638" s="6">
        <v>0.85729999999999995</v>
      </c>
      <c r="C638" s="6">
        <v>28</v>
      </c>
      <c r="D638" s="6">
        <v>2.4561999999999999</v>
      </c>
      <c r="E638" s="6">
        <v>9.6798000000000002</v>
      </c>
      <c r="F638" s="6">
        <v>134</v>
      </c>
    </row>
    <row r="639" spans="1:6" x14ac:dyDescent="0.25">
      <c r="A639" s="6" t="s">
        <v>1639</v>
      </c>
      <c r="B639" s="6">
        <v>0.68389999999999995</v>
      </c>
      <c r="C639" s="6">
        <v>22</v>
      </c>
      <c r="D639" s="6">
        <v>2.4348000000000001</v>
      </c>
      <c r="E639" s="6">
        <v>4.8971999999999998</v>
      </c>
      <c r="F639" s="6">
        <v>45</v>
      </c>
    </row>
    <row r="640" spans="1:6" x14ac:dyDescent="0.25">
      <c r="A640" s="6" t="s">
        <v>1640</v>
      </c>
      <c r="B640" s="6">
        <v>0.67989999999999995</v>
      </c>
      <c r="C640" s="6">
        <v>21</v>
      </c>
      <c r="D640" s="6">
        <v>2.3199000000000001</v>
      </c>
      <c r="E640" s="6">
        <v>6.4132999999999996</v>
      </c>
      <c r="F640" s="6">
        <v>101</v>
      </c>
    </row>
    <row r="641" spans="1:6" x14ac:dyDescent="0.25">
      <c r="A641" s="6" t="s">
        <v>1641</v>
      </c>
      <c r="B641" s="6">
        <v>0.64470000000000005</v>
      </c>
      <c r="C641" s="6">
        <v>17</v>
      </c>
      <c r="D641" s="6">
        <v>2.0301999999999998</v>
      </c>
      <c r="E641" s="6">
        <v>4.2055999999999996</v>
      </c>
      <c r="F641" s="6">
        <v>45</v>
      </c>
    </row>
    <row r="642" spans="1:6" x14ac:dyDescent="0.25">
      <c r="A642" s="6" t="s">
        <v>1642</v>
      </c>
      <c r="B642" s="6">
        <v>0.58660000000000001</v>
      </c>
      <c r="C642" s="6">
        <v>16</v>
      </c>
      <c r="D642" s="6">
        <v>1.9556</v>
      </c>
      <c r="E642" s="6">
        <v>2.9014000000000002</v>
      </c>
      <c r="F642" s="6">
        <v>36</v>
      </c>
    </row>
    <row r="643" spans="1:6" x14ac:dyDescent="0.25">
      <c r="A643" s="6" t="s">
        <v>1643</v>
      </c>
      <c r="B643" s="6">
        <v>1.9765999999999999</v>
      </c>
      <c r="C643" s="6">
        <v>57</v>
      </c>
      <c r="D643" s="6">
        <v>2.4548000000000001</v>
      </c>
      <c r="E643" s="6">
        <v>12.200699999999999</v>
      </c>
      <c r="F643" s="6">
        <v>173</v>
      </c>
    </row>
    <row r="644" spans="1:6" x14ac:dyDescent="0.25">
      <c r="A644" s="6" t="s">
        <v>1644</v>
      </c>
      <c r="B644" s="6">
        <v>1.3424</v>
      </c>
      <c r="C644" s="6">
        <v>36</v>
      </c>
      <c r="D644" s="6">
        <v>2.6865999999999999</v>
      </c>
      <c r="E644" s="6">
        <v>11.3249</v>
      </c>
      <c r="F644" s="6">
        <v>181</v>
      </c>
    </row>
    <row r="645" spans="1:6" x14ac:dyDescent="0.25">
      <c r="A645" s="6" t="s">
        <v>1645</v>
      </c>
      <c r="B645" s="6">
        <v>0.89659999999999995</v>
      </c>
      <c r="C645" s="6">
        <v>29</v>
      </c>
      <c r="D645" s="6">
        <v>2.3618999999999999</v>
      </c>
      <c r="E645" s="6">
        <v>11.2614</v>
      </c>
      <c r="F645" s="6">
        <v>156</v>
      </c>
    </row>
    <row r="646" spans="1:6" x14ac:dyDescent="0.25">
      <c r="A646" s="6" t="s">
        <v>1646</v>
      </c>
      <c r="B646" s="6">
        <v>0.7893</v>
      </c>
      <c r="C646" s="6">
        <v>25</v>
      </c>
      <c r="D646" s="6">
        <v>2.2452999999999999</v>
      </c>
      <c r="E646" s="6">
        <v>9.5677000000000003</v>
      </c>
      <c r="F646" s="6">
        <v>128</v>
      </c>
    </row>
    <row r="647" spans="1:6" x14ac:dyDescent="0.25">
      <c r="A647" s="6" t="s">
        <v>1647</v>
      </c>
      <c r="B647" s="6">
        <v>1.9447000000000001</v>
      </c>
      <c r="C647" s="6">
        <v>47</v>
      </c>
      <c r="D647" s="6">
        <v>3.3033000000000001</v>
      </c>
      <c r="E647" s="6">
        <v>12.260999999999999</v>
      </c>
      <c r="F647" s="6">
        <v>174</v>
      </c>
    </row>
    <row r="648" spans="1:6" x14ac:dyDescent="0.25">
      <c r="A648" s="6" t="s">
        <v>1648</v>
      </c>
      <c r="B648" s="6">
        <v>1.4009</v>
      </c>
      <c r="C648" s="6">
        <v>40</v>
      </c>
      <c r="D648" s="6">
        <v>2.8632</v>
      </c>
      <c r="E648" s="6">
        <v>16.9374</v>
      </c>
      <c r="F648" s="6">
        <v>260</v>
      </c>
    </row>
    <row r="649" spans="1:6" x14ac:dyDescent="0.25">
      <c r="A649" s="6" t="s">
        <v>1649</v>
      </c>
      <c r="B649" s="6">
        <v>1.3640000000000001</v>
      </c>
      <c r="C649" s="6">
        <v>37</v>
      </c>
      <c r="D649" s="6">
        <v>2.8374999999999999</v>
      </c>
      <c r="E649" s="6">
        <v>19.6799</v>
      </c>
      <c r="F649" s="6">
        <v>290</v>
      </c>
    </row>
    <row r="650" spans="1:6" x14ac:dyDescent="0.25">
      <c r="A650" s="6" t="s">
        <v>1650</v>
      </c>
      <c r="B650" s="6">
        <v>0.70640000000000003</v>
      </c>
      <c r="C650" s="6">
        <v>23</v>
      </c>
      <c r="D650" s="6">
        <v>2.3277999999999999</v>
      </c>
      <c r="E650" s="6">
        <v>13.4132</v>
      </c>
      <c r="F650" s="6">
        <v>196</v>
      </c>
    </row>
    <row r="651" spans="1:6" x14ac:dyDescent="0.25">
      <c r="A651" s="6" t="s">
        <v>1651</v>
      </c>
      <c r="B651" s="6">
        <v>2.2282000000000002</v>
      </c>
      <c r="C651" s="6">
        <v>53</v>
      </c>
      <c r="D651" s="6">
        <v>3.0943999999999998</v>
      </c>
      <c r="E651" s="6">
        <v>11.911199999999999</v>
      </c>
      <c r="F651" s="6">
        <v>182</v>
      </c>
    </row>
    <row r="652" spans="1:6" x14ac:dyDescent="0.25">
      <c r="A652" s="6" t="s">
        <v>1652</v>
      </c>
      <c r="B652" s="6">
        <v>1.3607</v>
      </c>
      <c r="C652" s="6">
        <v>40</v>
      </c>
      <c r="D652" s="6">
        <v>2.9843999999999999</v>
      </c>
      <c r="E652" s="6">
        <v>13.829700000000001</v>
      </c>
      <c r="F652" s="6">
        <v>203</v>
      </c>
    </row>
    <row r="653" spans="1:6" x14ac:dyDescent="0.25">
      <c r="A653" s="6" t="s">
        <v>1653</v>
      </c>
      <c r="B653" s="6">
        <v>0.93600000000000005</v>
      </c>
      <c r="C653" s="6">
        <v>29</v>
      </c>
      <c r="D653" s="6">
        <v>2.7829999999999999</v>
      </c>
      <c r="E653" s="6">
        <v>4.7510000000000003</v>
      </c>
      <c r="F653" s="6">
        <v>58</v>
      </c>
    </row>
    <row r="654" spans="1:6" x14ac:dyDescent="0.25">
      <c r="A654" s="6" t="s">
        <v>1654</v>
      </c>
      <c r="B654" s="6">
        <v>0.72119999999999995</v>
      </c>
      <c r="C654" s="6">
        <v>24</v>
      </c>
      <c r="D654" s="6">
        <v>2.1351</v>
      </c>
      <c r="E654" s="6">
        <v>7.0980999999999996</v>
      </c>
      <c r="F654" s="6">
        <v>108</v>
      </c>
    </row>
    <row r="655" spans="1:6" x14ac:dyDescent="0.25">
      <c r="A655" s="6" t="s">
        <v>1655</v>
      </c>
      <c r="B655" s="6">
        <v>0.79210000000000003</v>
      </c>
      <c r="C655" s="6">
        <v>22</v>
      </c>
      <c r="D655" s="6">
        <v>2.4489000000000001</v>
      </c>
      <c r="E655" s="6">
        <v>14.0143</v>
      </c>
      <c r="F655" s="6">
        <v>202</v>
      </c>
    </row>
    <row r="656" spans="1:6" x14ac:dyDescent="0.25">
      <c r="A656" s="6" t="s">
        <v>1656</v>
      </c>
      <c r="B656" s="6">
        <v>0.54200000000000004</v>
      </c>
      <c r="C656" s="6">
        <v>19</v>
      </c>
      <c r="D656" s="6">
        <v>2.0651999999999999</v>
      </c>
      <c r="E656" s="6">
        <v>7.7858999999999998</v>
      </c>
      <c r="F656" s="6">
        <v>94</v>
      </c>
    </row>
    <row r="657" spans="1:6" x14ac:dyDescent="0.25">
      <c r="A657" s="6" t="s">
        <v>1657</v>
      </c>
      <c r="B657" s="6">
        <v>2.0063</v>
      </c>
      <c r="C657" s="6">
        <v>40</v>
      </c>
      <c r="D657" s="6">
        <v>3.8283</v>
      </c>
      <c r="E657" s="6">
        <v>15.4331</v>
      </c>
      <c r="F657" s="6">
        <v>176</v>
      </c>
    </row>
    <row r="658" spans="1:6" x14ac:dyDescent="0.25">
      <c r="A658" s="6" t="s">
        <v>1658</v>
      </c>
      <c r="B658" s="6">
        <v>3.7210999999999999</v>
      </c>
      <c r="C658" s="6">
        <v>79</v>
      </c>
      <c r="D658" s="6">
        <v>3.5244</v>
      </c>
      <c r="E658" s="6">
        <v>14.2029</v>
      </c>
      <c r="F658" s="6">
        <v>167</v>
      </c>
    </row>
    <row r="659" spans="1:6" x14ac:dyDescent="0.25">
      <c r="A659" s="6" t="s">
        <v>1659</v>
      </c>
      <c r="B659" s="6">
        <v>0.86150000000000004</v>
      </c>
      <c r="C659" s="6">
        <v>26</v>
      </c>
      <c r="D659" s="6">
        <v>2.7128000000000001</v>
      </c>
      <c r="E659" s="6">
        <v>5.0138999999999996</v>
      </c>
      <c r="F659" s="6">
        <v>64</v>
      </c>
    </row>
    <row r="660" spans="1:6" x14ac:dyDescent="0.25">
      <c r="A660" s="6" t="s">
        <v>1660</v>
      </c>
      <c r="B660" s="6">
        <v>1.698</v>
      </c>
      <c r="C660" s="6">
        <v>44</v>
      </c>
      <c r="D660" s="6">
        <v>3.0651000000000002</v>
      </c>
      <c r="E660" s="6">
        <v>14.145799999999999</v>
      </c>
      <c r="F660" s="6">
        <v>194</v>
      </c>
    </row>
    <row r="661" spans="1:6" x14ac:dyDescent="0.25">
      <c r="A661" s="6" t="s">
        <v>1661</v>
      </c>
      <c r="B661" s="6">
        <v>0.72729999999999995</v>
      </c>
      <c r="C661" s="6">
        <v>23</v>
      </c>
      <c r="D661" s="6">
        <v>2.9988999999999999</v>
      </c>
      <c r="E661" s="6">
        <v>5.8719999999999999</v>
      </c>
      <c r="F661" s="6">
        <v>70</v>
      </c>
    </row>
    <row r="662" spans="1:6" x14ac:dyDescent="0.25">
      <c r="A662" s="6" t="s">
        <v>1662</v>
      </c>
      <c r="B662" s="6">
        <v>1.3481000000000001</v>
      </c>
      <c r="C662" s="6">
        <v>35</v>
      </c>
      <c r="D662" s="6">
        <v>2.1513</v>
      </c>
      <c r="E662" s="6">
        <v>13.224500000000001</v>
      </c>
      <c r="F662" s="6">
        <v>197</v>
      </c>
    </row>
    <row r="663" spans="1:6" x14ac:dyDescent="0.25">
      <c r="A663" s="6" t="s">
        <v>1663</v>
      </c>
      <c r="B663" s="6">
        <v>1.1143000000000001</v>
      </c>
      <c r="C663" s="6">
        <v>37</v>
      </c>
      <c r="D663" s="6">
        <v>2.6837</v>
      </c>
      <c r="E663" s="6">
        <v>14.9023</v>
      </c>
      <c r="F663" s="6">
        <v>217</v>
      </c>
    </row>
    <row r="664" spans="1:6" x14ac:dyDescent="0.25">
      <c r="A664" s="6" t="s">
        <v>1664</v>
      </c>
      <c r="B664" s="6">
        <v>1.0510999999999999</v>
      </c>
      <c r="C664" s="6">
        <v>32</v>
      </c>
      <c r="D664" s="6">
        <v>2.7263999999999999</v>
      </c>
      <c r="E664" s="6">
        <v>6.8758999999999997</v>
      </c>
      <c r="F664" s="6">
        <v>67</v>
      </c>
    </row>
    <row r="665" spans="1:6" x14ac:dyDescent="0.25">
      <c r="A665" s="6" t="s">
        <v>1665</v>
      </c>
      <c r="B665" s="6">
        <v>3.1314000000000002</v>
      </c>
      <c r="C665" s="6">
        <v>68</v>
      </c>
      <c r="D665" s="6">
        <v>3.5756000000000001</v>
      </c>
      <c r="E665" s="6">
        <v>13.8329</v>
      </c>
      <c r="F665" s="6">
        <v>164</v>
      </c>
    </row>
    <row r="666" spans="1:6" x14ac:dyDescent="0.25">
      <c r="A666" s="6" t="s">
        <v>1666</v>
      </c>
      <c r="B666" s="6">
        <v>1.0743</v>
      </c>
      <c r="C666" s="6">
        <v>31</v>
      </c>
      <c r="D666" s="6">
        <v>2.8506</v>
      </c>
      <c r="E666" s="6">
        <v>9.6212</v>
      </c>
      <c r="F666" s="6">
        <v>118</v>
      </c>
    </row>
    <row r="667" spans="1:6" x14ac:dyDescent="0.25">
      <c r="A667" s="6" t="s">
        <v>1667</v>
      </c>
      <c r="B667" s="6">
        <v>1.8975</v>
      </c>
      <c r="C667" s="6">
        <v>45</v>
      </c>
      <c r="D667" s="6">
        <v>2.6457000000000002</v>
      </c>
      <c r="E667" s="6">
        <v>7.8357000000000001</v>
      </c>
      <c r="F667" s="6">
        <v>88</v>
      </c>
    </row>
    <row r="668" spans="1:6" x14ac:dyDescent="0.25">
      <c r="A668" s="6" t="s">
        <v>1668</v>
      </c>
      <c r="B668" s="6">
        <v>1.1967000000000001</v>
      </c>
      <c r="C668" s="6">
        <v>32</v>
      </c>
      <c r="D668" s="6">
        <v>2.6829000000000001</v>
      </c>
      <c r="E668" s="6">
        <v>15.432499999999999</v>
      </c>
      <c r="F668" s="6">
        <v>217</v>
      </c>
    </row>
    <row r="669" spans="1:6" x14ac:dyDescent="0.25">
      <c r="A669" s="6" t="s">
        <v>1669</v>
      </c>
      <c r="B669" s="6">
        <v>0.77349999999999997</v>
      </c>
      <c r="C669" s="6">
        <v>23</v>
      </c>
      <c r="D669" s="6">
        <v>2.4601999999999999</v>
      </c>
      <c r="E669" s="6">
        <v>7.9974999999999996</v>
      </c>
      <c r="F669" s="6">
        <v>101</v>
      </c>
    </row>
    <row r="670" spans="1:6" x14ac:dyDescent="0.25">
      <c r="A670" s="6" t="s">
        <v>1670</v>
      </c>
      <c r="B670" s="6">
        <v>1.9698</v>
      </c>
      <c r="C670" s="6">
        <v>46</v>
      </c>
      <c r="D670" s="6">
        <v>4.0591999999999997</v>
      </c>
      <c r="E670" s="6">
        <v>8.5568000000000008</v>
      </c>
      <c r="F670" s="6">
        <v>74</v>
      </c>
    </row>
    <row r="671" spans="1:6" x14ac:dyDescent="0.25">
      <c r="A671" s="6" t="s">
        <v>1671</v>
      </c>
      <c r="B671" s="6">
        <v>1.7678</v>
      </c>
      <c r="C671" s="6">
        <v>45</v>
      </c>
      <c r="D671" s="6">
        <v>3.8134999999999999</v>
      </c>
      <c r="E671" s="6">
        <v>9.3268000000000004</v>
      </c>
      <c r="F671" s="6">
        <v>89</v>
      </c>
    </row>
    <row r="672" spans="1:6" x14ac:dyDescent="0.25">
      <c r="A672" s="6" t="s">
        <v>1672</v>
      </c>
      <c r="B672" s="6">
        <v>2.1907999999999999</v>
      </c>
      <c r="C672" s="6">
        <v>56</v>
      </c>
      <c r="D672" s="6">
        <v>2.6854</v>
      </c>
      <c r="E672" s="6">
        <v>15.047800000000001</v>
      </c>
      <c r="F672" s="6">
        <v>217</v>
      </c>
    </row>
    <row r="673" spans="1:6" x14ac:dyDescent="0.25">
      <c r="A673" s="6" t="s">
        <v>1673</v>
      </c>
      <c r="B673" s="6">
        <v>0.80469999999999997</v>
      </c>
      <c r="C673" s="6">
        <v>23</v>
      </c>
      <c r="D673" s="6">
        <v>2.6650999999999998</v>
      </c>
      <c r="E673" s="6">
        <v>4.4093</v>
      </c>
      <c r="F673" s="6">
        <v>41</v>
      </c>
    </row>
    <row r="674" spans="1:6" x14ac:dyDescent="0.25">
      <c r="A674" s="6" t="s">
        <v>1674</v>
      </c>
      <c r="B674" s="6">
        <v>3.0552999999999999</v>
      </c>
      <c r="C674" s="6">
        <v>81</v>
      </c>
      <c r="D674" s="6">
        <v>2.1114000000000002</v>
      </c>
      <c r="E674" s="6">
        <v>10.7813</v>
      </c>
      <c r="F674" s="6">
        <v>153</v>
      </c>
    </row>
    <row r="675" spans="1:6" x14ac:dyDescent="0.25">
      <c r="A675" s="6" t="s">
        <v>1675</v>
      </c>
      <c r="B675" s="6">
        <v>1.1269</v>
      </c>
      <c r="C675" s="6">
        <v>31</v>
      </c>
      <c r="D675" s="6">
        <v>2.9788000000000001</v>
      </c>
      <c r="E675" s="6">
        <v>9.7262000000000004</v>
      </c>
      <c r="F675" s="6">
        <v>137</v>
      </c>
    </row>
    <row r="676" spans="1:6" x14ac:dyDescent="0.25">
      <c r="A676" s="6" t="s">
        <v>1676</v>
      </c>
      <c r="B676" s="6">
        <v>0.81969999999999998</v>
      </c>
      <c r="C676" s="6">
        <v>23</v>
      </c>
      <c r="D676" s="6">
        <v>3.2576000000000001</v>
      </c>
      <c r="E676" s="6">
        <v>15.147399999999999</v>
      </c>
      <c r="F676" s="6">
        <v>207</v>
      </c>
    </row>
    <row r="677" spans="1:6" x14ac:dyDescent="0.25">
      <c r="A677" s="6" t="s">
        <v>1677</v>
      </c>
      <c r="B677" s="6">
        <v>1.6064000000000001</v>
      </c>
      <c r="C677" s="6">
        <v>37</v>
      </c>
      <c r="D677" s="6">
        <v>2.5085999999999999</v>
      </c>
      <c r="E677" s="6">
        <v>10.8148</v>
      </c>
      <c r="F677" s="6">
        <v>127</v>
      </c>
    </row>
    <row r="678" spans="1:6" x14ac:dyDescent="0.25">
      <c r="A678" s="6" t="s">
        <v>1678</v>
      </c>
      <c r="B678" s="6">
        <v>1.4815</v>
      </c>
      <c r="C678" s="6">
        <v>42</v>
      </c>
      <c r="D678" s="6">
        <v>3.2421000000000002</v>
      </c>
      <c r="E678" s="6">
        <v>7.5815999999999999</v>
      </c>
      <c r="F678" s="6">
        <v>98</v>
      </c>
    </row>
    <row r="679" spans="1:6" x14ac:dyDescent="0.25">
      <c r="A679" s="6" t="s">
        <v>1679</v>
      </c>
      <c r="B679" s="6">
        <v>2.4253</v>
      </c>
      <c r="C679" s="6">
        <v>53</v>
      </c>
      <c r="D679" s="6">
        <v>3.5941000000000001</v>
      </c>
      <c r="E679" s="6">
        <v>6.2096999999999998</v>
      </c>
      <c r="F679" s="6">
        <v>52</v>
      </c>
    </row>
    <row r="680" spans="1:6" x14ac:dyDescent="0.25">
      <c r="A680" s="6" t="s">
        <v>1680</v>
      </c>
      <c r="B680" s="6">
        <v>1.4044000000000001</v>
      </c>
      <c r="C680" s="6">
        <v>39</v>
      </c>
      <c r="D680" s="6">
        <v>3.2631000000000001</v>
      </c>
      <c r="E680" s="6">
        <v>9.6666000000000007</v>
      </c>
      <c r="F680" s="6">
        <v>120</v>
      </c>
    </row>
    <row r="681" spans="1:6" x14ac:dyDescent="0.25">
      <c r="A681" s="6" t="s">
        <v>1681</v>
      </c>
      <c r="B681" s="6">
        <v>1.4287000000000001</v>
      </c>
      <c r="C681" s="6">
        <v>37</v>
      </c>
      <c r="D681" s="6">
        <v>3.5156999999999998</v>
      </c>
      <c r="E681" s="6">
        <v>5.0865999999999998</v>
      </c>
      <c r="F681" s="6">
        <v>40</v>
      </c>
    </row>
    <row r="682" spans="1:6" x14ac:dyDescent="0.25">
      <c r="A682" s="6" t="s">
        <v>1682</v>
      </c>
      <c r="B682" s="6">
        <v>1.6311</v>
      </c>
      <c r="C682" s="6">
        <v>38</v>
      </c>
      <c r="D682" s="6">
        <v>3.5082</v>
      </c>
      <c r="E682" s="6">
        <v>10.473800000000001</v>
      </c>
      <c r="F682" s="6">
        <v>117</v>
      </c>
    </row>
    <row r="683" spans="1:6" x14ac:dyDescent="0.25">
      <c r="A683" s="6" t="s">
        <v>1683</v>
      </c>
      <c r="B683" s="6">
        <v>1.0384</v>
      </c>
      <c r="C683" s="6">
        <v>31</v>
      </c>
      <c r="D683" s="6">
        <v>3.0476000000000001</v>
      </c>
      <c r="E683" s="6">
        <v>5.8487999999999998</v>
      </c>
      <c r="F683" s="6">
        <v>68</v>
      </c>
    </row>
    <row r="684" spans="1:6" x14ac:dyDescent="0.25">
      <c r="A684" s="6" t="s">
        <v>1684</v>
      </c>
      <c r="B684" s="6">
        <v>0.80500000000000005</v>
      </c>
      <c r="C684" s="6">
        <v>28</v>
      </c>
      <c r="D684" s="6">
        <v>2.6917</v>
      </c>
      <c r="E684" s="6">
        <v>7.4424000000000001</v>
      </c>
      <c r="F684" s="6">
        <v>84</v>
      </c>
    </row>
    <row r="685" spans="1:6" x14ac:dyDescent="0.25">
      <c r="A685" s="6" t="s">
        <v>1685</v>
      </c>
      <c r="B685" s="6">
        <v>0.92420000000000002</v>
      </c>
      <c r="C685" s="6">
        <v>25</v>
      </c>
      <c r="D685" s="6">
        <v>2.8719999999999999</v>
      </c>
      <c r="E685" s="6">
        <v>4.2054</v>
      </c>
      <c r="F685" s="6">
        <v>45</v>
      </c>
    </row>
    <row r="686" spans="1:6" x14ac:dyDescent="0.25">
      <c r="A686" s="6" t="s">
        <v>1686</v>
      </c>
      <c r="B686" s="6">
        <v>1.1927000000000001</v>
      </c>
      <c r="C686" s="6">
        <v>37</v>
      </c>
      <c r="D686" s="6">
        <v>2.4203000000000001</v>
      </c>
      <c r="E686" s="6">
        <v>8.4763000000000002</v>
      </c>
      <c r="F686" s="6">
        <v>107</v>
      </c>
    </row>
    <row r="687" spans="1:6" x14ac:dyDescent="0.25">
      <c r="A687" s="6" t="s">
        <v>1687</v>
      </c>
      <c r="B687" s="6">
        <v>1.4224000000000001</v>
      </c>
      <c r="C687" s="6">
        <v>35</v>
      </c>
      <c r="D687" s="6">
        <v>3.1880999999999999</v>
      </c>
      <c r="E687" s="6">
        <v>8.3771000000000004</v>
      </c>
      <c r="F687" s="6">
        <v>90</v>
      </c>
    </row>
    <row r="688" spans="1:6" x14ac:dyDescent="0.25">
      <c r="A688" s="6" t="s">
        <v>1688</v>
      </c>
      <c r="B688" s="6">
        <v>1.5395000000000001</v>
      </c>
      <c r="C688" s="6">
        <v>39</v>
      </c>
      <c r="D688" s="6">
        <v>3.2323</v>
      </c>
      <c r="E688" s="6">
        <v>12.920199999999999</v>
      </c>
      <c r="F688" s="6">
        <v>168</v>
      </c>
    </row>
    <row r="689" spans="1:6" x14ac:dyDescent="0.25">
      <c r="A689" s="6" t="s">
        <v>1689</v>
      </c>
      <c r="B689" s="6">
        <v>0.84570000000000001</v>
      </c>
      <c r="C689" s="6">
        <v>25</v>
      </c>
      <c r="D689" s="6">
        <v>3.1827000000000001</v>
      </c>
      <c r="E689" s="6">
        <v>13.6762</v>
      </c>
      <c r="F689" s="6">
        <v>176</v>
      </c>
    </row>
    <row r="690" spans="1:6" x14ac:dyDescent="0.25">
      <c r="A690" s="6" t="s">
        <v>1690</v>
      </c>
      <c r="B690" s="6">
        <v>1.9890000000000001</v>
      </c>
      <c r="C690" s="6">
        <v>56</v>
      </c>
      <c r="D690" s="6">
        <v>2.4651000000000001</v>
      </c>
      <c r="E690" s="6">
        <v>15.9628</v>
      </c>
      <c r="F690" s="6">
        <v>214</v>
      </c>
    </row>
    <row r="691" spans="1:6" x14ac:dyDescent="0.25">
      <c r="A691" s="6" t="s">
        <v>1691</v>
      </c>
      <c r="B691" s="6">
        <v>1.1735</v>
      </c>
      <c r="C691" s="6">
        <v>33</v>
      </c>
      <c r="D691" s="6">
        <v>2.3883000000000001</v>
      </c>
      <c r="E691" s="6">
        <v>6.6708999999999996</v>
      </c>
      <c r="F691" s="6">
        <v>89</v>
      </c>
    </row>
    <row r="692" spans="1:6" x14ac:dyDescent="0.25">
      <c r="A692" s="6" t="s">
        <v>1692</v>
      </c>
      <c r="B692" s="6">
        <v>0.66839999999999999</v>
      </c>
      <c r="C692" s="6">
        <v>23</v>
      </c>
      <c r="D692" s="6">
        <v>2.2682000000000002</v>
      </c>
      <c r="E692" s="6">
        <v>5.7788000000000004</v>
      </c>
      <c r="F692" s="6">
        <v>71</v>
      </c>
    </row>
    <row r="693" spans="1:6" x14ac:dyDescent="0.25">
      <c r="A693" s="6" t="s">
        <v>1693</v>
      </c>
      <c r="B693" s="6">
        <v>1.1345000000000001</v>
      </c>
      <c r="C693" s="6">
        <v>30</v>
      </c>
      <c r="D693" s="6">
        <v>2.5716999999999999</v>
      </c>
      <c r="E693" s="6">
        <v>13.482699999999999</v>
      </c>
      <c r="F693" s="6">
        <v>222</v>
      </c>
    </row>
    <row r="694" spans="1:6" x14ac:dyDescent="0.25">
      <c r="A694" s="6" t="s">
        <v>1694</v>
      </c>
      <c r="B694" s="6">
        <v>1.4361999999999999</v>
      </c>
      <c r="C694" s="6">
        <v>44</v>
      </c>
      <c r="D694" s="6">
        <v>2.3134000000000001</v>
      </c>
      <c r="E694" s="6">
        <v>9.3694000000000006</v>
      </c>
      <c r="F694" s="6">
        <v>131</v>
      </c>
    </row>
    <row r="695" spans="1:6" x14ac:dyDescent="0.25">
      <c r="A695" s="6" t="s">
        <v>1695</v>
      </c>
      <c r="B695" s="6">
        <v>0.95630000000000004</v>
      </c>
      <c r="C695" s="6">
        <v>26</v>
      </c>
      <c r="D695" s="6">
        <v>3.1816</v>
      </c>
      <c r="E695" s="6">
        <v>4.5495999999999999</v>
      </c>
      <c r="F695" s="6">
        <v>44</v>
      </c>
    </row>
    <row r="696" spans="1:6" x14ac:dyDescent="0.25">
      <c r="A696" s="6" t="s">
        <v>1696</v>
      </c>
      <c r="B696" s="6">
        <v>1.3816999999999999</v>
      </c>
      <c r="C696" s="6">
        <v>44</v>
      </c>
      <c r="D696" s="6">
        <v>3.0581999999999998</v>
      </c>
      <c r="E696" s="6">
        <v>10.4155</v>
      </c>
      <c r="F696" s="6">
        <v>138</v>
      </c>
    </row>
    <row r="697" spans="1:6" x14ac:dyDescent="0.25">
      <c r="A697" s="6" t="s">
        <v>1697</v>
      </c>
      <c r="B697" s="6">
        <v>0.94989999999999997</v>
      </c>
      <c r="C697" s="6">
        <v>29</v>
      </c>
      <c r="D697" s="6">
        <v>3.0470999999999999</v>
      </c>
      <c r="E697" s="6">
        <v>8.1805000000000003</v>
      </c>
      <c r="F697" s="6">
        <v>92</v>
      </c>
    </row>
    <row r="698" spans="1:6" x14ac:dyDescent="0.25">
      <c r="A698" s="6" t="s">
        <v>1698</v>
      </c>
      <c r="B698" s="6">
        <v>0.98140000000000005</v>
      </c>
      <c r="C698" s="6">
        <v>31</v>
      </c>
      <c r="D698" s="6">
        <v>1.7048000000000001</v>
      </c>
      <c r="E698" s="6">
        <v>13.1816</v>
      </c>
      <c r="F698" s="6">
        <v>187</v>
      </c>
    </row>
    <row r="699" spans="1:6" x14ac:dyDescent="0.25">
      <c r="A699" s="6" t="s">
        <v>1699</v>
      </c>
      <c r="B699" s="6">
        <v>0.62570000000000003</v>
      </c>
      <c r="C699" s="6">
        <v>22</v>
      </c>
      <c r="D699" s="6">
        <v>1.8002</v>
      </c>
      <c r="E699" s="6">
        <v>3.5611000000000002</v>
      </c>
      <c r="F699" s="6">
        <v>36</v>
      </c>
    </row>
    <row r="700" spans="1:6" x14ac:dyDescent="0.25">
      <c r="A700" s="6" t="s">
        <v>1700</v>
      </c>
      <c r="B700" s="6">
        <v>0.88749999999999996</v>
      </c>
      <c r="C700" s="6">
        <v>24</v>
      </c>
      <c r="D700" s="6">
        <v>2.2357999999999998</v>
      </c>
      <c r="E700" s="6">
        <v>8.0114999999999998</v>
      </c>
      <c r="F700" s="6">
        <v>112</v>
      </c>
    </row>
    <row r="701" spans="1:6" x14ac:dyDescent="0.25">
      <c r="A701" s="6" t="s">
        <v>1701</v>
      </c>
      <c r="B701" s="6">
        <v>1.794</v>
      </c>
      <c r="C701" s="6">
        <v>46</v>
      </c>
      <c r="D701" s="6">
        <v>2.2166000000000001</v>
      </c>
      <c r="E701" s="6">
        <v>9.6041000000000007</v>
      </c>
      <c r="F701" s="6">
        <v>134</v>
      </c>
    </row>
    <row r="702" spans="1:6" x14ac:dyDescent="0.25">
      <c r="A702" s="6" t="s">
        <v>1702</v>
      </c>
      <c r="B702" s="6">
        <v>1.2157</v>
      </c>
      <c r="C702" s="6">
        <v>30</v>
      </c>
      <c r="D702" s="6">
        <v>2.6951999999999998</v>
      </c>
      <c r="E702" s="6">
        <v>5.5357000000000003</v>
      </c>
      <c r="F702" s="6">
        <v>67</v>
      </c>
    </row>
    <row r="703" spans="1:6" x14ac:dyDescent="0.25">
      <c r="A703" s="6" t="s">
        <v>1703</v>
      </c>
      <c r="B703" s="6">
        <v>3.9167999999999998</v>
      </c>
      <c r="C703" s="6">
        <v>62</v>
      </c>
      <c r="D703" s="6">
        <v>4.4889000000000001</v>
      </c>
      <c r="E703" s="6">
        <v>22.291599999999999</v>
      </c>
      <c r="F703" s="6">
        <v>251</v>
      </c>
    </row>
    <row r="704" spans="1:6" x14ac:dyDescent="0.25">
      <c r="A704" s="6" t="s">
        <v>1704</v>
      </c>
      <c r="B704" s="6">
        <v>1.1391</v>
      </c>
      <c r="C704" s="6">
        <v>35</v>
      </c>
      <c r="D704" s="6">
        <v>1.9320999999999999</v>
      </c>
      <c r="E704" s="6">
        <v>8.6018000000000008</v>
      </c>
      <c r="F704" s="6">
        <v>123</v>
      </c>
    </row>
    <row r="705" spans="1:6" x14ac:dyDescent="0.25">
      <c r="A705" s="6" t="s">
        <v>1705</v>
      </c>
      <c r="B705" s="6">
        <v>0.76080000000000003</v>
      </c>
      <c r="C705" s="6">
        <v>22</v>
      </c>
      <c r="D705" s="6">
        <v>2.0497000000000001</v>
      </c>
      <c r="E705" s="6">
        <v>11.312799999999999</v>
      </c>
      <c r="F705" s="6">
        <v>180</v>
      </c>
    </row>
    <row r="706" spans="1:6" x14ac:dyDescent="0.25">
      <c r="A706" s="6" t="s">
        <v>1706</v>
      </c>
      <c r="B706" s="6">
        <v>0.63239999999999996</v>
      </c>
      <c r="C706" s="6">
        <v>20</v>
      </c>
      <c r="D706" s="6">
        <v>2.1882999999999999</v>
      </c>
      <c r="E706" s="6">
        <v>4.4600999999999997</v>
      </c>
      <c r="F706" s="6">
        <v>49</v>
      </c>
    </row>
    <row r="707" spans="1:6" x14ac:dyDescent="0.25">
      <c r="A707" s="6" t="s">
        <v>1707</v>
      </c>
      <c r="B707" s="6">
        <v>1.2847</v>
      </c>
      <c r="C707" s="6">
        <v>36</v>
      </c>
      <c r="D707" s="6">
        <v>2.5884</v>
      </c>
      <c r="E707" s="6">
        <v>7.0331000000000001</v>
      </c>
      <c r="F707" s="6">
        <v>68</v>
      </c>
    </row>
    <row r="708" spans="1:6" x14ac:dyDescent="0.25">
      <c r="A708" s="6" t="s">
        <v>1708</v>
      </c>
      <c r="B708" s="6">
        <v>1.1935</v>
      </c>
      <c r="C708" s="6">
        <v>34</v>
      </c>
      <c r="D708" s="6">
        <v>2.5215999999999998</v>
      </c>
      <c r="E708" s="6">
        <v>5.3155999999999999</v>
      </c>
      <c r="F708" s="6">
        <v>60</v>
      </c>
    </row>
    <row r="709" spans="1:6" x14ac:dyDescent="0.25">
      <c r="A709" s="6" t="s">
        <v>1709</v>
      </c>
      <c r="B709" s="6">
        <v>0.9657</v>
      </c>
      <c r="C709" s="6">
        <v>24</v>
      </c>
      <c r="D709" s="6">
        <v>3.1408</v>
      </c>
      <c r="E709" s="6">
        <v>5.8834999999999997</v>
      </c>
      <c r="F709" s="6">
        <v>58</v>
      </c>
    </row>
    <row r="710" spans="1:6" x14ac:dyDescent="0.25">
      <c r="A710" s="6" t="s">
        <v>1710</v>
      </c>
      <c r="B710" s="6">
        <v>2.9722</v>
      </c>
      <c r="C710" s="6">
        <v>66</v>
      </c>
      <c r="D710" s="6">
        <v>3.3681000000000001</v>
      </c>
      <c r="E710" s="6">
        <v>12.024100000000001</v>
      </c>
      <c r="F710" s="6">
        <v>158</v>
      </c>
    </row>
    <row r="711" spans="1:6" x14ac:dyDescent="0.25">
      <c r="A711" s="6" t="s">
        <v>1711</v>
      </c>
      <c r="B711" s="6">
        <v>1.6424000000000001</v>
      </c>
      <c r="C711" s="6">
        <v>40</v>
      </c>
      <c r="D711" s="6">
        <v>2.7050999999999998</v>
      </c>
      <c r="E711" s="6">
        <v>10.642099999999999</v>
      </c>
      <c r="F711" s="6">
        <v>151</v>
      </c>
    </row>
    <row r="712" spans="1:6" x14ac:dyDescent="0.25">
      <c r="A712" s="6" t="s">
        <v>1712</v>
      </c>
      <c r="B712" s="6">
        <v>1.1222000000000001</v>
      </c>
      <c r="C712" s="6">
        <v>32</v>
      </c>
      <c r="D712" s="6">
        <v>2.8106</v>
      </c>
      <c r="E712" s="6">
        <v>11.2897</v>
      </c>
      <c r="F712" s="6">
        <v>163</v>
      </c>
    </row>
    <row r="713" spans="1:6" x14ac:dyDescent="0.25">
      <c r="A713" s="6" t="s">
        <v>1713</v>
      </c>
      <c r="B713" s="6">
        <v>1.1393</v>
      </c>
      <c r="C713" s="6">
        <v>31</v>
      </c>
      <c r="D713" s="6">
        <v>2.7088999999999999</v>
      </c>
      <c r="E713" s="6">
        <v>13.9107</v>
      </c>
      <c r="F713" s="6">
        <v>202</v>
      </c>
    </row>
    <row r="714" spans="1:6" x14ac:dyDescent="0.25">
      <c r="A714" s="6" t="s">
        <v>1714</v>
      </c>
      <c r="B714" s="6">
        <v>1.4106000000000001</v>
      </c>
      <c r="C714" s="6">
        <v>36</v>
      </c>
      <c r="D714" s="6">
        <v>2.8959000000000001</v>
      </c>
      <c r="E714" s="6">
        <v>8.2600999999999996</v>
      </c>
      <c r="F714" s="6">
        <v>104</v>
      </c>
    </row>
    <row r="715" spans="1:6" x14ac:dyDescent="0.25">
      <c r="A715" s="6" t="s">
        <v>1715</v>
      </c>
      <c r="B715" s="6">
        <v>1.5296000000000001</v>
      </c>
      <c r="C715" s="6">
        <v>44</v>
      </c>
      <c r="D715" s="6">
        <v>2.2193000000000001</v>
      </c>
      <c r="E715" s="6">
        <v>5.5582000000000003</v>
      </c>
      <c r="F715" s="6">
        <v>61</v>
      </c>
    </row>
    <row r="716" spans="1:6" x14ac:dyDescent="0.25">
      <c r="A716" s="6" t="s">
        <v>1716</v>
      </c>
      <c r="B716" s="6">
        <v>1.1486000000000001</v>
      </c>
      <c r="C716" s="6">
        <v>30</v>
      </c>
      <c r="D716" s="6">
        <v>2.4836999999999998</v>
      </c>
      <c r="E716" s="6">
        <v>8.49</v>
      </c>
      <c r="F716" s="6">
        <v>134</v>
      </c>
    </row>
    <row r="717" spans="1:6" x14ac:dyDescent="0.25">
      <c r="A717" s="6" t="s">
        <v>1717</v>
      </c>
      <c r="B717" s="6">
        <v>2.0743</v>
      </c>
      <c r="C717" s="6">
        <v>59</v>
      </c>
      <c r="D717" s="6">
        <v>2.9769000000000001</v>
      </c>
      <c r="E717" s="6">
        <v>7.7539999999999996</v>
      </c>
      <c r="F717" s="6">
        <v>89</v>
      </c>
    </row>
    <row r="718" spans="1:6" x14ac:dyDescent="0.25">
      <c r="A718" s="6" t="s">
        <v>1718</v>
      </c>
      <c r="B718" s="6">
        <v>0.66169999999999995</v>
      </c>
      <c r="C718" s="6">
        <v>21</v>
      </c>
      <c r="D718" s="6">
        <v>2.3715000000000002</v>
      </c>
      <c r="E718" s="6">
        <v>5.6296999999999997</v>
      </c>
      <c r="F718" s="6">
        <v>68</v>
      </c>
    </row>
    <row r="719" spans="1:6" x14ac:dyDescent="0.25">
      <c r="A719" s="6" t="s">
        <v>1719</v>
      </c>
      <c r="B719" s="6">
        <v>1.2159</v>
      </c>
      <c r="C719" s="6">
        <v>33</v>
      </c>
      <c r="D719" s="6">
        <v>2.5792000000000002</v>
      </c>
      <c r="E719" s="6">
        <v>9.0637000000000008</v>
      </c>
      <c r="F719" s="6">
        <v>133</v>
      </c>
    </row>
    <row r="720" spans="1:6" x14ac:dyDescent="0.25">
      <c r="A720" s="6" t="s">
        <v>1720</v>
      </c>
      <c r="B720" s="6">
        <v>1.359</v>
      </c>
      <c r="C720" s="6">
        <v>40</v>
      </c>
      <c r="D720" s="6">
        <v>2.6732999999999998</v>
      </c>
      <c r="E720" s="6">
        <v>7.5545</v>
      </c>
      <c r="F720" s="6">
        <v>61</v>
      </c>
    </row>
    <row r="721" spans="1:6" x14ac:dyDescent="0.25">
      <c r="A721" s="6" t="s">
        <v>1721</v>
      </c>
      <c r="B721" s="6">
        <v>1.3705000000000001</v>
      </c>
      <c r="C721" s="6">
        <v>34</v>
      </c>
      <c r="D721" s="6">
        <v>2.6713</v>
      </c>
      <c r="E721" s="6">
        <v>5.7503000000000002</v>
      </c>
      <c r="F721" s="6">
        <v>52</v>
      </c>
    </row>
    <row r="722" spans="1:6" x14ac:dyDescent="0.25">
      <c r="A722" s="6" t="s">
        <v>1722</v>
      </c>
      <c r="B722" s="6">
        <v>2.0047000000000001</v>
      </c>
      <c r="C722" s="6">
        <v>49</v>
      </c>
      <c r="D722" s="6">
        <v>3.0024000000000002</v>
      </c>
      <c r="E722" s="6">
        <v>5.8514999999999997</v>
      </c>
      <c r="F722" s="6">
        <v>62</v>
      </c>
    </row>
    <row r="723" spans="1:6" x14ac:dyDescent="0.25">
      <c r="A723" s="6" t="s">
        <v>1723</v>
      </c>
      <c r="B723" s="6">
        <v>1.3665</v>
      </c>
      <c r="C723" s="6">
        <v>38</v>
      </c>
      <c r="D723" s="6">
        <v>2.7446000000000002</v>
      </c>
      <c r="E723" s="6">
        <v>12.6046</v>
      </c>
      <c r="F723" s="6">
        <v>152</v>
      </c>
    </row>
    <row r="724" spans="1:6" x14ac:dyDescent="0.25">
      <c r="A724" s="6" t="s">
        <v>1724</v>
      </c>
      <c r="B724" s="6">
        <v>1.2302999999999999</v>
      </c>
      <c r="C724" s="6">
        <v>38</v>
      </c>
      <c r="D724" s="6">
        <v>2.4527000000000001</v>
      </c>
      <c r="E724" s="6">
        <v>8.0033999999999992</v>
      </c>
      <c r="F724" s="6">
        <v>106</v>
      </c>
    </row>
    <row r="725" spans="1:6" x14ac:dyDescent="0.25">
      <c r="A725" s="6" t="s">
        <v>1725</v>
      </c>
      <c r="B725" s="6">
        <v>1.0713999999999999</v>
      </c>
      <c r="C725" s="6">
        <v>33</v>
      </c>
      <c r="D725" s="6">
        <v>2.2517</v>
      </c>
      <c r="E725" s="6">
        <v>8.8305000000000007</v>
      </c>
      <c r="F725" s="6">
        <v>145</v>
      </c>
    </row>
    <row r="726" spans="1:6" x14ac:dyDescent="0.25">
      <c r="A726" s="6" t="s">
        <v>1726</v>
      </c>
      <c r="B726" s="6">
        <v>1.0750999999999999</v>
      </c>
      <c r="C726" s="6">
        <v>31</v>
      </c>
      <c r="D726" s="6">
        <v>2.5325000000000002</v>
      </c>
      <c r="E726" s="6">
        <v>8.6452000000000009</v>
      </c>
      <c r="F726" s="6">
        <v>115</v>
      </c>
    </row>
    <row r="727" spans="1:6" x14ac:dyDescent="0.25">
      <c r="A727" s="6" t="s">
        <v>1727</v>
      </c>
      <c r="B727" s="6">
        <v>1.7101999999999999</v>
      </c>
      <c r="C727" s="6">
        <v>47</v>
      </c>
      <c r="D727" s="6">
        <v>2.3010999999999999</v>
      </c>
      <c r="E727" s="6">
        <v>6.9622999999999999</v>
      </c>
      <c r="F727" s="6">
        <v>90</v>
      </c>
    </row>
    <row r="728" spans="1:6" x14ac:dyDescent="0.25">
      <c r="A728" s="6" t="s">
        <v>1728</v>
      </c>
      <c r="B728" s="6">
        <v>1.8624000000000001</v>
      </c>
      <c r="C728" s="6">
        <v>49</v>
      </c>
      <c r="D728" s="6">
        <v>2.3959000000000001</v>
      </c>
      <c r="E728" s="6">
        <v>10.700200000000001</v>
      </c>
      <c r="F728" s="6">
        <v>136</v>
      </c>
    </row>
    <row r="729" spans="1:6" x14ac:dyDescent="0.25">
      <c r="A729" s="6" t="s">
        <v>1729</v>
      </c>
      <c r="B729" s="6">
        <v>1.1240000000000001</v>
      </c>
      <c r="C729" s="6">
        <v>31</v>
      </c>
      <c r="D729" s="6">
        <v>2.7212999999999998</v>
      </c>
      <c r="E729" s="6">
        <v>7.3289</v>
      </c>
      <c r="F729" s="6">
        <v>98</v>
      </c>
    </row>
    <row r="730" spans="1:6" x14ac:dyDescent="0.25">
      <c r="A730" s="6" t="s">
        <v>1730</v>
      </c>
      <c r="B730" s="6">
        <v>1.3942000000000001</v>
      </c>
      <c r="C730" s="6">
        <v>42</v>
      </c>
      <c r="D730" s="6">
        <v>2.5598999999999998</v>
      </c>
      <c r="E730" s="6">
        <v>9.5211000000000006</v>
      </c>
      <c r="F730" s="6">
        <v>121</v>
      </c>
    </row>
    <row r="731" spans="1:6" x14ac:dyDescent="0.25">
      <c r="A731" s="6" t="s">
        <v>1731</v>
      </c>
      <c r="B731" s="6">
        <v>0.87180000000000002</v>
      </c>
      <c r="C731" s="6">
        <v>22</v>
      </c>
      <c r="D731" s="6">
        <v>2.8494999999999999</v>
      </c>
      <c r="E731" s="6">
        <v>5.3178000000000001</v>
      </c>
      <c r="F731" s="6">
        <v>62</v>
      </c>
    </row>
    <row r="732" spans="1:6" x14ac:dyDescent="0.25">
      <c r="A732" s="6" t="s">
        <v>1732</v>
      </c>
      <c r="B732" s="6">
        <v>0.92889999999999995</v>
      </c>
      <c r="C732" s="6">
        <v>27</v>
      </c>
      <c r="D732" s="6">
        <v>2.9864999999999999</v>
      </c>
      <c r="E732" s="6">
        <v>6.3852000000000002</v>
      </c>
      <c r="F732" s="6">
        <v>66</v>
      </c>
    </row>
    <row r="733" spans="1:6" x14ac:dyDescent="0.25">
      <c r="A733" s="6" t="s">
        <v>1733</v>
      </c>
      <c r="B733" s="6">
        <v>1.8151999999999999</v>
      </c>
      <c r="C733" s="6">
        <v>49</v>
      </c>
      <c r="D733" s="6">
        <v>2.8391999999999999</v>
      </c>
      <c r="E733" s="6">
        <v>12.548999999999999</v>
      </c>
      <c r="F733" s="6">
        <v>178</v>
      </c>
    </row>
    <row r="734" spans="1:6" x14ac:dyDescent="0.25">
      <c r="A734" s="6" t="s">
        <v>1734</v>
      </c>
      <c r="B734" s="6">
        <v>1.3617999999999999</v>
      </c>
      <c r="C734" s="6">
        <v>36</v>
      </c>
      <c r="D734" s="6">
        <v>2.4094000000000002</v>
      </c>
      <c r="E734" s="6">
        <v>10.125500000000001</v>
      </c>
      <c r="F734" s="6">
        <v>122</v>
      </c>
    </row>
    <row r="735" spans="1:6" x14ac:dyDescent="0.25">
      <c r="A735" s="6" t="s">
        <v>1735</v>
      </c>
      <c r="B735" s="6">
        <v>1.7867</v>
      </c>
      <c r="C735" s="6">
        <v>45</v>
      </c>
      <c r="D735" s="6">
        <v>2.7418</v>
      </c>
      <c r="E735" s="6">
        <v>12.597300000000001</v>
      </c>
      <c r="F735" s="6">
        <v>187</v>
      </c>
    </row>
    <row r="736" spans="1:6" x14ac:dyDescent="0.25">
      <c r="A736" s="6" t="s">
        <v>1736</v>
      </c>
      <c r="B736" s="6">
        <v>0.90880000000000005</v>
      </c>
      <c r="C736" s="6">
        <v>27</v>
      </c>
      <c r="D736" s="6">
        <v>1.9538</v>
      </c>
      <c r="E736" s="6">
        <v>11.0923</v>
      </c>
      <c r="F736" s="6">
        <v>147</v>
      </c>
    </row>
    <row r="737" spans="1:6" x14ac:dyDescent="0.25">
      <c r="A737" s="6" t="s">
        <v>1737</v>
      </c>
      <c r="B737" s="6">
        <v>1.0125</v>
      </c>
      <c r="C737" s="6">
        <v>25</v>
      </c>
      <c r="D737" s="6">
        <v>2.1078999999999999</v>
      </c>
      <c r="E737" s="6">
        <v>8.7796000000000003</v>
      </c>
      <c r="F737" s="6">
        <v>118</v>
      </c>
    </row>
    <row r="738" spans="1:6" x14ac:dyDescent="0.25">
      <c r="A738" s="6" t="s">
        <v>1738</v>
      </c>
      <c r="B738" s="6">
        <v>0.89780000000000004</v>
      </c>
      <c r="C738" s="6">
        <v>24</v>
      </c>
      <c r="D738" s="6">
        <v>2.0081000000000002</v>
      </c>
      <c r="E738" s="6">
        <v>5.0397999999999996</v>
      </c>
      <c r="F738" s="6">
        <v>59</v>
      </c>
    </row>
    <row r="739" spans="1:6" x14ac:dyDescent="0.25">
      <c r="A739" s="6" t="s">
        <v>1739</v>
      </c>
      <c r="B739" s="6">
        <v>1.2827999999999999</v>
      </c>
      <c r="C739" s="6">
        <v>32</v>
      </c>
      <c r="D739" s="6">
        <v>2.903</v>
      </c>
      <c r="E739" s="6">
        <v>6.7812999999999999</v>
      </c>
      <c r="F739" s="6">
        <v>84</v>
      </c>
    </row>
    <row r="740" spans="1:6" x14ac:dyDescent="0.25">
      <c r="A740" s="6" t="s">
        <v>1740</v>
      </c>
      <c r="B740" s="6">
        <v>2.0836000000000001</v>
      </c>
      <c r="C740" s="6">
        <v>39</v>
      </c>
      <c r="D740" s="6">
        <v>4.1036999999999999</v>
      </c>
      <c r="E740" s="6">
        <v>13.5238</v>
      </c>
      <c r="F740" s="6">
        <v>136</v>
      </c>
    </row>
    <row r="741" spans="1:6" x14ac:dyDescent="0.25">
      <c r="A741" s="6" t="s">
        <v>1741</v>
      </c>
      <c r="B741" s="6">
        <v>1.4329000000000001</v>
      </c>
      <c r="C741" s="6">
        <v>35</v>
      </c>
      <c r="D741" s="6">
        <v>2.5276999999999998</v>
      </c>
      <c r="E741" s="6">
        <v>8.8902999999999999</v>
      </c>
      <c r="F741" s="6">
        <v>131</v>
      </c>
    </row>
    <row r="742" spans="1:6" x14ac:dyDescent="0.25">
      <c r="A742" s="6" t="s">
        <v>1742</v>
      </c>
      <c r="B742" s="6">
        <v>0.78739999999999999</v>
      </c>
      <c r="C742" s="6">
        <v>24</v>
      </c>
      <c r="D742" s="6">
        <v>2.1509</v>
      </c>
      <c r="E742" s="6">
        <v>10.0969</v>
      </c>
      <c r="F742" s="6">
        <v>141</v>
      </c>
    </row>
    <row r="743" spans="1:6" x14ac:dyDescent="0.25">
      <c r="A743" s="6" t="s">
        <v>1743</v>
      </c>
      <c r="B743" s="6">
        <v>0.68820000000000003</v>
      </c>
      <c r="C743" s="6">
        <v>22</v>
      </c>
      <c r="D743" s="6">
        <v>1.9684999999999999</v>
      </c>
      <c r="E743" s="6">
        <v>3.8740999999999999</v>
      </c>
      <c r="F743" s="6">
        <v>51</v>
      </c>
    </row>
    <row r="744" spans="1:6" x14ac:dyDescent="0.25">
      <c r="A744" s="6" t="s">
        <v>1744</v>
      </c>
      <c r="B744" s="6">
        <v>1.3806</v>
      </c>
      <c r="C744" s="6">
        <v>40</v>
      </c>
      <c r="D744" s="6">
        <v>2.1716000000000002</v>
      </c>
      <c r="E744" s="6">
        <v>0.86029999999999995</v>
      </c>
      <c r="F744" s="6">
        <v>3</v>
      </c>
    </row>
    <row r="745" spans="1:6" x14ac:dyDescent="0.25">
      <c r="A745" s="6" t="s">
        <v>1745</v>
      </c>
      <c r="B745" s="6">
        <v>1.7011000000000001</v>
      </c>
      <c r="C745" s="6">
        <v>38</v>
      </c>
      <c r="D745" s="6">
        <v>2.9916</v>
      </c>
      <c r="E745" s="6">
        <v>17.430199999999999</v>
      </c>
      <c r="F745" s="6">
        <v>264</v>
      </c>
    </row>
    <row r="746" spans="1:6" x14ac:dyDescent="0.25">
      <c r="A746" s="6" t="s">
        <v>1746</v>
      </c>
      <c r="B746" s="6">
        <v>1.4363999999999999</v>
      </c>
      <c r="C746" s="6">
        <v>39</v>
      </c>
      <c r="D746" s="6">
        <v>1.7841</v>
      </c>
      <c r="E746" s="6">
        <v>12.007899999999999</v>
      </c>
      <c r="F746" s="6">
        <v>192</v>
      </c>
    </row>
    <row r="747" spans="1:6" x14ac:dyDescent="0.25">
      <c r="A747" s="6" t="s">
        <v>1747</v>
      </c>
      <c r="B747" s="6">
        <v>1.6144000000000001</v>
      </c>
      <c r="C747" s="6">
        <v>45</v>
      </c>
      <c r="D747" s="6">
        <v>2.6110000000000002</v>
      </c>
      <c r="E747" s="6">
        <v>17.0579</v>
      </c>
      <c r="F747" s="6">
        <v>223</v>
      </c>
    </row>
    <row r="748" spans="1:6" x14ac:dyDescent="0.25">
      <c r="A748" s="6" t="s">
        <v>1748</v>
      </c>
      <c r="B748" s="6">
        <v>1.4231</v>
      </c>
      <c r="C748" s="6">
        <v>35</v>
      </c>
      <c r="D748" s="6">
        <v>2.9020999999999999</v>
      </c>
      <c r="E748" s="6">
        <v>6.3247999999999998</v>
      </c>
      <c r="F748" s="6">
        <v>76</v>
      </c>
    </row>
    <row r="749" spans="1:6" x14ac:dyDescent="0.25">
      <c r="A749" s="6" t="s">
        <v>1749</v>
      </c>
      <c r="B749" s="6">
        <v>1.9710000000000001</v>
      </c>
      <c r="C749" s="6">
        <v>55</v>
      </c>
      <c r="D749" s="6">
        <v>2.8654999999999999</v>
      </c>
      <c r="E749" s="6">
        <v>5.5891999999999999</v>
      </c>
      <c r="F749" s="6">
        <v>59</v>
      </c>
    </row>
    <row r="750" spans="1:6" x14ac:dyDescent="0.25">
      <c r="A750" s="6" t="s">
        <v>1750</v>
      </c>
      <c r="B750" s="6">
        <v>2.0958000000000001</v>
      </c>
      <c r="C750" s="6">
        <v>56</v>
      </c>
      <c r="D750" s="6">
        <v>2.4386000000000001</v>
      </c>
      <c r="E750" s="6">
        <v>10.6295</v>
      </c>
      <c r="F750" s="6">
        <v>144</v>
      </c>
    </row>
    <row r="751" spans="1:6" x14ac:dyDescent="0.25">
      <c r="A751" s="6" t="s">
        <v>1751</v>
      </c>
      <c r="B751" s="6">
        <v>1.5752999999999999</v>
      </c>
      <c r="C751" s="6">
        <v>40</v>
      </c>
      <c r="D751" s="6">
        <v>2.7820999999999998</v>
      </c>
      <c r="E751" s="6">
        <v>10.057600000000001</v>
      </c>
      <c r="F751" s="6">
        <v>143</v>
      </c>
    </row>
    <row r="752" spans="1:6" x14ac:dyDescent="0.25">
      <c r="A752" s="6" t="s">
        <v>1752</v>
      </c>
      <c r="B752" s="6">
        <v>1.2907999999999999</v>
      </c>
      <c r="C752" s="6">
        <v>39</v>
      </c>
      <c r="D752" s="6">
        <v>2.7320000000000002</v>
      </c>
      <c r="E752" s="6">
        <v>11.040699999999999</v>
      </c>
      <c r="F752" s="6">
        <v>147</v>
      </c>
    </row>
    <row r="753" spans="1:6" x14ac:dyDescent="0.25">
      <c r="A753" s="6" t="s">
        <v>1753</v>
      </c>
      <c r="B753" s="6">
        <v>1.2744</v>
      </c>
      <c r="C753" s="6">
        <v>38</v>
      </c>
      <c r="D753" s="6">
        <v>2.9670000000000001</v>
      </c>
      <c r="E753" s="6">
        <v>9.3290000000000006</v>
      </c>
      <c r="F753" s="6">
        <v>108</v>
      </c>
    </row>
    <row r="754" spans="1:6" x14ac:dyDescent="0.25">
      <c r="A754" s="6" t="s">
        <v>1754</v>
      </c>
      <c r="B754" s="6">
        <v>1.8269</v>
      </c>
      <c r="C754" s="6">
        <v>51</v>
      </c>
      <c r="D754" s="6">
        <v>2.9538000000000002</v>
      </c>
      <c r="E754" s="6">
        <v>8.7593999999999994</v>
      </c>
      <c r="F754" s="6">
        <v>107</v>
      </c>
    </row>
    <row r="755" spans="1:6" x14ac:dyDescent="0.25">
      <c r="A755" s="6" t="s">
        <v>1755</v>
      </c>
      <c r="B755" s="6">
        <v>0.83489999999999998</v>
      </c>
      <c r="C755" s="6">
        <v>26</v>
      </c>
      <c r="D755" s="6">
        <v>1.7663</v>
      </c>
      <c r="E755" s="6">
        <v>8.5234000000000005</v>
      </c>
      <c r="F755" s="6">
        <v>141</v>
      </c>
    </row>
    <row r="756" spans="1:6" x14ac:dyDescent="0.25">
      <c r="A756" s="6" t="s">
        <v>1756</v>
      </c>
      <c r="B756" s="6">
        <v>1.4852000000000001</v>
      </c>
      <c r="C756" s="6">
        <v>38</v>
      </c>
      <c r="D756" s="6">
        <v>2.8433999999999999</v>
      </c>
      <c r="E756" s="6">
        <v>6.7877999999999998</v>
      </c>
      <c r="F756" s="6">
        <v>92</v>
      </c>
    </row>
    <row r="757" spans="1:6" x14ac:dyDescent="0.25">
      <c r="A757" s="6" t="s">
        <v>1757</v>
      </c>
      <c r="B757" s="6">
        <v>1.3439000000000001</v>
      </c>
      <c r="C757" s="6">
        <v>37</v>
      </c>
      <c r="D757" s="6">
        <v>2.4965000000000002</v>
      </c>
      <c r="E757" s="6">
        <v>13.2188</v>
      </c>
      <c r="F757" s="6">
        <v>196</v>
      </c>
    </row>
    <row r="758" spans="1:6" x14ac:dyDescent="0.25">
      <c r="A758" s="6" t="s">
        <v>1758</v>
      </c>
      <c r="B758" s="6">
        <v>0.89900000000000002</v>
      </c>
      <c r="C758" s="6">
        <v>27</v>
      </c>
      <c r="D758" s="6">
        <v>2.5830000000000002</v>
      </c>
      <c r="E758" s="6">
        <v>6.1794000000000002</v>
      </c>
      <c r="F758" s="6">
        <v>71</v>
      </c>
    </row>
    <row r="759" spans="1:6" x14ac:dyDescent="0.25">
      <c r="A759" s="6" t="s">
        <v>1759</v>
      </c>
      <c r="B759" s="6">
        <v>2.7199</v>
      </c>
      <c r="C759" s="6">
        <v>54</v>
      </c>
      <c r="D759" s="6">
        <v>3.9249999999999998</v>
      </c>
      <c r="E759" s="6">
        <v>12.289199999999999</v>
      </c>
      <c r="F759" s="6">
        <v>155</v>
      </c>
    </row>
    <row r="760" spans="1:6" x14ac:dyDescent="0.25">
      <c r="A760" s="6" t="s">
        <v>1760</v>
      </c>
      <c r="B760" s="6">
        <v>1.3993</v>
      </c>
      <c r="C760" s="6">
        <v>40</v>
      </c>
      <c r="D760" s="6">
        <v>2.1269999999999998</v>
      </c>
      <c r="E760" s="6">
        <v>7.9981999999999998</v>
      </c>
      <c r="F760" s="6">
        <v>127</v>
      </c>
    </row>
    <row r="761" spans="1:6" x14ac:dyDescent="0.25">
      <c r="A761" s="6" t="s">
        <v>1761</v>
      </c>
      <c r="B761" s="6">
        <v>0.79949999999999999</v>
      </c>
      <c r="C761" s="6">
        <v>21</v>
      </c>
      <c r="D761" s="6">
        <v>2.2082000000000002</v>
      </c>
      <c r="E761" s="6">
        <v>8.3941999999999997</v>
      </c>
      <c r="F761" s="6">
        <v>140</v>
      </c>
    </row>
    <row r="762" spans="1:6" x14ac:dyDescent="0.25">
      <c r="A762" s="6" t="s">
        <v>1762</v>
      </c>
      <c r="B762" s="6">
        <v>0.61140000000000005</v>
      </c>
      <c r="C762" s="6">
        <v>21</v>
      </c>
      <c r="D762" s="6">
        <v>1.9833000000000001</v>
      </c>
      <c r="E762" s="6">
        <v>9.0900999999999996</v>
      </c>
      <c r="F762" s="6">
        <v>130</v>
      </c>
    </row>
    <row r="763" spans="1:6" x14ac:dyDescent="0.25">
      <c r="A763" s="6" t="s">
        <v>1763</v>
      </c>
      <c r="B763" s="6">
        <v>0.67749999999999999</v>
      </c>
      <c r="C763" s="6">
        <v>21</v>
      </c>
      <c r="D763" s="6">
        <v>2.3149999999999999</v>
      </c>
      <c r="E763" s="6">
        <v>5.4554999999999998</v>
      </c>
      <c r="F763" s="6">
        <v>68</v>
      </c>
    </row>
    <row r="764" spans="1:6" x14ac:dyDescent="0.25">
      <c r="A764" s="6" t="s">
        <v>1764</v>
      </c>
      <c r="B764" s="6">
        <v>1.2295</v>
      </c>
      <c r="C764" s="6">
        <v>32</v>
      </c>
      <c r="D764" s="6">
        <v>2.7707000000000002</v>
      </c>
      <c r="E764" s="6">
        <v>11.8954</v>
      </c>
      <c r="F764" s="6">
        <v>179</v>
      </c>
    </row>
    <row r="765" spans="1:6" x14ac:dyDescent="0.25">
      <c r="A765" s="6" t="s">
        <v>1765</v>
      </c>
      <c r="B765" s="6">
        <v>1.3604000000000001</v>
      </c>
      <c r="C765" s="6">
        <v>37</v>
      </c>
      <c r="D765" s="6">
        <v>2.6669999999999998</v>
      </c>
      <c r="E765" s="6">
        <v>14.688000000000001</v>
      </c>
      <c r="F765" s="6">
        <v>208</v>
      </c>
    </row>
    <row r="766" spans="1:6" x14ac:dyDescent="0.25">
      <c r="A766" s="6" t="s">
        <v>1766</v>
      </c>
      <c r="B766" s="6">
        <v>2.4295</v>
      </c>
      <c r="C766" s="6">
        <v>59</v>
      </c>
      <c r="D766" s="6">
        <v>2.4037999999999999</v>
      </c>
      <c r="E766" s="6">
        <v>7.2484999999999999</v>
      </c>
      <c r="F766" s="6">
        <v>90</v>
      </c>
    </row>
    <row r="767" spans="1:6" x14ac:dyDescent="0.25">
      <c r="A767" s="6" t="s">
        <v>1767</v>
      </c>
      <c r="B767" s="6">
        <v>0.94450000000000001</v>
      </c>
      <c r="C767" s="6">
        <v>26</v>
      </c>
      <c r="D767" s="6">
        <v>2.2755000000000001</v>
      </c>
      <c r="E767" s="6">
        <v>9.6403999999999996</v>
      </c>
      <c r="F767" s="6">
        <v>145</v>
      </c>
    </row>
    <row r="768" spans="1:6" x14ac:dyDescent="0.25">
      <c r="A768" s="6" t="s">
        <v>1768</v>
      </c>
      <c r="B768" s="6">
        <v>1.3192999999999999</v>
      </c>
      <c r="C768" s="6">
        <v>38</v>
      </c>
      <c r="D768" s="6">
        <v>3.51</v>
      </c>
      <c r="E768" s="6">
        <v>10.725</v>
      </c>
      <c r="F768" s="6">
        <v>130</v>
      </c>
    </row>
    <row r="769" spans="1:6" x14ac:dyDescent="0.25">
      <c r="A769" s="6" t="s">
        <v>1769</v>
      </c>
      <c r="B769" s="6">
        <v>1.2391000000000001</v>
      </c>
      <c r="C769" s="6">
        <v>34</v>
      </c>
      <c r="D769" s="6">
        <v>2.7612999999999999</v>
      </c>
      <c r="E769" s="6">
        <v>8.9656000000000002</v>
      </c>
      <c r="F769" s="6">
        <v>134</v>
      </c>
    </row>
    <row r="770" spans="1:6" x14ac:dyDescent="0.25">
      <c r="A770" s="6" t="s">
        <v>1770</v>
      </c>
      <c r="B770" s="6">
        <v>1.4077</v>
      </c>
      <c r="C770" s="6">
        <v>42</v>
      </c>
      <c r="D770" s="6">
        <v>2.5268999999999999</v>
      </c>
      <c r="E770" s="6">
        <v>8.4557000000000002</v>
      </c>
      <c r="F770" s="6">
        <v>103</v>
      </c>
    </row>
    <row r="771" spans="1:6" x14ac:dyDescent="0.25">
      <c r="A771" s="6" t="s">
        <v>1771</v>
      </c>
      <c r="B771" s="6">
        <v>1.9477</v>
      </c>
      <c r="C771" s="6">
        <v>47</v>
      </c>
      <c r="D771" s="6">
        <v>3.1962000000000002</v>
      </c>
      <c r="E771" s="6">
        <v>9.4478000000000009</v>
      </c>
      <c r="F771" s="6">
        <v>125</v>
      </c>
    </row>
    <row r="772" spans="1:6" x14ac:dyDescent="0.25">
      <c r="A772" s="6" t="s">
        <v>1772</v>
      </c>
      <c r="B772" s="6">
        <v>1.1074999999999999</v>
      </c>
      <c r="C772" s="6">
        <v>35</v>
      </c>
      <c r="D772" s="6">
        <v>2.8647</v>
      </c>
      <c r="E772" s="6">
        <v>8.4140999999999995</v>
      </c>
      <c r="F772" s="6">
        <v>103</v>
      </c>
    </row>
    <row r="773" spans="1:6" x14ac:dyDescent="0.25">
      <c r="A773" s="6" t="s">
        <v>1773</v>
      </c>
      <c r="B773" s="6">
        <v>0.86319999999999997</v>
      </c>
      <c r="C773" s="6">
        <v>23</v>
      </c>
      <c r="D773" s="6">
        <v>2.8565</v>
      </c>
      <c r="E773" s="6">
        <v>7.6212</v>
      </c>
      <c r="F773" s="6">
        <v>77</v>
      </c>
    </row>
    <row r="774" spans="1:6" x14ac:dyDescent="0.25">
      <c r="A774" s="6" t="s">
        <v>1774</v>
      </c>
      <c r="B774" s="6">
        <v>0.8659</v>
      </c>
      <c r="C774" s="6">
        <v>25</v>
      </c>
      <c r="D774" s="6">
        <v>2.2292999999999998</v>
      </c>
      <c r="E774" s="6">
        <v>9.5112000000000005</v>
      </c>
      <c r="F774" s="6">
        <v>127</v>
      </c>
    </row>
    <row r="775" spans="1:6" x14ac:dyDescent="0.25">
      <c r="A775" s="6" t="s">
        <v>1775</v>
      </c>
      <c r="B775" s="6">
        <v>1.3309</v>
      </c>
      <c r="C775" s="6">
        <v>38</v>
      </c>
      <c r="D775" s="6">
        <v>2.9207000000000001</v>
      </c>
      <c r="E775" s="6">
        <v>11.901</v>
      </c>
      <c r="F775" s="6">
        <v>166</v>
      </c>
    </row>
    <row r="776" spans="1:6" x14ac:dyDescent="0.25">
      <c r="A776" s="6" t="s">
        <v>1776</v>
      </c>
      <c r="B776" s="6">
        <v>1.639</v>
      </c>
      <c r="C776" s="6">
        <v>44</v>
      </c>
      <c r="D776" s="6">
        <v>2.8898000000000001</v>
      </c>
      <c r="E776" s="6">
        <v>7.0202999999999998</v>
      </c>
      <c r="F776" s="6">
        <v>76</v>
      </c>
    </row>
    <row r="777" spans="1:6" x14ac:dyDescent="0.25">
      <c r="A777" s="6" t="s">
        <v>1777</v>
      </c>
      <c r="B777" s="6">
        <v>1.6737</v>
      </c>
      <c r="C777" s="6">
        <v>45</v>
      </c>
      <c r="D777" s="6">
        <v>2.8197000000000001</v>
      </c>
      <c r="E777" s="6">
        <v>15.391</v>
      </c>
      <c r="F777" s="6">
        <v>191</v>
      </c>
    </row>
    <row r="778" spans="1:6" x14ac:dyDescent="0.25">
      <c r="A778" s="6" t="s">
        <v>1778</v>
      </c>
      <c r="B778" s="6">
        <v>1.4309000000000001</v>
      </c>
      <c r="C778" s="6">
        <v>31</v>
      </c>
      <c r="D778" s="6">
        <v>3.8412000000000002</v>
      </c>
      <c r="E778" s="6">
        <v>9.9863999999999997</v>
      </c>
      <c r="F778" s="6">
        <v>111</v>
      </c>
    </row>
    <row r="779" spans="1:6" x14ac:dyDescent="0.25">
      <c r="A779" s="6" t="s">
        <v>1779</v>
      </c>
      <c r="B779" s="6">
        <v>1.4193</v>
      </c>
      <c r="C779" s="6">
        <v>37</v>
      </c>
      <c r="D779" s="6">
        <v>3.0941000000000001</v>
      </c>
      <c r="E779" s="6">
        <v>13.8621</v>
      </c>
      <c r="F779" s="6">
        <v>176</v>
      </c>
    </row>
    <row r="780" spans="1:6" x14ac:dyDescent="0.25">
      <c r="A780" s="6" t="s">
        <v>1780</v>
      </c>
      <c r="B780" s="6">
        <v>1.7867</v>
      </c>
      <c r="C780" s="6">
        <v>44</v>
      </c>
      <c r="D780" s="6">
        <v>3.0790999999999999</v>
      </c>
      <c r="E780" s="6">
        <v>5.9402999999999997</v>
      </c>
      <c r="F780" s="6">
        <v>49</v>
      </c>
    </row>
    <row r="781" spans="1:6" x14ac:dyDescent="0.25">
      <c r="A781" s="6" t="s">
        <v>1781</v>
      </c>
      <c r="B781" s="6">
        <v>1.2121</v>
      </c>
      <c r="C781" s="6">
        <v>34</v>
      </c>
      <c r="D781" s="6">
        <v>2.3729</v>
      </c>
      <c r="E781" s="6">
        <v>11.3964</v>
      </c>
      <c r="F781" s="6">
        <v>162</v>
      </c>
    </row>
    <row r="782" spans="1:6" x14ac:dyDescent="0.25">
      <c r="A782" s="6" t="s">
        <v>1782</v>
      </c>
      <c r="B782" s="6">
        <v>1.0165</v>
      </c>
      <c r="C782" s="6">
        <v>29</v>
      </c>
      <c r="D782" s="6">
        <v>2.3308</v>
      </c>
      <c r="E782" s="6">
        <v>8.7619000000000007</v>
      </c>
      <c r="F782" s="6">
        <v>121</v>
      </c>
    </row>
    <row r="783" spans="1:6" x14ac:dyDescent="0.25">
      <c r="A783" s="6" t="s">
        <v>1783</v>
      </c>
      <c r="B783" s="6">
        <v>1.0548999999999999</v>
      </c>
      <c r="C783" s="6">
        <v>27</v>
      </c>
      <c r="D783" s="6">
        <v>2.3694999999999999</v>
      </c>
      <c r="E783" s="6">
        <v>16.6599</v>
      </c>
      <c r="F783" s="6">
        <v>274</v>
      </c>
    </row>
    <row r="784" spans="1:6" x14ac:dyDescent="0.25">
      <c r="A784" s="6" t="s">
        <v>1784</v>
      </c>
      <c r="B784" s="6">
        <v>1.8649</v>
      </c>
      <c r="C784" s="6">
        <v>51</v>
      </c>
      <c r="D784" s="6">
        <v>2.2679</v>
      </c>
      <c r="E784" s="6">
        <v>19.844200000000001</v>
      </c>
      <c r="F784" s="6">
        <v>273</v>
      </c>
    </row>
    <row r="785" spans="1:6" x14ac:dyDescent="0.25">
      <c r="A785" s="6" t="s">
        <v>1785</v>
      </c>
      <c r="B785" s="6">
        <v>0.99429999999999996</v>
      </c>
      <c r="C785" s="6">
        <v>30</v>
      </c>
      <c r="D785" s="6">
        <v>2.2599</v>
      </c>
      <c r="E785" s="6">
        <v>11.510899999999999</v>
      </c>
      <c r="F785" s="6">
        <v>153</v>
      </c>
    </row>
    <row r="786" spans="1:6" x14ac:dyDescent="0.25">
      <c r="A786" s="6" t="s">
        <v>1786</v>
      </c>
      <c r="B786" s="6">
        <v>0.61809999999999998</v>
      </c>
      <c r="C786" s="6">
        <v>22</v>
      </c>
      <c r="D786" s="6">
        <v>2.1063999999999998</v>
      </c>
      <c r="E786" s="6">
        <v>6.0164</v>
      </c>
      <c r="F786" s="6">
        <v>70</v>
      </c>
    </row>
    <row r="787" spans="1:6" x14ac:dyDescent="0.25">
      <c r="A787" s="6" t="s">
        <v>1787</v>
      </c>
      <c r="B787" s="6">
        <v>0.97109999999999996</v>
      </c>
      <c r="C787" s="6">
        <v>23</v>
      </c>
      <c r="D787" s="6">
        <v>3.4832000000000001</v>
      </c>
      <c r="E787" s="6">
        <v>9.8956</v>
      </c>
      <c r="F787" s="6">
        <v>99</v>
      </c>
    </row>
    <row r="788" spans="1:6" x14ac:dyDescent="0.25">
      <c r="A788" s="6" t="s">
        <v>1788</v>
      </c>
      <c r="B788" s="6">
        <v>1.2111000000000001</v>
      </c>
      <c r="C788" s="6">
        <v>30</v>
      </c>
      <c r="D788" s="6">
        <v>3.4434999999999998</v>
      </c>
      <c r="E788" s="6">
        <v>10.847200000000001</v>
      </c>
      <c r="F788" s="6">
        <v>146</v>
      </c>
    </row>
    <row r="789" spans="1:6" x14ac:dyDescent="0.25">
      <c r="A789" s="6" t="s">
        <v>1789</v>
      </c>
      <c r="B789" s="6">
        <v>1.5601</v>
      </c>
      <c r="C789" s="6">
        <v>40</v>
      </c>
      <c r="D789" s="6">
        <v>3.2437999999999998</v>
      </c>
      <c r="E789" s="6">
        <v>10.1364</v>
      </c>
      <c r="F789" s="6">
        <v>118</v>
      </c>
    </row>
    <row r="790" spans="1:6" x14ac:dyDescent="0.25">
      <c r="A790" s="6" t="s">
        <v>1790</v>
      </c>
      <c r="B790" s="6">
        <v>0.72</v>
      </c>
      <c r="C790" s="6">
        <v>21</v>
      </c>
      <c r="D790" s="6">
        <v>2.3934000000000002</v>
      </c>
      <c r="E790" s="6">
        <v>4.4859999999999998</v>
      </c>
      <c r="F790" s="6">
        <v>51</v>
      </c>
    </row>
    <row r="791" spans="1:6" x14ac:dyDescent="0.25">
      <c r="A791" s="6" t="s">
        <v>1791</v>
      </c>
      <c r="B791" s="6">
        <v>1.0476000000000001</v>
      </c>
      <c r="C791" s="6">
        <v>33</v>
      </c>
      <c r="D791" s="6">
        <v>2.3336000000000001</v>
      </c>
      <c r="E791" s="6">
        <v>6.6040000000000001</v>
      </c>
      <c r="F791" s="6">
        <v>82</v>
      </c>
    </row>
    <row r="792" spans="1:6" x14ac:dyDescent="0.25">
      <c r="A792" s="6" t="s">
        <v>1792</v>
      </c>
      <c r="B792" s="6">
        <v>1.4397</v>
      </c>
      <c r="C792" s="6">
        <v>36</v>
      </c>
      <c r="D792" s="6">
        <v>3.0733999999999999</v>
      </c>
      <c r="E792" s="6">
        <v>10.400600000000001</v>
      </c>
      <c r="F792" s="6">
        <v>123</v>
      </c>
    </row>
    <row r="793" spans="1:6" x14ac:dyDescent="0.25">
      <c r="A793" s="6" t="s">
        <v>1793</v>
      </c>
      <c r="B793" s="6">
        <v>7.2127999999999997</v>
      </c>
      <c r="C793" s="6">
        <v>156</v>
      </c>
      <c r="D793" s="6">
        <v>2.3567</v>
      </c>
      <c r="E793" s="6">
        <v>16.659300000000002</v>
      </c>
      <c r="F793" s="6">
        <v>239</v>
      </c>
    </row>
    <row r="794" spans="1:6" x14ac:dyDescent="0.25">
      <c r="A794" s="6" t="s">
        <v>1794</v>
      </c>
      <c r="B794" s="6">
        <v>6.3846999999999996</v>
      </c>
      <c r="C794" s="6">
        <v>149</v>
      </c>
      <c r="D794" s="6">
        <v>2.3344</v>
      </c>
      <c r="E794" s="6">
        <v>8.3871000000000002</v>
      </c>
      <c r="F794" s="6">
        <v>92</v>
      </c>
    </row>
    <row r="795" spans="1:6" x14ac:dyDescent="0.25">
      <c r="A795" s="6" t="s">
        <v>1795</v>
      </c>
      <c r="B795" s="6">
        <v>2.2450000000000001</v>
      </c>
      <c r="C795" s="6">
        <v>54</v>
      </c>
      <c r="D795" s="6">
        <v>2.5642999999999998</v>
      </c>
      <c r="E795" s="6">
        <v>11.0266</v>
      </c>
      <c r="F795" s="6">
        <v>160</v>
      </c>
    </row>
    <row r="796" spans="1:6" x14ac:dyDescent="0.25">
      <c r="A796" s="6" t="s">
        <v>1796</v>
      </c>
      <c r="B796" s="6">
        <v>1.6559999999999999</v>
      </c>
      <c r="C796" s="6">
        <v>41</v>
      </c>
      <c r="D796" s="6">
        <v>2.6545000000000001</v>
      </c>
      <c r="E796" s="6">
        <v>8.0652000000000008</v>
      </c>
      <c r="F796" s="6">
        <v>116</v>
      </c>
    </row>
    <row r="797" spans="1:6" x14ac:dyDescent="0.25">
      <c r="A797" s="6" t="s">
        <v>1797</v>
      </c>
      <c r="B797" s="6">
        <v>2.6238999999999999</v>
      </c>
      <c r="C797" s="6">
        <v>67</v>
      </c>
      <c r="D797" s="6">
        <v>2.9308000000000001</v>
      </c>
      <c r="E797" s="6">
        <v>12.132300000000001</v>
      </c>
      <c r="F797" s="6">
        <v>180</v>
      </c>
    </row>
    <row r="798" spans="1:6" x14ac:dyDescent="0.25">
      <c r="A798" s="6" t="s">
        <v>1798</v>
      </c>
      <c r="B798" s="6">
        <v>1.3089</v>
      </c>
      <c r="C798" s="6">
        <v>35</v>
      </c>
      <c r="D798" s="6">
        <v>2.9929999999999999</v>
      </c>
      <c r="E798" s="6">
        <v>20.076699999999999</v>
      </c>
      <c r="F798" s="6">
        <v>241</v>
      </c>
    </row>
    <row r="799" spans="1:6" x14ac:dyDescent="0.25">
      <c r="A799" s="6" t="s">
        <v>1799</v>
      </c>
      <c r="B799" s="6">
        <v>0.98950000000000005</v>
      </c>
      <c r="C799" s="6">
        <v>29</v>
      </c>
      <c r="D799" s="6">
        <v>2.1945000000000001</v>
      </c>
      <c r="E799" s="6">
        <v>9.8803000000000001</v>
      </c>
      <c r="F799" s="6">
        <v>148</v>
      </c>
    </row>
    <row r="800" spans="1:6" x14ac:dyDescent="0.25">
      <c r="A800" s="6" t="s">
        <v>1800</v>
      </c>
      <c r="B800" s="6">
        <v>0.74809999999999999</v>
      </c>
      <c r="C800" s="6">
        <v>24</v>
      </c>
      <c r="D800" s="6">
        <v>1.9355</v>
      </c>
      <c r="E800" s="6">
        <v>7.1635</v>
      </c>
      <c r="F800" s="6">
        <v>113</v>
      </c>
    </row>
    <row r="801" spans="1:6" x14ac:dyDescent="0.25">
      <c r="A801" s="6" t="s">
        <v>1801</v>
      </c>
      <c r="B801" s="6">
        <v>3.6589999999999998</v>
      </c>
      <c r="C801" s="6">
        <v>72</v>
      </c>
      <c r="D801" s="6">
        <v>3.3458999999999999</v>
      </c>
      <c r="E801" s="6">
        <v>9.3399000000000001</v>
      </c>
      <c r="F801" s="6">
        <v>141</v>
      </c>
    </row>
    <row r="802" spans="1:6" x14ac:dyDescent="0.25">
      <c r="A802" s="6" t="s">
        <v>1802</v>
      </c>
      <c r="B802" s="6">
        <v>2.2892000000000001</v>
      </c>
      <c r="C802" s="6">
        <v>55</v>
      </c>
      <c r="D802" s="6">
        <v>2.9607999999999999</v>
      </c>
      <c r="E802" s="6">
        <v>9.8582999999999998</v>
      </c>
      <c r="F802" s="6">
        <v>123</v>
      </c>
    </row>
    <row r="803" spans="1:6" x14ac:dyDescent="0.25">
      <c r="A803" s="6" t="s">
        <v>1803</v>
      </c>
      <c r="B803" s="6">
        <v>1.7709999999999999</v>
      </c>
      <c r="C803" s="6">
        <v>44</v>
      </c>
      <c r="D803" s="6">
        <v>2.8298000000000001</v>
      </c>
      <c r="E803" s="6">
        <v>10.8591</v>
      </c>
      <c r="F803" s="6">
        <v>156</v>
      </c>
    </row>
    <row r="804" spans="1:6" x14ac:dyDescent="0.25">
      <c r="A804" s="6" t="s">
        <v>1804</v>
      </c>
      <c r="B804" s="6">
        <v>1.3939999999999999</v>
      </c>
      <c r="C804" s="6">
        <v>43</v>
      </c>
      <c r="D804" s="6">
        <v>2.4922</v>
      </c>
      <c r="E804" s="6">
        <v>8.1641999999999992</v>
      </c>
      <c r="F804" s="6">
        <v>96</v>
      </c>
    </row>
    <row r="805" spans="1:6" x14ac:dyDescent="0.25">
      <c r="A805" s="6" t="s">
        <v>1805</v>
      </c>
      <c r="B805" s="6">
        <v>0.65490000000000004</v>
      </c>
      <c r="C805" s="6">
        <v>20</v>
      </c>
      <c r="D805" s="6">
        <v>1.982</v>
      </c>
      <c r="E805" s="6">
        <v>5.0545</v>
      </c>
      <c r="F805" s="6">
        <v>65</v>
      </c>
    </row>
    <row r="806" spans="1:6" x14ac:dyDescent="0.25">
      <c r="A806" s="6" t="s">
        <v>1806</v>
      </c>
      <c r="B806" s="6">
        <v>1.5905</v>
      </c>
      <c r="C806" s="6">
        <v>49</v>
      </c>
      <c r="D806" s="6">
        <v>1.7533000000000001</v>
      </c>
      <c r="E806" s="6">
        <v>9.0860000000000003</v>
      </c>
      <c r="F806" s="6">
        <v>130</v>
      </c>
    </row>
    <row r="807" spans="1:6" x14ac:dyDescent="0.25">
      <c r="A807" s="6" t="s">
        <v>1807</v>
      </c>
      <c r="B807" s="6">
        <v>1.0814999999999999</v>
      </c>
      <c r="C807" s="6">
        <v>27</v>
      </c>
      <c r="D807" s="6">
        <v>2.5739999999999998</v>
      </c>
      <c r="E807" s="6">
        <v>9.8544</v>
      </c>
      <c r="F807" s="6">
        <v>150</v>
      </c>
    </row>
    <row r="808" spans="1:6" x14ac:dyDescent="0.25">
      <c r="A808" s="6" t="s">
        <v>1808</v>
      </c>
      <c r="B808" s="6">
        <v>1.6993</v>
      </c>
      <c r="C808" s="6">
        <v>46</v>
      </c>
      <c r="D808" s="6">
        <v>2.8336000000000001</v>
      </c>
      <c r="E808" s="6">
        <v>13.0206</v>
      </c>
      <c r="F808" s="6">
        <v>172</v>
      </c>
    </row>
    <row r="809" spans="1:6" x14ac:dyDescent="0.25">
      <c r="A809" s="6" t="s">
        <v>1809</v>
      </c>
      <c r="B809" s="6">
        <v>0.82669999999999999</v>
      </c>
      <c r="C809" s="6">
        <v>24</v>
      </c>
      <c r="D809" s="6">
        <v>2.2261000000000002</v>
      </c>
      <c r="E809" s="6">
        <v>5.2222999999999997</v>
      </c>
      <c r="F809" s="6">
        <v>80</v>
      </c>
    </row>
    <row r="810" spans="1:6" x14ac:dyDescent="0.25">
      <c r="A810" s="6" t="s">
        <v>1810</v>
      </c>
      <c r="B810" s="6">
        <v>1.4594</v>
      </c>
      <c r="C810" s="6">
        <v>32</v>
      </c>
      <c r="D810" s="6">
        <v>3.1827999999999999</v>
      </c>
      <c r="E810" s="6">
        <v>8.3717000000000006</v>
      </c>
      <c r="F810" s="6">
        <v>90</v>
      </c>
    </row>
    <row r="811" spans="1:6" x14ac:dyDescent="0.25">
      <c r="A811" s="6" t="s">
        <v>1811</v>
      </c>
      <c r="B811" s="6">
        <v>4.2797000000000001</v>
      </c>
      <c r="C811" s="6">
        <v>87</v>
      </c>
      <c r="D811" s="6">
        <v>3.4851999999999999</v>
      </c>
      <c r="E811" s="6">
        <v>16.666799999999999</v>
      </c>
      <c r="F811" s="6">
        <v>246</v>
      </c>
    </row>
    <row r="812" spans="1:6" x14ac:dyDescent="0.25">
      <c r="A812" s="6" t="s">
        <v>1812</v>
      </c>
      <c r="B812" s="6">
        <v>0.84499999999999997</v>
      </c>
      <c r="C812" s="6">
        <v>26</v>
      </c>
      <c r="D812" s="6">
        <v>2.5878000000000001</v>
      </c>
      <c r="E812" s="6">
        <v>9.4667999999999992</v>
      </c>
      <c r="F812" s="6">
        <v>140</v>
      </c>
    </row>
    <row r="813" spans="1:6" x14ac:dyDescent="0.25">
      <c r="A813" s="6" t="s">
        <v>1813</v>
      </c>
      <c r="B813" s="6">
        <v>3.3302999999999998</v>
      </c>
      <c r="C813" s="6">
        <v>79</v>
      </c>
      <c r="D813" s="6">
        <v>2.5908000000000002</v>
      </c>
      <c r="E813" s="6">
        <v>3.8281000000000001</v>
      </c>
      <c r="F813" s="6">
        <v>34</v>
      </c>
    </row>
    <row r="814" spans="1:6" x14ac:dyDescent="0.25">
      <c r="A814" s="6" t="s">
        <v>1814</v>
      </c>
      <c r="B814" s="6">
        <v>2.4912000000000001</v>
      </c>
      <c r="C814" s="6">
        <v>59</v>
      </c>
      <c r="D814" s="6">
        <v>2.5758999999999999</v>
      </c>
      <c r="E814" s="6">
        <v>9.5401000000000007</v>
      </c>
      <c r="F814" s="6">
        <v>110</v>
      </c>
    </row>
    <row r="815" spans="1:6" x14ac:dyDescent="0.25">
      <c r="A815" s="6" t="s">
        <v>1815</v>
      </c>
      <c r="B815" s="6">
        <v>1.2927</v>
      </c>
      <c r="C815" s="6">
        <v>36</v>
      </c>
      <c r="D815" s="6">
        <v>2.6156999999999999</v>
      </c>
      <c r="E815" s="6">
        <v>7.4447999999999999</v>
      </c>
      <c r="F815" s="6">
        <v>86</v>
      </c>
    </row>
    <row r="816" spans="1:6" x14ac:dyDescent="0.25">
      <c r="A816" s="6" t="s">
        <v>1816</v>
      </c>
      <c r="B816" s="6">
        <v>1.6621999999999999</v>
      </c>
      <c r="C816" s="6">
        <v>45</v>
      </c>
      <c r="D816" s="6">
        <v>2.4592000000000001</v>
      </c>
      <c r="E816" s="6">
        <v>8.9600000000000009</v>
      </c>
      <c r="F816" s="6">
        <v>110</v>
      </c>
    </row>
    <row r="817" spans="1:6" x14ac:dyDescent="0.25">
      <c r="A817" s="6" t="s">
        <v>1817</v>
      </c>
      <c r="B817" s="6">
        <v>1.4251</v>
      </c>
      <c r="C817" s="6">
        <v>37</v>
      </c>
      <c r="D817" s="6">
        <v>3.5238</v>
      </c>
      <c r="E817" s="6">
        <v>11.2035</v>
      </c>
      <c r="F817" s="6">
        <v>136</v>
      </c>
    </row>
    <row r="818" spans="1:6" x14ac:dyDescent="0.25">
      <c r="A818" s="6" t="s">
        <v>1818</v>
      </c>
      <c r="B818" s="6">
        <v>1.5511999999999999</v>
      </c>
      <c r="C818" s="6">
        <v>34</v>
      </c>
      <c r="D818" s="6">
        <v>4.1437999999999997</v>
      </c>
      <c r="E818" s="6">
        <v>14.9649</v>
      </c>
      <c r="F818" s="6">
        <v>153</v>
      </c>
    </row>
    <row r="819" spans="1:6" x14ac:dyDescent="0.25">
      <c r="A819" s="6" t="s">
        <v>1819</v>
      </c>
      <c r="B819" s="6">
        <v>3.9518</v>
      </c>
      <c r="C819" s="6">
        <v>98</v>
      </c>
      <c r="D819" s="6">
        <v>2.3807</v>
      </c>
      <c r="E819" s="6">
        <v>14.0503</v>
      </c>
      <c r="F819" s="6">
        <v>187</v>
      </c>
    </row>
    <row r="820" spans="1:6" x14ac:dyDescent="0.25">
      <c r="A820" s="6" t="s">
        <v>1820</v>
      </c>
      <c r="B820" s="6">
        <v>1.0154000000000001</v>
      </c>
      <c r="C820" s="6">
        <v>31</v>
      </c>
      <c r="D820" s="6">
        <v>2.6259999999999999</v>
      </c>
      <c r="E820" s="6">
        <v>9.2469999999999999</v>
      </c>
      <c r="F820" s="6">
        <v>123</v>
      </c>
    </row>
    <row r="821" spans="1:6" x14ac:dyDescent="0.25">
      <c r="A821" s="6" t="s">
        <v>1821</v>
      </c>
      <c r="B821" s="6">
        <v>0.96499999999999997</v>
      </c>
      <c r="C821" s="6">
        <v>30</v>
      </c>
      <c r="D821" s="6">
        <v>2.2158000000000002</v>
      </c>
      <c r="E821" s="6">
        <v>9.6979000000000006</v>
      </c>
      <c r="F821" s="6">
        <v>153</v>
      </c>
    </row>
    <row r="822" spans="1:6" x14ac:dyDescent="0.25">
      <c r="A822" s="6" t="s">
        <v>1822</v>
      </c>
      <c r="B822" s="6">
        <v>0.86809999999999998</v>
      </c>
      <c r="C822" s="6">
        <v>24</v>
      </c>
      <c r="D822" s="6">
        <v>2.9272</v>
      </c>
      <c r="E822" s="6">
        <v>12.021800000000001</v>
      </c>
      <c r="F822" s="6">
        <v>172</v>
      </c>
    </row>
    <row r="823" spans="1:6" x14ac:dyDescent="0.25">
      <c r="A823" s="6" t="s">
        <v>1823</v>
      </c>
      <c r="B823" s="6">
        <v>1.141</v>
      </c>
      <c r="C823" s="6">
        <v>35</v>
      </c>
      <c r="D823" s="6">
        <v>1.7306999999999999</v>
      </c>
      <c r="E823" s="6">
        <v>10.2867</v>
      </c>
      <c r="F823" s="6">
        <v>147</v>
      </c>
    </row>
    <row r="824" spans="1:6" x14ac:dyDescent="0.25">
      <c r="A824" s="6" t="s">
        <v>1824</v>
      </c>
      <c r="B824" s="6">
        <v>1.0291999999999999</v>
      </c>
      <c r="C824" s="6">
        <v>26</v>
      </c>
      <c r="D824" s="6">
        <v>2.8729</v>
      </c>
      <c r="E824" s="6">
        <v>3.6242000000000001</v>
      </c>
      <c r="F824" s="6">
        <v>33</v>
      </c>
    </row>
    <row r="825" spans="1:6" x14ac:dyDescent="0.25">
      <c r="A825" s="6" t="s">
        <v>1825</v>
      </c>
      <c r="B825" s="6">
        <v>1.4601999999999999</v>
      </c>
      <c r="C825" s="6">
        <v>37</v>
      </c>
      <c r="D825" s="6">
        <v>3.3313000000000001</v>
      </c>
      <c r="E825" s="6">
        <v>5.3071999999999999</v>
      </c>
      <c r="F825" s="6">
        <v>54</v>
      </c>
    </row>
    <row r="826" spans="1:6" x14ac:dyDescent="0.25">
      <c r="A826" s="6" t="s">
        <v>1826</v>
      </c>
      <c r="B826" s="6">
        <v>1.3954</v>
      </c>
      <c r="C826" s="6">
        <v>40</v>
      </c>
      <c r="D826" s="6">
        <v>2.8692000000000002</v>
      </c>
      <c r="E826" s="6">
        <v>9.6065000000000005</v>
      </c>
      <c r="F826" s="6">
        <v>105</v>
      </c>
    </row>
    <row r="827" spans="1:6" x14ac:dyDescent="0.25">
      <c r="A827" s="6" t="s">
        <v>1827</v>
      </c>
      <c r="B827" s="6">
        <v>1.5911999999999999</v>
      </c>
      <c r="C827" s="6">
        <v>44</v>
      </c>
      <c r="D827" s="6">
        <v>2.714</v>
      </c>
      <c r="E827" s="6">
        <v>8.7039000000000009</v>
      </c>
      <c r="F827" s="6">
        <v>97</v>
      </c>
    </row>
    <row r="828" spans="1:6" x14ac:dyDescent="0.25">
      <c r="A828" s="6" t="s">
        <v>1828</v>
      </c>
      <c r="B828" s="6">
        <v>4.4154999999999998</v>
      </c>
      <c r="C828" s="6">
        <v>97</v>
      </c>
      <c r="D828" s="6">
        <v>2.7776999999999998</v>
      </c>
      <c r="E828" s="6">
        <v>14.014699999999999</v>
      </c>
      <c r="F828" s="6">
        <v>198</v>
      </c>
    </row>
    <row r="829" spans="1:6" x14ac:dyDescent="0.25">
      <c r="A829" s="6" t="s">
        <v>1829</v>
      </c>
      <c r="B829" s="6">
        <v>2.5575000000000001</v>
      </c>
      <c r="C829" s="6">
        <v>69</v>
      </c>
      <c r="D829" s="6">
        <v>2.8487</v>
      </c>
      <c r="E829" s="6">
        <v>9.0261999999999993</v>
      </c>
      <c r="F829" s="6">
        <v>104</v>
      </c>
    </row>
    <row r="830" spans="1:6" x14ac:dyDescent="0.25">
      <c r="A830" s="6" t="s">
        <v>1830</v>
      </c>
      <c r="B830" s="6">
        <v>1.2764</v>
      </c>
      <c r="C830" s="6">
        <v>39</v>
      </c>
      <c r="D830" s="6">
        <v>2.2629999999999999</v>
      </c>
      <c r="E830" s="6">
        <v>6.3764000000000003</v>
      </c>
      <c r="F830" s="6">
        <v>83</v>
      </c>
    </row>
    <row r="831" spans="1:6" x14ac:dyDescent="0.25">
      <c r="A831" s="6" t="s">
        <v>1831</v>
      </c>
      <c r="B831" s="6">
        <v>1.5528</v>
      </c>
      <c r="C831" s="6">
        <v>40</v>
      </c>
      <c r="D831" s="6">
        <v>3.0099</v>
      </c>
      <c r="E831" s="6">
        <v>6.1870000000000003</v>
      </c>
      <c r="F831" s="6">
        <v>67</v>
      </c>
    </row>
    <row r="832" spans="1:6" x14ac:dyDescent="0.25">
      <c r="A832" s="6" t="s">
        <v>1832</v>
      </c>
      <c r="B832" s="6">
        <v>1.3664000000000001</v>
      </c>
      <c r="C832" s="6">
        <v>34</v>
      </c>
      <c r="D832" s="6">
        <v>2.8820999999999999</v>
      </c>
      <c r="E832" s="6">
        <v>13.276999999999999</v>
      </c>
      <c r="F832" s="6">
        <v>173</v>
      </c>
    </row>
    <row r="833" spans="1:6" x14ac:dyDescent="0.25">
      <c r="A833" s="6" t="s">
        <v>1833</v>
      </c>
      <c r="B833" s="6">
        <v>1.0176000000000001</v>
      </c>
      <c r="C833" s="6">
        <v>30</v>
      </c>
      <c r="D833" s="6">
        <v>2.9868000000000001</v>
      </c>
      <c r="E833" s="6">
        <v>5.9833999999999996</v>
      </c>
      <c r="F833" s="6">
        <v>51</v>
      </c>
    </row>
    <row r="834" spans="1:6" x14ac:dyDescent="0.25">
      <c r="A834" s="6" t="s">
        <v>1834</v>
      </c>
      <c r="B834" s="6">
        <v>2.0449000000000002</v>
      </c>
      <c r="C834" s="6">
        <v>46</v>
      </c>
      <c r="D834" s="6">
        <v>3.5304000000000002</v>
      </c>
      <c r="E834" s="6">
        <v>9.6828000000000003</v>
      </c>
      <c r="F834" s="6">
        <v>110</v>
      </c>
    </row>
    <row r="835" spans="1:6" x14ac:dyDescent="0.25">
      <c r="A835" s="6" t="s">
        <v>1835</v>
      </c>
      <c r="B835" s="6">
        <v>1.2358</v>
      </c>
      <c r="C835" s="6">
        <v>30</v>
      </c>
      <c r="D835" s="6">
        <v>3.0920999999999998</v>
      </c>
      <c r="E835" s="6">
        <v>13.5572</v>
      </c>
      <c r="F835" s="6">
        <v>164</v>
      </c>
    </row>
    <row r="836" spans="1:6" x14ac:dyDescent="0.25">
      <c r="A836" s="6" t="s">
        <v>1836</v>
      </c>
      <c r="B836" s="6">
        <v>0.82809999999999995</v>
      </c>
      <c r="C836" s="6">
        <v>24</v>
      </c>
      <c r="D836" s="6">
        <v>2.9918999999999998</v>
      </c>
      <c r="E836" s="6">
        <v>7.0921000000000003</v>
      </c>
      <c r="F836" s="6">
        <v>80</v>
      </c>
    </row>
    <row r="837" spans="1:6" x14ac:dyDescent="0.25">
      <c r="A837" s="6" t="s">
        <v>1837</v>
      </c>
      <c r="B837" s="6">
        <v>2.7109999999999999</v>
      </c>
      <c r="C837" s="6">
        <v>67</v>
      </c>
      <c r="D837" s="6">
        <v>2.9988000000000001</v>
      </c>
      <c r="E837" s="6">
        <v>10.212300000000001</v>
      </c>
      <c r="F837" s="6">
        <v>121</v>
      </c>
    </row>
    <row r="838" spans="1:6" x14ac:dyDescent="0.25">
      <c r="A838" s="6" t="s">
        <v>1838</v>
      </c>
      <c r="B838" s="6">
        <v>1.8858999999999999</v>
      </c>
      <c r="C838" s="6">
        <v>44</v>
      </c>
      <c r="D838" s="6">
        <v>2.8187000000000002</v>
      </c>
      <c r="E838" s="6">
        <v>6.2601000000000004</v>
      </c>
      <c r="F838" s="6">
        <v>69</v>
      </c>
    </row>
    <row r="839" spans="1:6" x14ac:dyDescent="0.25">
      <c r="A839" s="6" t="s">
        <v>1839</v>
      </c>
      <c r="B839" s="6">
        <v>1.6288</v>
      </c>
      <c r="C839" s="6">
        <v>43</v>
      </c>
      <c r="D839" s="6">
        <v>3.0402999999999998</v>
      </c>
      <c r="E839" s="6">
        <v>19.682200000000002</v>
      </c>
      <c r="F839" s="6">
        <v>305</v>
      </c>
    </row>
    <row r="840" spans="1:6" x14ac:dyDescent="0.25">
      <c r="A840" s="6" t="s">
        <v>1840</v>
      </c>
      <c r="B840" s="6">
        <v>1.2903</v>
      </c>
      <c r="C840" s="6">
        <v>35</v>
      </c>
      <c r="D840" s="6">
        <v>2.4253999999999998</v>
      </c>
      <c r="E840" s="6">
        <v>18.988</v>
      </c>
      <c r="F840" s="6">
        <v>325</v>
      </c>
    </row>
    <row r="841" spans="1:6" x14ac:dyDescent="0.25">
      <c r="A841" s="6" t="s">
        <v>1841</v>
      </c>
      <c r="B841" s="6">
        <v>1.1680999999999999</v>
      </c>
      <c r="C841" s="6">
        <v>33</v>
      </c>
      <c r="D841" s="6">
        <v>2.6758000000000002</v>
      </c>
      <c r="E841" s="6">
        <v>4.2651000000000003</v>
      </c>
      <c r="F841" s="6">
        <v>39</v>
      </c>
    </row>
    <row r="842" spans="1:6" x14ac:dyDescent="0.25">
      <c r="A842" s="6" t="s">
        <v>1842</v>
      </c>
      <c r="B842" s="6">
        <v>1.3052999999999999</v>
      </c>
      <c r="C842" s="6">
        <v>34</v>
      </c>
      <c r="D842" s="6">
        <v>2.2427000000000001</v>
      </c>
      <c r="E842" s="6">
        <v>10.0998</v>
      </c>
      <c r="F842" s="6">
        <v>143</v>
      </c>
    </row>
    <row r="843" spans="1:6" x14ac:dyDescent="0.25">
      <c r="A843" s="6" t="s">
        <v>1843</v>
      </c>
      <c r="B843" s="6">
        <v>1.2697000000000001</v>
      </c>
      <c r="C843" s="6">
        <v>36</v>
      </c>
      <c r="D843" s="6">
        <v>2.9849000000000001</v>
      </c>
      <c r="E843" s="6">
        <v>6.6186999999999996</v>
      </c>
      <c r="F843" s="6">
        <v>67</v>
      </c>
    </row>
    <row r="844" spans="1:6" x14ac:dyDescent="0.25">
      <c r="A844" s="6" t="s">
        <v>1844</v>
      </c>
      <c r="B844" s="6">
        <v>0.74439999999999995</v>
      </c>
      <c r="C844" s="6">
        <v>22</v>
      </c>
      <c r="D844" s="6">
        <v>2.8309000000000002</v>
      </c>
      <c r="E844" s="6">
        <v>9.2744999999999997</v>
      </c>
      <c r="F844" s="6">
        <v>124</v>
      </c>
    </row>
    <row r="845" spans="1:6" x14ac:dyDescent="0.25">
      <c r="A845" s="6" t="s">
        <v>1845</v>
      </c>
      <c r="B845" s="6">
        <v>1.3698999999999999</v>
      </c>
      <c r="C845" s="6">
        <v>33</v>
      </c>
      <c r="D845" s="6">
        <v>2.7884000000000002</v>
      </c>
      <c r="E845" s="6">
        <v>10.0474</v>
      </c>
      <c r="F845" s="6">
        <v>140</v>
      </c>
    </row>
    <row r="846" spans="1:6" x14ac:dyDescent="0.25">
      <c r="A846" s="6" t="s">
        <v>1846</v>
      </c>
      <c r="B846" s="6">
        <v>0.9546</v>
      </c>
      <c r="C846" s="6">
        <v>27</v>
      </c>
      <c r="D846" s="6">
        <v>2.8576999999999999</v>
      </c>
      <c r="E846" s="6">
        <v>8.5940999999999992</v>
      </c>
      <c r="F846" s="6">
        <v>107</v>
      </c>
    </row>
    <row r="847" spans="1:6" x14ac:dyDescent="0.25">
      <c r="A847" s="6" t="s">
        <v>1847</v>
      </c>
      <c r="B847" s="6">
        <v>1.4016999999999999</v>
      </c>
      <c r="C847" s="6">
        <v>35</v>
      </c>
      <c r="D847" s="6">
        <v>2.8369</v>
      </c>
      <c r="E847" s="6">
        <v>4.7191000000000001</v>
      </c>
      <c r="F847" s="6">
        <v>48</v>
      </c>
    </row>
    <row r="848" spans="1:6" x14ac:dyDescent="0.25">
      <c r="A848" s="6" t="s">
        <v>1848</v>
      </c>
      <c r="B848" s="6">
        <v>1.6184000000000001</v>
      </c>
      <c r="C848" s="6">
        <v>39</v>
      </c>
      <c r="D848" s="6">
        <v>2.5108000000000001</v>
      </c>
      <c r="E848" s="6">
        <v>8.4570000000000007</v>
      </c>
      <c r="F848" s="6">
        <v>94</v>
      </c>
    </row>
    <row r="849" spans="1:6" x14ac:dyDescent="0.25">
      <c r="A849" s="6" t="s">
        <v>1849</v>
      </c>
      <c r="B849" s="6">
        <v>2.6597</v>
      </c>
      <c r="C849" s="6">
        <v>65</v>
      </c>
      <c r="D849" s="6">
        <v>2.0196999999999998</v>
      </c>
      <c r="E849" s="6">
        <v>10.148</v>
      </c>
      <c r="F849" s="6">
        <v>139</v>
      </c>
    </row>
    <row r="850" spans="1:6" x14ac:dyDescent="0.25">
      <c r="A850" s="6" t="s">
        <v>1850</v>
      </c>
      <c r="B850" s="6">
        <v>1.0783</v>
      </c>
      <c r="C850" s="6">
        <v>31</v>
      </c>
      <c r="D850" s="6">
        <v>1.9395</v>
      </c>
      <c r="E850" s="6">
        <v>6.1666999999999996</v>
      </c>
      <c r="F850" s="6">
        <v>86</v>
      </c>
    </row>
    <row r="851" spans="1:6" x14ac:dyDescent="0.25">
      <c r="A851" s="6" t="s">
        <v>1851</v>
      </c>
      <c r="B851" s="6">
        <v>0.73909999999999998</v>
      </c>
      <c r="C851" s="6">
        <v>22</v>
      </c>
      <c r="D851" s="6">
        <v>1.9410000000000001</v>
      </c>
      <c r="E851" s="6">
        <v>9.3257999999999992</v>
      </c>
      <c r="F851" s="6">
        <v>145</v>
      </c>
    </row>
    <row r="852" spans="1:6" x14ac:dyDescent="0.25">
      <c r="A852" s="6" t="s">
        <v>1852</v>
      </c>
      <c r="B852" s="6">
        <v>0.88919999999999999</v>
      </c>
      <c r="C852" s="6">
        <v>24</v>
      </c>
      <c r="D852" s="6">
        <v>2.4506000000000001</v>
      </c>
      <c r="E852" s="6">
        <v>6.9249000000000001</v>
      </c>
      <c r="F852" s="6">
        <v>92</v>
      </c>
    </row>
    <row r="853" spans="1:6" x14ac:dyDescent="0.25">
      <c r="A853" s="6" t="s">
        <v>1853</v>
      </c>
      <c r="B853" s="6">
        <v>0.99809999999999999</v>
      </c>
      <c r="C853" s="6">
        <v>30</v>
      </c>
      <c r="D853" s="6">
        <v>1.863</v>
      </c>
      <c r="E853" s="6">
        <v>10.483499999999999</v>
      </c>
      <c r="F853" s="6">
        <v>162</v>
      </c>
    </row>
    <row r="854" spans="1:6" x14ac:dyDescent="0.25">
      <c r="A854" s="6" t="s">
        <v>1854</v>
      </c>
      <c r="B854" s="6">
        <v>3.1097000000000001</v>
      </c>
      <c r="C854" s="6">
        <v>68</v>
      </c>
      <c r="D854" s="6">
        <v>3.3043999999999998</v>
      </c>
      <c r="E854" s="6">
        <v>17.043199999999999</v>
      </c>
      <c r="F854" s="6">
        <v>206</v>
      </c>
    </row>
    <row r="855" spans="1:6" x14ac:dyDescent="0.25">
      <c r="A855" s="6" t="s">
        <v>1855</v>
      </c>
      <c r="B855" s="6">
        <v>3.0693999999999999</v>
      </c>
      <c r="C855" s="6">
        <v>63</v>
      </c>
      <c r="D855" s="6">
        <v>2.9832000000000001</v>
      </c>
      <c r="E855" s="6">
        <v>15.109400000000001</v>
      </c>
      <c r="F855" s="6">
        <v>196</v>
      </c>
    </row>
    <row r="856" spans="1:6" x14ac:dyDescent="0.25">
      <c r="A856" s="6" t="s">
        <v>1856</v>
      </c>
      <c r="B856" s="6">
        <v>1.9114</v>
      </c>
      <c r="C856" s="6">
        <v>45</v>
      </c>
      <c r="D856" s="6">
        <v>3.1436999999999999</v>
      </c>
      <c r="E856" s="6">
        <v>8.0261999999999993</v>
      </c>
      <c r="F856" s="6">
        <v>104</v>
      </c>
    </row>
    <row r="857" spans="1:6" x14ac:dyDescent="0.25">
      <c r="A857" s="6" t="s">
        <v>1857</v>
      </c>
      <c r="B857" s="6">
        <v>1.2128000000000001</v>
      </c>
      <c r="C857" s="6">
        <v>33</v>
      </c>
      <c r="D857" s="6">
        <v>2.1564999999999999</v>
      </c>
      <c r="E857" s="6">
        <v>8.0742999999999991</v>
      </c>
      <c r="F857" s="6">
        <v>116</v>
      </c>
    </row>
    <row r="858" spans="1:6" x14ac:dyDescent="0.25">
      <c r="A858" s="6" t="s">
        <v>1858</v>
      </c>
      <c r="B858" s="6">
        <v>1.6873</v>
      </c>
      <c r="C858" s="6">
        <v>44</v>
      </c>
      <c r="D858" s="6">
        <v>2.8449</v>
      </c>
      <c r="E858" s="6">
        <v>13.9678</v>
      </c>
      <c r="F858" s="6">
        <v>175</v>
      </c>
    </row>
    <row r="859" spans="1:6" x14ac:dyDescent="0.25">
      <c r="A859" s="6" t="s">
        <v>1859</v>
      </c>
      <c r="B859" s="6">
        <v>1.8537999999999999</v>
      </c>
      <c r="C859" s="6">
        <v>40</v>
      </c>
      <c r="D859" s="6">
        <v>3.468</v>
      </c>
      <c r="E859" s="6">
        <v>7.6715999999999998</v>
      </c>
      <c r="F859" s="6">
        <v>98</v>
      </c>
    </row>
    <row r="860" spans="1:6" x14ac:dyDescent="0.25">
      <c r="A860" s="6" t="s">
        <v>1860</v>
      </c>
      <c r="B860" s="6">
        <v>1.7890999999999999</v>
      </c>
      <c r="C860" s="6">
        <v>49</v>
      </c>
      <c r="D860" s="6">
        <v>3.2774999999999999</v>
      </c>
      <c r="E860" s="6">
        <v>11.8552</v>
      </c>
      <c r="F860" s="6">
        <v>160</v>
      </c>
    </row>
    <row r="861" spans="1:6" x14ac:dyDescent="0.25">
      <c r="A861" s="6" t="s">
        <v>1861</v>
      </c>
      <c r="B861" s="6">
        <v>3.4708999999999999</v>
      </c>
      <c r="C861" s="6">
        <v>79</v>
      </c>
      <c r="D861" s="6">
        <v>4.0997000000000003</v>
      </c>
      <c r="E861" s="6">
        <v>12.456799999999999</v>
      </c>
      <c r="F861" s="6">
        <v>138</v>
      </c>
    </row>
    <row r="862" spans="1:6" x14ac:dyDescent="0.25">
      <c r="A862" s="6" t="s">
        <v>1862</v>
      </c>
      <c r="B862" s="6">
        <v>2.2787999999999999</v>
      </c>
      <c r="C862" s="6">
        <v>49</v>
      </c>
      <c r="D862" s="6">
        <v>3.9801000000000002</v>
      </c>
      <c r="E862" s="6">
        <v>13.2842</v>
      </c>
      <c r="F862" s="6">
        <v>168</v>
      </c>
    </row>
    <row r="863" spans="1:6" x14ac:dyDescent="0.25">
      <c r="A863" s="6" t="s">
        <v>1863</v>
      </c>
      <c r="B863" s="6">
        <v>1.5597000000000001</v>
      </c>
      <c r="C863" s="6">
        <v>38</v>
      </c>
      <c r="D863" s="6">
        <v>3.4721000000000002</v>
      </c>
      <c r="E863" s="6">
        <v>10.405900000000001</v>
      </c>
      <c r="F863" s="6">
        <v>127</v>
      </c>
    </row>
    <row r="864" spans="1:6" x14ac:dyDescent="0.25">
      <c r="A864" s="6" t="s">
        <v>1864</v>
      </c>
      <c r="B864" s="6">
        <v>0.91220000000000001</v>
      </c>
      <c r="C864" s="6">
        <v>32</v>
      </c>
      <c r="D864" s="6">
        <v>2.8273999999999999</v>
      </c>
      <c r="E864" s="6">
        <v>6.6182999999999996</v>
      </c>
      <c r="F864" s="6">
        <v>71</v>
      </c>
    </row>
    <row r="865" spans="1:6" x14ac:dyDescent="0.25">
      <c r="A865" s="6" t="s">
        <v>1865</v>
      </c>
      <c r="B865" s="6">
        <v>1.6640999999999999</v>
      </c>
      <c r="C865" s="6">
        <v>34</v>
      </c>
      <c r="D865" s="6">
        <v>3.9582000000000002</v>
      </c>
      <c r="E865" s="6">
        <v>12.7303</v>
      </c>
      <c r="F865" s="6">
        <v>146</v>
      </c>
    </row>
    <row r="866" spans="1:6" x14ac:dyDescent="0.25">
      <c r="A866" s="6" t="s">
        <v>1866</v>
      </c>
      <c r="B866" s="6">
        <v>2.0596000000000001</v>
      </c>
      <c r="C866" s="6">
        <v>46</v>
      </c>
      <c r="D866" s="6">
        <v>3.8997999999999999</v>
      </c>
      <c r="E866" s="6">
        <v>12.8857</v>
      </c>
      <c r="F866" s="6">
        <v>146</v>
      </c>
    </row>
    <row r="867" spans="1:6" x14ac:dyDescent="0.25">
      <c r="A867" s="6" t="s">
        <v>1867</v>
      </c>
      <c r="B867" s="6">
        <v>0.75249999999999995</v>
      </c>
      <c r="C867" s="6">
        <v>27</v>
      </c>
      <c r="D867" s="6">
        <v>2.2974000000000001</v>
      </c>
      <c r="E867" s="6">
        <v>9.1969999999999992</v>
      </c>
      <c r="F867" s="6">
        <v>120</v>
      </c>
    </row>
    <row r="868" spans="1:6" x14ac:dyDescent="0.25">
      <c r="A868" s="6" t="s">
        <v>1868</v>
      </c>
      <c r="B868" s="6">
        <v>0.92290000000000005</v>
      </c>
      <c r="C868" s="6">
        <v>25</v>
      </c>
      <c r="D868" s="6">
        <v>2.1972999999999998</v>
      </c>
      <c r="E868" s="6">
        <v>9.2769999999999992</v>
      </c>
      <c r="F868" s="6">
        <v>124</v>
      </c>
    </row>
    <row r="869" spans="1:6" x14ac:dyDescent="0.25">
      <c r="A869" s="6" t="s">
        <v>1869</v>
      </c>
      <c r="B869" s="6">
        <v>1.9134</v>
      </c>
      <c r="C869" s="6">
        <v>43</v>
      </c>
      <c r="D869" s="6">
        <v>3.1861000000000002</v>
      </c>
      <c r="E869" s="6">
        <v>11.0153</v>
      </c>
      <c r="F869" s="6">
        <v>121</v>
      </c>
    </row>
    <row r="870" spans="1:6" x14ac:dyDescent="0.25">
      <c r="A870" s="6" t="s">
        <v>1870</v>
      </c>
      <c r="B870" s="6">
        <v>1.4474</v>
      </c>
      <c r="C870" s="6">
        <v>37</v>
      </c>
      <c r="D870" s="6">
        <v>3.2690999999999999</v>
      </c>
      <c r="E870" s="6">
        <v>6.6199000000000003</v>
      </c>
      <c r="F870" s="6">
        <v>68</v>
      </c>
    </row>
    <row r="871" spans="1:6" x14ac:dyDescent="0.25">
      <c r="A871" s="6" t="s">
        <v>1871</v>
      </c>
      <c r="B871" s="6">
        <v>1.0875999999999999</v>
      </c>
      <c r="C871" s="6">
        <v>29</v>
      </c>
      <c r="D871" s="6">
        <v>2.7012</v>
      </c>
      <c r="E871" s="6">
        <v>5.5744999999999996</v>
      </c>
      <c r="F871" s="6">
        <v>67</v>
      </c>
    </row>
    <row r="872" spans="1:6" x14ac:dyDescent="0.25">
      <c r="A872" s="6" t="s">
        <v>1872</v>
      </c>
      <c r="B872" s="6">
        <v>1.0497000000000001</v>
      </c>
      <c r="C872" s="6">
        <v>32</v>
      </c>
      <c r="D872" s="6">
        <v>2.7084999999999999</v>
      </c>
      <c r="E872" s="6">
        <v>7.8234000000000004</v>
      </c>
      <c r="F872" s="6">
        <v>101</v>
      </c>
    </row>
    <row r="873" spans="1:6" x14ac:dyDescent="0.25">
      <c r="A873" s="6" t="s">
        <v>1873</v>
      </c>
      <c r="B873" s="6">
        <v>0.78269999999999995</v>
      </c>
      <c r="C873" s="6">
        <v>22</v>
      </c>
      <c r="D873" s="6">
        <v>2.8473999999999999</v>
      </c>
      <c r="E873" s="6">
        <v>5.1002999999999998</v>
      </c>
      <c r="F873" s="6">
        <v>68</v>
      </c>
    </row>
    <row r="874" spans="1:6" x14ac:dyDescent="0.25">
      <c r="A874" s="6" t="s">
        <v>1874</v>
      </c>
      <c r="B874" s="6">
        <v>1.3029999999999999</v>
      </c>
      <c r="C874" s="6">
        <v>33</v>
      </c>
      <c r="D874" s="6">
        <v>3.1989999999999998</v>
      </c>
      <c r="E874" s="6">
        <v>6.1634000000000002</v>
      </c>
      <c r="F874" s="6">
        <v>70</v>
      </c>
    </row>
    <row r="875" spans="1:6" x14ac:dyDescent="0.25">
      <c r="A875" s="6" t="s">
        <v>1875</v>
      </c>
      <c r="B875" s="6">
        <v>1.0637000000000001</v>
      </c>
      <c r="C875" s="6">
        <v>26</v>
      </c>
      <c r="D875" s="6">
        <v>3.0165000000000002</v>
      </c>
      <c r="E875" s="6">
        <v>11.5679</v>
      </c>
      <c r="F875" s="6">
        <v>155</v>
      </c>
    </row>
    <row r="876" spans="1:6" x14ac:dyDescent="0.25">
      <c r="A876" s="6" t="s">
        <v>1876</v>
      </c>
      <c r="B876" s="6">
        <v>1.2915000000000001</v>
      </c>
      <c r="C876" s="6">
        <v>37</v>
      </c>
      <c r="D876" s="6">
        <v>2.7044999999999999</v>
      </c>
      <c r="E876" s="6">
        <v>7.9855</v>
      </c>
      <c r="F876" s="6">
        <v>103</v>
      </c>
    </row>
    <row r="877" spans="1:6" x14ac:dyDescent="0.25">
      <c r="A877" s="6" t="s">
        <v>1877</v>
      </c>
      <c r="B877" s="6">
        <v>0.87219999999999998</v>
      </c>
      <c r="C877" s="6">
        <v>29</v>
      </c>
      <c r="D877" s="6">
        <v>2.6781999999999999</v>
      </c>
      <c r="E877" s="6">
        <v>7.3272000000000004</v>
      </c>
      <c r="F877" s="6">
        <v>85</v>
      </c>
    </row>
    <row r="878" spans="1:6" x14ac:dyDescent="0.25">
      <c r="A878" s="6" t="s">
        <v>1878</v>
      </c>
      <c r="B878" s="6">
        <v>0.9012</v>
      </c>
      <c r="C878" s="6">
        <v>28</v>
      </c>
      <c r="D878" s="6">
        <v>2.1288999999999998</v>
      </c>
      <c r="E878" s="6">
        <v>3.3824999999999998</v>
      </c>
      <c r="F878" s="6">
        <v>43</v>
      </c>
    </row>
    <row r="879" spans="1:6" x14ac:dyDescent="0.25">
      <c r="A879" s="6" t="s">
        <v>1879</v>
      </c>
      <c r="B879" s="6">
        <v>1.087</v>
      </c>
      <c r="C879" s="6">
        <v>32</v>
      </c>
      <c r="D879" s="6">
        <v>2.3391000000000002</v>
      </c>
      <c r="E879" s="6">
        <v>5.17</v>
      </c>
      <c r="F879" s="6">
        <v>56</v>
      </c>
    </row>
    <row r="880" spans="1:6" x14ac:dyDescent="0.25">
      <c r="A880" s="6" t="s">
        <v>1880</v>
      </c>
      <c r="B880" s="6">
        <v>1.6910000000000001</v>
      </c>
      <c r="C880" s="6">
        <v>42</v>
      </c>
      <c r="D880" s="6">
        <v>2.6038999999999999</v>
      </c>
      <c r="E880" s="6">
        <v>5.8638000000000003</v>
      </c>
      <c r="F880" s="6">
        <v>67</v>
      </c>
    </row>
    <row r="881" spans="1:6" x14ac:dyDescent="0.25">
      <c r="A881" s="6" t="s">
        <v>1881</v>
      </c>
      <c r="B881" s="6">
        <v>1.1815</v>
      </c>
      <c r="C881" s="6">
        <v>31</v>
      </c>
      <c r="D881" s="6">
        <v>2.4398</v>
      </c>
      <c r="E881" s="6">
        <v>5.7672999999999996</v>
      </c>
      <c r="F881" s="6">
        <v>70</v>
      </c>
    </row>
    <row r="882" spans="1:6" x14ac:dyDescent="0.25">
      <c r="A882" s="6" t="s">
        <v>1882</v>
      </c>
      <c r="B882" s="6">
        <v>1.3792</v>
      </c>
      <c r="C882" s="6">
        <v>34</v>
      </c>
      <c r="D882" s="6">
        <v>2.9013</v>
      </c>
      <c r="E882" s="6">
        <v>6.8174999999999999</v>
      </c>
      <c r="F882" s="6">
        <v>85</v>
      </c>
    </row>
    <row r="883" spans="1:6" x14ac:dyDescent="0.25">
      <c r="A883" s="6" t="s">
        <v>1883</v>
      </c>
      <c r="B883" s="6">
        <v>0.87490000000000001</v>
      </c>
      <c r="C883" s="6">
        <v>26</v>
      </c>
      <c r="D883" s="6">
        <v>2.4575999999999998</v>
      </c>
      <c r="E883" s="6">
        <v>6.4272</v>
      </c>
      <c r="F883" s="6">
        <v>78</v>
      </c>
    </row>
    <row r="884" spans="1:6" x14ac:dyDescent="0.25">
      <c r="A884" s="6" t="s">
        <v>1884</v>
      </c>
      <c r="B884" s="6">
        <v>1.0788</v>
      </c>
      <c r="C884" s="6">
        <v>30</v>
      </c>
      <c r="D884" s="6">
        <v>2.4925999999999999</v>
      </c>
      <c r="E884" s="6">
        <v>4.5529000000000002</v>
      </c>
      <c r="F884" s="6">
        <v>44</v>
      </c>
    </row>
    <row r="885" spans="1:6" x14ac:dyDescent="0.25">
      <c r="A885" s="6" t="s">
        <v>1885</v>
      </c>
      <c r="B885" s="6">
        <v>0.6966</v>
      </c>
      <c r="C885" s="6">
        <v>21</v>
      </c>
      <c r="D885" s="6">
        <v>2.2671000000000001</v>
      </c>
      <c r="E885" s="6">
        <v>7.0625</v>
      </c>
      <c r="F885" s="6">
        <v>91</v>
      </c>
    </row>
    <row r="886" spans="1:6" x14ac:dyDescent="0.25">
      <c r="A886" s="6" t="s">
        <v>1886</v>
      </c>
      <c r="B886" s="6">
        <v>0.89890000000000003</v>
      </c>
      <c r="C886" s="6">
        <v>25</v>
      </c>
      <c r="D886" s="6">
        <v>1.7172000000000001</v>
      </c>
      <c r="E886" s="6">
        <v>9.5213000000000001</v>
      </c>
      <c r="F886" s="6">
        <v>143</v>
      </c>
    </row>
    <row r="887" spans="1:6" x14ac:dyDescent="0.25">
      <c r="A887" s="6" t="s">
        <v>1887</v>
      </c>
      <c r="B887" s="6">
        <v>1.2165999999999999</v>
      </c>
      <c r="C887" s="6">
        <v>32</v>
      </c>
      <c r="D887" s="6">
        <v>2.0057</v>
      </c>
      <c r="E887" s="6">
        <v>9.5332000000000008</v>
      </c>
      <c r="F887" s="6">
        <v>132</v>
      </c>
    </row>
    <row r="888" spans="1:6" x14ac:dyDescent="0.25">
      <c r="A888" s="6" t="s">
        <v>1888</v>
      </c>
      <c r="B888" s="6">
        <v>0.94930000000000003</v>
      </c>
      <c r="C888" s="6">
        <v>23</v>
      </c>
      <c r="D888" s="6">
        <v>2.0261999999999998</v>
      </c>
      <c r="E888" s="6">
        <v>6.6372</v>
      </c>
      <c r="F888" s="6">
        <v>105</v>
      </c>
    </row>
    <row r="889" spans="1:6" x14ac:dyDescent="0.25">
      <c r="A889" s="6" t="s">
        <v>1889</v>
      </c>
      <c r="B889" s="6">
        <v>2.6251000000000002</v>
      </c>
      <c r="C889" s="6">
        <v>64</v>
      </c>
      <c r="D889" s="6">
        <v>2.4418000000000002</v>
      </c>
      <c r="E889" s="6">
        <v>14.913500000000001</v>
      </c>
      <c r="F889" s="6">
        <v>230</v>
      </c>
    </row>
    <row r="890" spans="1:6" x14ac:dyDescent="0.25">
      <c r="A890" s="6" t="s">
        <v>1890</v>
      </c>
      <c r="B890" s="6">
        <v>1.4779</v>
      </c>
      <c r="C890" s="6">
        <v>40</v>
      </c>
      <c r="D890" s="6">
        <v>2.3506</v>
      </c>
      <c r="E890" s="6">
        <v>5.8578999999999999</v>
      </c>
      <c r="F890" s="6">
        <v>74</v>
      </c>
    </row>
    <row r="891" spans="1:6" x14ac:dyDescent="0.25">
      <c r="A891" s="6" t="s">
        <v>1891</v>
      </c>
      <c r="B891" s="6">
        <v>1.7015</v>
      </c>
      <c r="C891" s="6">
        <v>42</v>
      </c>
      <c r="D891" s="6">
        <v>2.8279999999999998</v>
      </c>
      <c r="E891" s="6">
        <v>6.3320999999999996</v>
      </c>
      <c r="F891" s="6">
        <v>70</v>
      </c>
    </row>
    <row r="892" spans="1:6" x14ac:dyDescent="0.25">
      <c r="A892" s="6" t="s">
        <v>1892</v>
      </c>
      <c r="B892" s="6">
        <v>1.9983</v>
      </c>
      <c r="C892" s="6">
        <v>47</v>
      </c>
      <c r="D892" s="6">
        <v>2.871</v>
      </c>
      <c r="E892" s="6">
        <v>12.938499999999999</v>
      </c>
      <c r="F892" s="6">
        <v>161</v>
      </c>
    </row>
    <row r="893" spans="1:6" x14ac:dyDescent="0.25">
      <c r="A893" s="6" t="s">
        <v>1893</v>
      </c>
      <c r="B893" s="6">
        <v>1.8202</v>
      </c>
      <c r="C893" s="6">
        <v>44</v>
      </c>
      <c r="D893" s="6">
        <v>2.9098000000000002</v>
      </c>
      <c r="E893" s="6">
        <v>9.6593</v>
      </c>
      <c r="F893" s="6">
        <v>138</v>
      </c>
    </row>
    <row r="894" spans="1:6" x14ac:dyDescent="0.25">
      <c r="A894" s="6" t="s">
        <v>1894</v>
      </c>
      <c r="B894" s="6">
        <v>1.7624</v>
      </c>
      <c r="C894" s="6">
        <v>46</v>
      </c>
      <c r="D894" s="6">
        <v>3.2360000000000002</v>
      </c>
      <c r="E894" s="6">
        <v>13.4968</v>
      </c>
      <c r="F894" s="6">
        <v>186</v>
      </c>
    </row>
    <row r="895" spans="1:6" x14ac:dyDescent="0.25">
      <c r="A895" s="6" t="s">
        <v>1895</v>
      </c>
      <c r="B895" s="6">
        <v>1.1577999999999999</v>
      </c>
      <c r="C895" s="6">
        <v>33</v>
      </c>
      <c r="D895" s="6">
        <v>3.2541000000000002</v>
      </c>
      <c r="E895" s="6">
        <v>8.4926999999999992</v>
      </c>
      <c r="F895" s="6">
        <v>111</v>
      </c>
    </row>
    <row r="896" spans="1:6" x14ac:dyDescent="0.25">
      <c r="A896" s="6" t="s">
        <v>1896</v>
      </c>
      <c r="B896" s="6">
        <v>2.5911</v>
      </c>
      <c r="C896" s="6">
        <v>66</v>
      </c>
      <c r="D896" s="6">
        <v>3.0478000000000001</v>
      </c>
      <c r="E896" s="6">
        <v>14.745100000000001</v>
      </c>
      <c r="F896" s="6">
        <v>227</v>
      </c>
    </row>
    <row r="897" spans="1:6" x14ac:dyDescent="0.25">
      <c r="A897" s="6" t="s">
        <v>1897</v>
      </c>
      <c r="B897" s="6">
        <v>0.91979999999999995</v>
      </c>
      <c r="C897" s="6">
        <v>31</v>
      </c>
      <c r="D897" s="6">
        <v>2.4298000000000002</v>
      </c>
      <c r="E897" s="6">
        <v>5.7748999999999997</v>
      </c>
      <c r="F897" s="6">
        <v>67</v>
      </c>
    </row>
    <row r="898" spans="1:6" x14ac:dyDescent="0.25">
      <c r="A898" s="6" t="s">
        <v>1898</v>
      </c>
      <c r="B898" s="6">
        <v>0.9284</v>
      </c>
      <c r="C898" s="6">
        <v>27</v>
      </c>
      <c r="D898" s="6">
        <v>2.1446000000000001</v>
      </c>
      <c r="E898" s="6">
        <v>4.0209999999999999</v>
      </c>
      <c r="F898" s="6">
        <v>43</v>
      </c>
    </row>
    <row r="899" spans="1:6" x14ac:dyDescent="0.25">
      <c r="A899" s="6" t="s">
        <v>1899</v>
      </c>
      <c r="B899" s="6">
        <v>1.1296999999999999</v>
      </c>
      <c r="C899" s="6">
        <v>34</v>
      </c>
      <c r="D899" s="6">
        <v>2.6633</v>
      </c>
      <c r="E899" s="6">
        <v>6.6048</v>
      </c>
      <c r="F899" s="6">
        <v>71</v>
      </c>
    </row>
    <row r="900" spans="1:6" x14ac:dyDescent="0.25">
      <c r="A900" s="6" t="s">
        <v>1900</v>
      </c>
      <c r="B900" s="6">
        <v>1.2430000000000001</v>
      </c>
      <c r="C900" s="6">
        <v>34</v>
      </c>
      <c r="D900" s="6">
        <v>2.8462000000000001</v>
      </c>
      <c r="E900" s="6">
        <v>4.3655999999999997</v>
      </c>
      <c r="F900" s="6">
        <v>38</v>
      </c>
    </row>
    <row r="901" spans="1:6" x14ac:dyDescent="0.25">
      <c r="A901" s="6" t="s">
        <v>1901</v>
      </c>
      <c r="B901" s="6">
        <v>1.3657999999999999</v>
      </c>
      <c r="C901" s="6">
        <v>33</v>
      </c>
      <c r="D901" s="6">
        <v>3.4883000000000002</v>
      </c>
      <c r="E901" s="6">
        <v>19.972100000000001</v>
      </c>
      <c r="F901" s="6">
        <v>216</v>
      </c>
    </row>
    <row r="902" spans="1:6" x14ac:dyDescent="0.25">
      <c r="A902" s="6" t="s">
        <v>1902</v>
      </c>
      <c r="B902" s="6">
        <v>2.3544999999999998</v>
      </c>
      <c r="C902" s="6">
        <v>52</v>
      </c>
      <c r="D902" s="6">
        <v>3.5017</v>
      </c>
      <c r="E902" s="6">
        <v>13.0337</v>
      </c>
      <c r="F902" s="6">
        <v>137</v>
      </c>
    </row>
    <row r="903" spans="1:6" x14ac:dyDescent="0.25">
      <c r="A903" s="6" t="s">
        <v>1903</v>
      </c>
      <c r="B903" s="6">
        <v>0.74139999999999995</v>
      </c>
      <c r="C903" s="6">
        <v>25</v>
      </c>
      <c r="D903" s="6">
        <v>2.1160000000000001</v>
      </c>
      <c r="E903" s="6">
        <v>9.7125000000000004</v>
      </c>
      <c r="F903" s="6">
        <v>147</v>
      </c>
    </row>
    <row r="904" spans="1:6" x14ac:dyDescent="0.25">
      <c r="A904" s="6" t="s">
        <v>1904</v>
      </c>
      <c r="B904" s="6">
        <v>1.5751999999999999</v>
      </c>
      <c r="C904" s="6">
        <v>39</v>
      </c>
      <c r="D904" s="6">
        <v>3.5417999999999998</v>
      </c>
      <c r="E904" s="6">
        <v>6.0940000000000003</v>
      </c>
      <c r="F904" s="6">
        <v>56</v>
      </c>
    </row>
    <row r="905" spans="1:6" x14ac:dyDescent="0.25">
      <c r="A905" s="6" t="s">
        <v>1905</v>
      </c>
      <c r="B905" s="6">
        <v>1.2934000000000001</v>
      </c>
      <c r="C905" s="6">
        <v>33</v>
      </c>
      <c r="D905" s="6">
        <v>3.3845999999999998</v>
      </c>
      <c r="E905" s="6">
        <v>7.3213999999999997</v>
      </c>
      <c r="F905" s="6">
        <v>81</v>
      </c>
    </row>
    <row r="906" spans="1:6" x14ac:dyDescent="0.25">
      <c r="A906" s="6" t="s">
        <v>1906</v>
      </c>
      <c r="B906" s="6">
        <v>1.4028</v>
      </c>
      <c r="C906" s="6">
        <v>35</v>
      </c>
      <c r="D906" s="6">
        <v>3.6894999999999998</v>
      </c>
      <c r="E906" s="6">
        <v>5.4821</v>
      </c>
      <c r="F906" s="6">
        <v>48</v>
      </c>
    </row>
    <row r="907" spans="1:6" x14ac:dyDescent="0.25">
      <c r="A907" s="6" t="s">
        <v>1907</v>
      </c>
      <c r="B907" s="6">
        <v>1.9503999999999999</v>
      </c>
      <c r="C907" s="6">
        <v>50</v>
      </c>
      <c r="D907" s="6">
        <v>3.4502999999999999</v>
      </c>
      <c r="E907" s="6">
        <v>13.811999999999999</v>
      </c>
      <c r="F907" s="6">
        <v>174</v>
      </c>
    </row>
    <row r="908" spans="1:6" x14ac:dyDescent="0.25">
      <c r="A908" s="6" t="s">
        <v>1908</v>
      </c>
      <c r="B908" s="6">
        <v>1.9517</v>
      </c>
      <c r="C908" s="6">
        <v>53</v>
      </c>
      <c r="D908" s="6">
        <v>2.5859999999999999</v>
      </c>
      <c r="E908" s="6">
        <v>7.5622999999999996</v>
      </c>
      <c r="F908" s="6">
        <v>93</v>
      </c>
    </row>
    <row r="909" spans="1:6" x14ac:dyDescent="0.25">
      <c r="A909" s="6" t="s">
        <v>1909</v>
      </c>
      <c r="B909" s="6">
        <v>0.89029999999999998</v>
      </c>
      <c r="C909" s="6">
        <v>25</v>
      </c>
      <c r="D909" s="6">
        <v>2.8304</v>
      </c>
      <c r="E909" s="6">
        <v>9.2843999999999998</v>
      </c>
      <c r="F909" s="6">
        <v>117</v>
      </c>
    </row>
    <row r="910" spans="1:6" x14ac:dyDescent="0.25">
      <c r="A910" s="6" t="s">
        <v>1910</v>
      </c>
      <c r="B910" s="6">
        <v>0.85860000000000003</v>
      </c>
      <c r="C910" s="6">
        <v>26</v>
      </c>
      <c r="D910" s="6">
        <v>2.5529999999999999</v>
      </c>
      <c r="E910" s="6">
        <v>7.0727000000000002</v>
      </c>
      <c r="F910" s="6">
        <v>69</v>
      </c>
    </row>
    <row r="911" spans="1:6" x14ac:dyDescent="0.25">
      <c r="A911" s="6" t="s">
        <v>1911</v>
      </c>
      <c r="B911" s="6">
        <v>1.0839000000000001</v>
      </c>
      <c r="C911" s="6">
        <v>25</v>
      </c>
      <c r="D911" s="6">
        <v>2.8195999999999999</v>
      </c>
      <c r="E911" s="6">
        <v>7.4720000000000004</v>
      </c>
      <c r="F911" s="6">
        <v>84</v>
      </c>
    </row>
    <row r="912" spans="1:6" x14ac:dyDescent="0.25">
      <c r="A912" s="6" t="s">
        <v>1912</v>
      </c>
      <c r="B912" s="6">
        <v>1.9258</v>
      </c>
      <c r="C912" s="6">
        <v>55</v>
      </c>
      <c r="D912" s="6">
        <v>3.1657999999999999</v>
      </c>
      <c r="E912" s="6">
        <v>7.9100999999999999</v>
      </c>
      <c r="F912" s="6">
        <v>100</v>
      </c>
    </row>
    <row r="913" spans="1:6" x14ac:dyDescent="0.25">
      <c r="A913" s="6" t="s">
        <v>1913</v>
      </c>
      <c r="B913" s="6">
        <v>1.2829999999999999</v>
      </c>
      <c r="C913" s="6">
        <v>37</v>
      </c>
      <c r="D913" s="6">
        <v>2.9741</v>
      </c>
      <c r="E913" s="6">
        <v>19.131799999999998</v>
      </c>
      <c r="F913" s="6">
        <v>244</v>
      </c>
    </row>
    <row r="914" spans="1:6" x14ac:dyDescent="0.25">
      <c r="A914" s="6" t="s">
        <v>1914</v>
      </c>
      <c r="B914" s="6">
        <v>1.8698999999999999</v>
      </c>
      <c r="C914" s="6">
        <v>51</v>
      </c>
      <c r="D914" s="6">
        <v>2.9184000000000001</v>
      </c>
      <c r="E914" s="6">
        <v>11.726800000000001</v>
      </c>
      <c r="F914" s="6">
        <v>166</v>
      </c>
    </row>
    <row r="915" spans="1:6" x14ac:dyDescent="0.25">
      <c r="A915" s="6" t="s">
        <v>1915</v>
      </c>
      <c r="B915" s="6">
        <v>0.69750000000000001</v>
      </c>
      <c r="C915" s="6">
        <v>24</v>
      </c>
      <c r="D915" s="6">
        <v>2.2408999999999999</v>
      </c>
      <c r="E915" s="6">
        <v>7.9736000000000002</v>
      </c>
      <c r="F915" s="6">
        <v>118</v>
      </c>
    </row>
    <row r="916" spans="1:6" x14ac:dyDescent="0.25">
      <c r="A916" s="6" t="s">
        <v>1916</v>
      </c>
      <c r="B916" s="6">
        <v>0.78879999999999995</v>
      </c>
      <c r="C916" s="6">
        <v>28</v>
      </c>
      <c r="D916" s="6">
        <v>2.0981000000000001</v>
      </c>
      <c r="E916" s="6">
        <v>3.9211</v>
      </c>
      <c r="F916" s="6">
        <v>40</v>
      </c>
    </row>
    <row r="917" spans="1:6" x14ac:dyDescent="0.25">
      <c r="A917" s="6" t="s">
        <v>1917</v>
      </c>
      <c r="B917" s="6">
        <v>2.4226000000000001</v>
      </c>
      <c r="C917" s="6">
        <v>50</v>
      </c>
      <c r="D917" s="6">
        <v>3.9432999999999998</v>
      </c>
      <c r="E917" s="6">
        <v>9.7685999999999993</v>
      </c>
      <c r="F917" s="6">
        <v>97</v>
      </c>
    </row>
    <row r="918" spans="1:6" x14ac:dyDescent="0.25">
      <c r="A918" s="6" t="s">
        <v>1918</v>
      </c>
      <c r="B918" s="6">
        <v>2.4163000000000001</v>
      </c>
      <c r="C918" s="6">
        <v>50</v>
      </c>
      <c r="D918" s="6">
        <v>4.1369999999999996</v>
      </c>
      <c r="E918" s="6">
        <v>13.2637</v>
      </c>
      <c r="F918" s="6">
        <v>156</v>
      </c>
    </row>
    <row r="919" spans="1:6" x14ac:dyDescent="0.25">
      <c r="A919" s="6" t="s">
        <v>1919</v>
      </c>
      <c r="B919" s="6">
        <v>0.75419999999999998</v>
      </c>
      <c r="C919" s="6">
        <v>23</v>
      </c>
      <c r="D919" s="6">
        <v>2.9457</v>
      </c>
      <c r="E919" s="6">
        <v>4.5903999999999998</v>
      </c>
      <c r="F919" s="6">
        <v>42</v>
      </c>
    </row>
    <row r="920" spans="1:6" x14ac:dyDescent="0.25">
      <c r="A920" s="6" t="s">
        <v>1920</v>
      </c>
      <c r="B920" s="6">
        <v>1.2608999999999999</v>
      </c>
      <c r="C920" s="6">
        <v>32</v>
      </c>
      <c r="D920" s="6">
        <v>2.9016999999999999</v>
      </c>
      <c r="E920" s="6">
        <v>5.9488000000000003</v>
      </c>
      <c r="F920" s="6">
        <v>76</v>
      </c>
    </row>
    <row r="921" spans="1:6" x14ac:dyDescent="0.25">
      <c r="A921" s="6" t="s">
        <v>1921</v>
      </c>
      <c r="B921" s="6">
        <v>1.2259</v>
      </c>
      <c r="C921" s="6">
        <v>30</v>
      </c>
      <c r="D921" s="6">
        <v>3.0994999999999999</v>
      </c>
      <c r="E921" s="6">
        <v>7.4943999999999997</v>
      </c>
      <c r="F921" s="6">
        <v>95</v>
      </c>
    </row>
    <row r="922" spans="1:6" x14ac:dyDescent="0.25">
      <c r="A922" s="6" t="s">
        <v>1922</v>
      </c>
      <c r="B922" s="6">
        <v>1.4154</v>
      </c>
      <c r="C922" s="6">
        <v>37</v>
      </c>
      <c r="D922" s="6">
        <v>3.2174999999999998</v>
      </c>
      <c r="E922" s="6">
        <v>4.9116999999999997</v>
      </c>
      <c r="F922" s="6">
        <v>38</v>
      </c>
    </row>
    <row r="923" spans="1:6" x14ac:dyDescent="0.25">
      <c r="A923" s="6" t="s">
        <v>1923</v>
      </c>
      <c r="B923" s="6">
        <v>0.87490000000000001</v>
      </c>
      <c r="C923" s="6">
        <v>22</v>
      </c>
      <c r="D923" s="6">
        <v>3.4449000000000001</v>
      </c>
      <c r="E923" s="6">
        <v>8.2759999999999998</v>
      </c>
      <c r="F923" s="6">
        <v>93</v>
      </c>
    </row>
    <row r="924" spans="1:6" x14ac:dyDescent="0.25">
      <c r="A924" s="6" t="s">
        <v>1924</v>
      </c>
      <c r="B924" s="6">
        <v>1.6585000000000001</v>
      </c>
      <c r="C924" s="6">
        <v>44</v>
      </c>
      <c r="D924" s="6">
        <v>2.6957</v>
      </c>
      <c r="E924" s="6">
        <v>9.4946000000000002</v>
      </c>
      <c r="F924" s="6">
        <v>133</v>
      </c>
    </row>
    <row r="925" spans="1:6" x14ac:dyDescent="0.25">
      <c r="A925" s="6" t="s">
        <v>1925</v>
      </c>
      <c r="B925" s="6">
        <v>2.2652000000000001</v>
      </c>
      <c r="C925" s="6">
        <v>58</v>
      </c>
      <c r="D925" s="6">
        <v>2.2587000000000002</v>
      </c>
      <c r="E925" s="6">
        <v>7.7220000000000004</v>
      </c>
      <c r="F925" s="6">
        <v>108</v>
      </c>
    </row>
    <row r="926" spans="1:6" x14ac:dyDescent="0.25">
      <c r="A926" s="6" t="s">
        <v>1926</v>
      </c>
      <c r="B926" s="6">
        <v>3.1141999999999999</v>
      </c>
      <c r="C926" s="6">
        <v>74</v>
      </c>
      <c r="D926" s="6">
        <v>3.5047999999999999</v>
      </c>
      <c r="E926" s="6">
        <v>10.180899999999999</v>
      </c>
      <c r="F926" s="6">
        <v>113</v>
      </c>
    </row>
    <row r="927" spans="1:6" x14ac:dyDescent="0.25">
      <c r="A927" s="6" t="s">
        <v>1927</v>
      </c>
      <c r="B927" s="6">
        <v>0.88549999999999995</v>
      </c>
      <c r="C927" s="6">
        <v>28</v>
      </c>
      <c r="D927" s="6">
        <v>2.5068999999999999</v>
      </c>
      <c r="E927" s="6">
        <v>9.5233000000000008</v>
      </c>
      <c r="F927" s="6">
        <v>123</v>
      </c>
    </row>
    <row r="928" spans="1:6" x14ac:dyDescent="0.25">
      <c r="A928" s="6" t="s">
        <v>1928</v>
      </c>
      <c r="B928" s="6">
        <v>1.5802</v>
      </c>
      <c r="C928" s="6">
        <v>38</v>
      </c>
      <c r="D928" s="6">
        <v>2.7877999999999998</v>
      </c>
      <c r="E928" s="6">
        <v>9.2678999999999991</v>
      </c>
      <c r="F928" s="6">
        <v>127</v>
      </c>
    </row>
    <row r="929" spans="1:6" x14ac:dyDescent="0.25">
      <c r="A929" s="6" t="s">
        <v>1929</v>
      </c>
      <c r="B929" s="6">
        <v>0.66239999999999999</v>
      </c>
      <c r="C929" s="6">
        <v>21</v>
      </c>
      <c r="D929" s="6">
        <v>1.3186</v>
      </c>
      <c r="E929" s="6">
        <v>9.1051000000000002</v>
      </c>
      <c r="F929" s="6">
        <v>156</v>
      </c>
    </row>
    <row r="930" spans="1:6" x14ac:dyDescent="0.25">
      <c r="A930" s="6" t="s">
        <v>1930</v>
      </c>
      <c r="B930" s="6">
        <v>3.9493</v>
      </c>
      <c r="C930" s="6">
        <v>86</v>
      </c>
      <c r="D930" s="6">
        <v>3.1334</v>
      </c>
      <c r="E930" s="6">
        <v>11.026300000000001</v>
      </c>
      <c r="F930" s="6">
        <v>143</v>
      </c>
    </row>
    <row r="931" spans="1:6" x14ac:dyDescent="0.25">
      <c r="A931" s="6" t="s">
        <v>1931</v>
      </c>
      <c r="B931" s="6">
        <v>1.2264999999999999</v>
      </c>
      <c r="C931" s="6">
        <v>32</v>
      </c>
      <c r="D931" s="6">
        <v>2.802</v>
      </c>
      <c r="E931" s="6">
        <v>9.4489000000000001</v>
      </c>
      <c r="F931" s="6">
        <v>125</v>
      </c>
    </row>
    <row r="932" spans="1:6" x14ac:dyDescent="0.25">
      <c r="A932" s="6" t="s">
        <v>1932</v>
      </c>
      <c r="B932" s="6">
        <v>2.9685999999999999</v>
      </c>
      <c r="C932" s="6">
        <v>66</v>
      </c>
      <c r="D932" s="6">
        <v>2.5486</v>
      </c>
      <c r="E932" s="6">
        <v>5.1818</v>
      </c>
      <c r="F932" s="6">
        <v>48</v>
      </c>
    </row>
    <row r="933" spans="1:6" x14ac:dyDescent="0.25">
      <c r="A933" s="6" t="s">
        <v>1933</v>
      </c>
      <c r="B933" s="6">
        <v>2.9239999999999999</v>
      </c>
      <c r="C933" s="6">
        <v>67</v>
      </c>
      <c r="D933" s="6">
        <v>3.6191</v>
      </c>
      <c r="E933" s="6">
        <v>8.8907000000000007</v>
      </c>
      <c r="F933" s="6">
        <v>90</v>
      </c>
    </row>
    <row r="934" spans="1:6" x14ac:dyDescent="0.25">
      <c r="A934" s="6" t="s">
        <v>1934</v>
      </c>
      <c r="B934" s="6">
        <v>0.63029999999999997</v>
      </c>
      <c r="C934" s="6">
        <v>19</v>
      </c>
      <c r="D934" s="6">
        <v>2.2410000000000001</v>
      </c>
      <c r="E934" s="6">
        <v>7.0166000000000004</v>
      </c>
      <c r="F934" s="6">
        <v>82</v>
      </c>
    </row>
    <row r="935" spans="1:6" x14ac:dyDescent="0.25">
      <c r="A935" s="6" t="s">
        <v>1935</v>
      </c>
      <c r="B935" s="6">
        <v>1.2243999999999999</v>
      </c>
      <c r="C935" s="6">
        <v>32</v>
      </c>
      <c r="D935" s="6">
        <v>2.1802000000000001</v>
      </c>
      <c r="E935" s="6">
        <v>7.1142000000000003</v>
      </c>
      <c r="F935" s="6">
        <v>78</v>
      </c>
    </row>
    <row r="936" spans="1:6" x14ac:dyDescent="0.25">
      <c r="A936" s="6" t="s">
        <v>1936</v>
      </c>
      <c r="B936" s="6">
        <v>1.867</v>
      </c>
      <c r="C936" s="6">
        <v>51</v>
      </c>
      <c r="D936" s="6">
        <v>1.5347999999999999</v>
      </c>
      <c r="E936" s="6">
        <v>7.8795999999999999</v>
      </c>
      <c r="F936" s="6">
        <v>101</v>
      </c>
    </row>
    <row r="937" spans="1:6" x14ac:dyDescent="0.25">
      <c r="A937" s="6" t="s">
        <v>1937</v>
      </c>
      <c r="B937" s="6">
        <v>2.4155000000000002</v>
      </c>
      <c r="C937" s="6">
        <v>54</v>
      </c>
      <c r="D937" s="6">
        <v>2.7642000000000002</v>
      </c>
      <c r="E937" s="6">
        <v>9.8455999999999992</v>
      </c>
      <c r="F937" s="6">
        <v>122</v>
      </c>
    </row>
    <row r="938" spans="1:6" x14ac:dyDescent="0.25">
      <c r="A938" s="6" t="s">
        <v>1938</v>
      </c>
      <c r="B938" s="6">
        <v>2.7481</v>
      </c>
      <c r="C938" s="6">
        <v>67</v>
      </c>
      <c r="D938" s="6">
        <v>2.4708000000000001</v>
      </c>
      <c r="E938" s="6">
        <v>7.8449</v>
      </c>
      <c r="F938" s="6">
        <v>100</v>
      </c>
    </row>
    <row r="939" spans="1:6" x14ac:dyDescent="0.25">
      <c r="A939" s="6" t="s">
        <v>1939</v>
      </c>
      <c r="B939" s="6">
        <v>1.0418000000000001</v>
      </c>
      <c r="C939" s="6">
        <v>31</v>
      </c>
      <c r="D939" s="6">
        <v>1.9032</v>
      </c>
      <c r="E939" s="6">
        <v>9.6470000000000002</v>
      </c>
      <c r="F939" s="6">
        <v>171</v>
      </c>
    </row>
    <row r="940" spans="1:6" x14ac:dyDescent="0.25">
      <c r="A940" s="6" t="s">
        <v>1940</v>
      </c>
      <c r="B940" s="6">
        <v>1.6012999999999999</v>
      </c>
      <c r="C940" s="6">
        <v>46</v>
      </c>
      <c r="D940" s="6">
        <v>1.847</v>
      </c>
      <c r="E940" s="6">
        <v>10.706799999999999</v>
      </c>
      <c r="F940" s="6">
        <v>154</v>
      </c>
    </row>
    <row r="941" spans="1:6" x14ac:dyDescent="0.25">
      <c r="A941" s="6" t="s">
        <v>1941</v>
      </c>
      <c r="B941" s="6">
        <v>1.4802999999999999</v>
      </c>
      <c r="C941" s="6">
        <v>36</v>
      </c>
      <c r="D941" s="6">
        <v>2.4769999999999999</v>
      </c>
      <c r="E941" s="6">
        <v>12.9399</v>
      </c>
      <c r="F941" s="6">
        <v>166</v>
      </c>
    </row>
    <row r="942" spans="1:6" x14ac:dyDescent="0.25">
      <c r="A942" s="6" t="s">
        <v>1942</v>
      </c>
      <c r="B942" s="6">
        <v>1.1119000000000001</v>
      </c>
      <c r="C942" s="6">
        <v>30</v>
      </c>
      <c r="D942" s="6">
        <v>1.9131</v>
      </c>
      <c r="E942" s="6">
        <v>11.6501</v>
      </c>
      <c r="F942" s="6">
        <v>175</v>
      </c>
    </row>
    <row r="943" spans="1:6" x14ac:dyDescent="0.25">
      <c r="A943" s="6" t="s">
        <v>1943</v>
      </c>
      <c r="B943" s="6">
        <v>1.3631</v>
      </c>
      <c r="C943" s="6">
        <v>35</v>
      </c>
      <c r="D943" s="6">
        <v>1.9501999999999999</v>
      </c>
      <c r="E943" s="6">
        <v>13.440099999999999</v>
      </c>
      <c r="F943" s="6">
        <v>148</v>
      </c>
    </row>
    <row r="944" spans="1:6" x14ac:dyDescent="0.25">
      <c r="A944" s="6" t="s">
        <v>1944</v>
      </c>
      <c r="B944" s="6">
        <v>3.6627000000000001</v>
      </c>
      <c r="C944" s="6">
        <v>77</v>
      </c>
      <c r="D944" s="6">
        <v>3.2559</v>
      </c>
      <c r="E944" s="6">
        <v>10.167199999999999</v>
      </c>
      <c r="F944" s="6">
        <v>144</v>
      </c>
    </row>
    <row r="945" spans="1:6" x14ac:dyDescent="0.25">
      <c r="A945" s="6" t="s">
        <v>1945</v>
      </c>
      <c r="B945" s="6">
        <v>0.76719999999999999</v>
      </c>
      <c r="C945" s="6">
        <v>26</v>
      </c>
      <c r="D945" s="6">
        <v>2.4558</v>
      </c>
      <c r="E945" s="6">
        <v>10.273400000000001</v>
      </c>
      <c r="F945" s="6">
        <v>144</v>
      </c>
    </row>
    <row r="946" spans="1:6" x14ac:dyDescent="0.25">
      <c r="A946" s="6" t="s">
        <v>1946</v>
      </c>
      <c r="B946" s="6">
        <v>1.6588000000000001</v>
      </c>
      <c r="C946" s="6">
        <v>46</v>
      </c>
      <c r="D946" s="6">
        <v>2.4596</v>
      </c>
      <c r="E946" s="6">
        <v>6.3034999999999997</v>
      </c>
      <c r="F946" s="6">
        <v>81</v>
      </c>
    </row>
    <row r="947" spans="1:6" x14ac:dyDescent="0.25">
      <c r="A947" s="6" t="s">
        <v>1947</v>
      </c>
      <c r="B947" s="6">
        <v>2.7122999999999999</v>
      </c>
      <c r="C947" s="6">
        <v>71</v>
      </c>
      <c r="D947" s="6">
        <v>2.3241000000000001</v>
      </c>
      <c r="E947" s="6">
        <v>7.3437000000000001</v>
      </c>
      <c r="F947" s="6">
        <v>104</v>
      </c>
    </row>
    <row r="948" spans="1:6" x14ac:dyDescent="0.25">
      <c r="A948" s="6" t="s">
        <v>1948</v>
      </c>
      <c r="B948" s="6">
        <v>3.2425000000000002</v>
      </c>
      <c r="C948" s="6">
        <v>78</v>
      </c>
      <c r="D948" s="6">
        <v>2.6032000000000002</v>
      </c>
      <c r="E948" s="6">
        <v>14.5449</v>
      </c>
      <c r="F948" s="6">
        <v>192</v>
      </c>
    </row>
    <row r="949" spans="1:6" x14ac:dyDescent="0.25">
      <c r="A949" s="6" t="s">
        <v>1949</v>
      </c>
      <c r="B949" s="6">
        <v>1.7011000000000001</v>
      </c>
      <c r="C949" s="6">
        <v>47</v>
      </c>
      <c r="D949" s="6">
        <v>2.2763</v>
      </c>
      <c r="E949" s="6">
        <v>13.595000000000001</v>
      </c>
      <c r="F949" s="6">
        <v>160</v>
      </c>
    </row>
    <row r="950" spans="1:6" x14ac:dyDescent="0.25">
      <c r="A950" s="6" t="s">
        <v>1950</v>
      </c>
      <c r="B950" s="6">
        <v>0.76919999999999999</v>
      </c>
      <c r="C950" s="6">
        <v>25</v>
      </c>
      <c r="D950" s="6">
        <v>1.9632000000000001</v>
      </c>
      <c r="E950" s="6">
        <v>2.9893000000000001</v>
      </c>
      <c r="F950" s="6">
        <v>33</v>
      </c>
    </row>
    <row r="951" spans="1:6" x14ac:dyDescent="0.25">
      <c r="A951" s="6" t="s">
        <v>1951</v>
      </c>
      <c r="B951" s="6">
        <v>0.73470000000000002</v>
      </c>
      <c r="C951" s="6">
        <v>25</v>
      </c>
      <c r="D951" s="6">
        <v>1.6805000000000001</v>
      </c>
      <c r="E951" s="6">
        <v>11.4282</v>
      </c>
      <c r="F951" s="6">
        <v>160</v>
      </c>
    </row>
    <row r="952" spans="1:6" x14ac:dyDescent="0.25">
      <c r="A952" s="6" t="s">
        <v>1952</v>
      </c>
      <c r="B952" s="6">
        <v>1.6007</v>
      </c>
      <c r="C952" s="6">
        <v>40</v>
      </c>
      <c r="D952" s="6">
        <v>2.6364000000000001</v>
      </c>
      <c r="E952" s="6">
        <v>6.6402999999999999</v>
      </c>
      <c r="F952" s="6">
        <v>71</v>
      </c>
    </row>
    <row r="953" spans="1:6" x14ac:dyDescent="0.25">
      <c r="A953" s="6" t="s">
        <v>1953</v>
      </c>
      <c r="B953" s="6">
        <v>1.4029</v>
      </c>
      <c r="C953" s="6">
        <v>22</v>
      </c>
      <c r="D953" s="6">
        <v>0.83560000000000001</v>
      </c>
      <c r="E953" s="6">
        <v>5.7567000000000004</v>
      </c>
      <c r="F953" s="6">
        <v>95</v>
      </c>
    </row>
    <row r="954" spans="1:6" x14ac:dyDescent="0.25">
      <c r="A954" s="6" t="s">
        <v>1954</v>
      </c>
      <c r="B954" s="6">
        <v>3.3843000000000001</v>
      </c>
      <c r="C954" s="6">
        <v>77</v>
      </c>
      <c r="D954" s="6">
        <v>2.7523</v>
      </c>
      <c r="E954" s="6">
        <v>11.963800000000001</v>
      </c>
      <c r="F954" s="6">
        <v>138</v>
      </c>
    </row>
    <row r="955" spans="1:6" x14ac:dyDescent="0.25">
      <c r="A955" s="6" t="s">
        <v>1955</v>
      </c>
      <c r="B955" s="6">
        <v>1.6425000000000001</v>
      </c>
      <c r="C955" s="6">
        <v>40</v>
      </c>
      <c r="D955" s="6">
        <v>2.6566999999999998</v>
      </c>
      <c r="E955" s="6">
        <v>7.2708000000000004</v>
      </c>
      <c r="F955" s="6">
        <v>90</v>
      </c>
    </row>
    <row r="956" spans="1:6" x14ac:dyDescent="0.25">
      <c r="A956" s="6" t="s">
        <v>1956</v>
      </c>
      <c r="B956" s="6">
        <v>1.9817</v>
      </c>
      <c r="C956" s="6">
        <v>54</v>
      </c>
      <c r="D956" s="6">
        <v>2.2302</v>
      </c>
      <c r="E956" s="6">
        <v>8.6298999999999992</v>
      </c>
      <c r="F956" s="6">
        <v>110</v>
      </c>
    </row>
    <row r="957" spans="1:6" x14ac:dyDescent="0.25">
      <c r="A957" s="6" t="s">
        <v>1957</v>
      </c>
      <c r="B957" s="6">
        <v>1.6024</v>
      </c>
      <c r="C957" s="6">
        <v>40</v>
      </c>
      <c r="D957" s="6">
        <v>2.3603999999999998</v>
      </c>
      <c r="E957" s="6">
        <v>10.0329</v>
      </c>
      <c r="F957" s="6">
        <v>124</v>
      </c>
    </row>
    <row r="958" spans="1:6" x14ac:dyDescent="0.25">
      <c r="A958" s="6" t="s">
        <v>1958</v>
      </c>
      <c r="B958" s="6">
        <v>1.8806</v>
      </c>
      <c r="C958" s="6">
        <v>50</v>
      </c>
      <c r="D958" s="6">
        <v>2.2031999999999998</v>
      </c>
      <c r="E958" s="6">
        <v>6.5570000000000004</v>
      </c>
      <c r="F958" s="6">
        <v>74</v>
      </c>
    </row>
    <row r="959" spans="1:6" x14ac:dyDescent="0.25">
      <c r="A959" s="6" t="s">
        <v>1959</v>
      </c>
      <c r="B959" s="6">
        <v>3.6410999999999998</v>
      </c>
      <c r="C959" s="6">
        <v>79</v>
      </c>
      <c r="D959" s="6">
        <v>2.6791999999999998</v>
      </c>
      <c r="E959" s="6">
        <v>13.757099999999999</v>
      </c>
      <c r="F959" s="6">
        <v>176</v>
      </c>
    </row>
    <row r="960" spans="1:6" x14ac:dyDescent="0.25">
      <c r="A960" s="6" t="s">
        <v>1960</v>
      </c>
      <c r="B960" s="6">
        <v>1.2899</v>
      </c>
      <c r="C960" s="6">
        <v>37</v>
      </c>
      <c r="D960" s="6">
        <v>2.6333000000000002</v>
      </c>
      <c r="E960" s="6">
        <v>8.6389999999999993</v>
      </c>
      <c r="F960" s="6">
        <v>115</v>
      </c>
    </row>
    <row r="961" spans="1:6" x14ac:dyDescent="0.25">
      <c r="A961" s="6" t="s">
        <v>1961</v>
      </c>
      <c r="B961" s="6">
        <v>0.95589999999999997</v>
      </c>
      <c r="C961" s="6">
        <v>29</v>
      </c>
      <c r="D961" s="6">
        <v>1.6380999999999999</v>
      </c>
      <c r="E961" s="6">
        <v>4.9762000000000004</v>
      </c>
      <c r="F961" s="6">
        <v>66</v>
      </c>
    </row>
    <row r="962" spans="1:6" x14ac:dyDescent="0.25">
      <c r="A962" s="6" t="s">
        <v>1962</v>
      </c>
      <c r="B962" s="6">
        <v>1.6123000000000001</v>
      </c>
      <c r="C962" s="6">
        <v>46</v>
      </c>
      <c r="D962" s="6">
        <v>2.3351999999999999</v>
      </c>
      <c r="E962" s="6">
        <v>8.4236000000000004</v>
      </c>
      <c r="F962" s="6">
        <v>115</v>
      </c>
    </row>
    <row r="963" spans="1:6" x14ac:dyDescent="0.25">
      <c r="A963" s="6" t="s">
        <v>1963</v>
      </c>
      <c r="B963" s="6">
        <v>4.5018000000000002</v>
      </c>
      <c r="C963" s="6">
        <v>89</v>
      </c>
      <c r="D963" s="6">
        <v>2.6646999999999998</v>
      </c>
      <c r="E963" s="6">
        <v>17.813400000000001</v>
      </c>
      <c r="F963" s="6">
        <v>245</v>
      </c>
    </row>
    <row r="964" spans="1:6" x14ac:dyDescent="0.25">
      <c r="A964" s="6" t="s">
        <v>1964</v>
      </c>
      <c r="B964" s="6">
        <v>1.3172999999999999</v>
      </c>
      <c r="C964" s="6">
        <v>41</v>
      </c>
      <c r="D964" s="6">
        <v>1.7866</v>
      </c>
      <c r="E964" s="6">
        <v>9.8751999999999995</v>
      </c>
      <c r="F964" s="6">
        <v>144</v>
      </c>
    </row>
    <row r="965" spans="1:6" x14ac:dyDescent="0.25">
      <c r="A965" s="6" t="s">
        <v>1965</v>
      </c>
      <c r="B965" s="6">
        <v>2.8923000000000001</v>
      </c>
      <c r="C965" s="6">
        <v>71</v>
      </c>
      <c r="D965" s="6">
        <v>2.8839000000000001</v>
      </c>
      <c r="E965" s="6">
        <v>14.517200000000001</v>
      </c>
      <c r="F965" s="6">
        <v>193</v>
      </c>
    </row>
    <row r="966" spans="1:6" x14ac:dyDescent="0.25">
      <c r="A966" s="6" t="s">
        <v>1966</v>
      </c>
      <c r="B966" s="6">
        <v>3.5552000000000001</v>
      </c>
      <c r="C966" s="6">
        <v>81</v>
      </c>
      <c r="D966" s="6">
        <v>2.5668000000000002</v>
      </c>
      <c r="E966" s="6">
        <v>9.6679999999999993</v>
      </c>
      <c r="F966" s="6">
        <v>124</v>
      </c>
    </row>
    <row r="967" spans="1:6" x14ac:dyDescent="0.25">
      <c r="A967" s="6" t="s">
        <v>1967</v>
      </c>
      <c r="B967" s="6">
        <v>1.575</v>
      </c>
      <c r="C967" s="6">
        <v>43</v>
      </c>
      <c r="D967" s="6">
        <v>2.0200999999999998</v>
      </c>
      <c r="E967" s="6">
        <v>9.5816999999999997</v>
      </c>
      <c r="F967" s="6">
        <v>132</v>
      </c>
    </row>
    <row r="968" spans="1:6" x14ac:dyDescent="0.25">
      <c r="A968" s="6" t="s">
        <v>1968</v>
      </c>
      <c r="B968" s="6">
        <v>0.81730000000000003</v>
      </c>
      <c r="C968" s="6">
        <v>25</v>
      </c>
      <c r="D968" s="6">
        <v>1.5857000000000001</v>
      </c>
      <c r="E968" s="6">
        <v>9.3466000000000005</v>
      </c>
      <c r="F968" s="6">
        <v>115</v>
      </c>
    </row>
    <row r="969" spans="1:6" x14ac:dyDescent="0.25">
      <c r="A969" s="6" t="s">
        <v>1969</v>
      </c>
      <c r="B969" s="6">
        <v>1.1604000000000001</v>
      </c>
      <c r="C969" s="6">
        <v>27</v>
      </c>
      <c r="D969" s="6">
        <v>2.7688000000000001</v>
      </c>
      <c r="E969" s="6">
        <v>11.3818</v>
      </c>
      <c r="F969" s="6">
        <v>170</v>
      </c>
    </row>
    <row r="970" spans="1:6" x14ac:dyDescent="0.25">
      <c r="A970" s="6" t="s">
        <v>1970</v>
      </c>
      <c r="B970" s="6">
        <v>4.3453999999999997</v>
      </c>
      <c r="C970" s="6">
        <v>98</v>
      </c>
      <c r="D970" s="6">
        <v>2.7107000000000001</v>
      </c>
      <c r="E970" s="6">
        <v>5.6386000000000003</v>
      </c>
      <c r="F970" s="6">
        <v>60</v>
      </c>
    </row>
    <row r="971" spans="1:6" x14ac:dyDescent="0.25">
      <c r="A971" s="6" t="s">
        <v>1971</v>
      </c>
      <c r="B971" s="6">
        <v>2.2816999999999998</v>
      </c>
      <c r="C971" s="6">
        <v>62</v>
      </c>
      <c r="D971" s="6">
        <v>2.153</v>
      </c>
      <c r="E971" s="6">
        <v>15.194900000000001</v>
      </c>
      <c r="F971" s="6">
        <v>196</v>
      </c>
    </row>
    <row r="972" spans="1:6" x14ac:dyDescent="0.25">
      <c r="A972" s="6" t="s">
        <v>1972</v>
      </c>
      <c r="B972" s="6">
        <v>1.1474</v>
      </c>
      <c r="C972" s="6">
        <v>34</v>
      </c>
      <c r="D972" s="6">
        <v>2.5333000000000001</v>
      </c>
      <c r="E972" s="6">
        <v>7.7702999999999998</v>
      </c>
      <c r="F972" s="6">
        <v>106</v>
      </c>
    </row>
    <row r="973" spans="1:6" x14ac:dyDescent="0.25">
      <c r="A973" s="6" t="s">
        <v>1973</v>
      </c>
      <c r="B973" s="6">
        <v>1.3813</v>
      </c>
      <c r="C973" s="6">
        <v>35</v>
      </c>
      <c r="D973" s="6">
        <v>2.7797999999999998</v>
      </c>
      <c r="E973" s="6">
        <v>18.4605</v>
      </c>
      <c r="F973" s="6">
        <v>256</v>
      </c>
    </row>
    <row r="974" spans="1:6" x14ac:dyDescent="0.25">
      <c r="A974" s="6" t="s">
        <v>1974</v>
      </c>
      <c r="B974" s="6">
        <v>3.5476000000000001</v>
      </c>
      <c r="C974" s="6">
        <v>78</v>
      </c>
      <c r="D974" s="6">
        <v>2.9097</v>
      </c>
      <c r="E974" s="6">
        <v>18.0077</v>
      </c>
      <c r="F974" s="6">
        <v>264</v>
      </c>
    </row>
    <row r="975" spans="1:6" x14ac:dyDescent="0.25">
      <c r="A975" s="6" t="s">
        <v>1975</v>
      </c>
      <c r="B975" s="6">
        <v>1.8162</v>
      </c>
      <c r="C975" s="6">
        <v>43</v>
      </c>
      <c r="D975" s="6">
        <v>3.0293999999999999</v>
      </c>
      <c r="E975" s="6">
        <v>11.128299999999999</v>
      </c>
      <c r="F975" s="6">
        <v>146</v>
      </c>
    </row>
    <row r="976" spans="1:6" x14ac:dyDescent="0.25">
      <c r="A976" s="6" t="s">
        <v>1976</v>
      </c>
      <c r="B976" s="6">
        <v>2.8980000000000001</v>
      </c>
      <c r="C976" s="6">
        <v>63</v>
      </c>
      <c r="D976" s="6">
        <v>3.7896000000000001</v>
      </c>
      <c r="E976" s="6">
        <v>9.4809000000000001</v>
      </c>
      <c r="F976" s="6">
        <v>113</v>
      </c>
    </row>
    <row r="977" spans="1:6" x14ac:dyDescent="0.25">
      <c r="A977" s="6" t="s">
        <v>1977</v>
      </c>
      <c r="B977" s="6">
        <v>1.0923</v>
      </c>
      <c r="C977" s="6">
        <v>29</v>
      </c>
      <c r="D977" s="6">
        <v>3.044</v>
      </c>
      <c r="E977" s="6">
        <v>6.8417000000000003</v>
      </c>
      <c r="F977" s="6">
        <v>87</v>
      </c>
    </row>
    <row r="978" spans="1:6" x14ac:dyDescent="0.25">
      <c r="A978" s="6" t="s">
        <v>1978</v>
      </c>
      <c r="B978" s="6">
        <v>2.2995999999999999</v>
      </c>
      <c r="C978" s="6">
        <v>50</v>
      </c>
      <c r="D978" s="6">
        <v>3.1454</v>
      </c>
      <c r="E978" s="6">
        <v>11.9375</v>
      </c>
      <c r="F978" s="6">
        <v>179</v>
      </c>
    </row>
    <row r="979" spans="1:6" x14ac:dyDescent="0.25">
      <c r="A979" s="6" t="s">
        <v>1979</v>
      </c>
      <c r="B979" s="6">
        <v>2.0034999999999998</v>
      </c>
      <c r="C979" s="6">
        <v>55</v>
      </c>
      <c r="D979" s="6">
        <v>2.1248</v>
      </c>
      <c r="E979" s="6">
        <v>16.7469</v>
      </c>
      <c r="F979" s="6">
        <v>281</v>
      </c>
    </row>
    <row r="980" spans="1:6" x14ac:dyDescent="0.25">
      <c r="A980" s="6" t="s">
        <v>1980</v>
      </c>
      <c r="B980" s="6">
        <v>2.3624000000000001</v>
      </c>
      <c r="C980" s="6">
        <v>62</v>
      </c>
      <c r="D980" s="6">
        <v>2.5434000000000001</v>
      </c>
      <c r="E980" s="6">
        <v>13.338200000000001</v>
      </c>
      <c r="F980" s="6">
        <v>177</v>
      </c>
    </row>
    <row r="981" spans="1:6" x14ac:dyDescent="0.25">
      <c r="A981" s="6" t="s">
        <v>1981</v>
      </c>
      <c r="B981" s="6">
        <v>1.7047000000000001</v>
      </c>
      <c r="C981" s="6">
        <v>47</v>
      </c>
      <c r="D981" s="6">
        <v>2.9146999999999998</v>
      </c>
      <c r="E981" s="6">
        <v>12.3521</v>
      </c>
      <c r="F981" s="6">
        <v>166</v>
      </c>
    </row>
    <row r="982" spans="1:6" x14ac:dyDescent="0.25">
      <c r="A982" s="6" t="s">
        <v>1982</v>
      </c>
      <c r="B982" s="6">
        <v>3.1968999999999999</v>
      </c>
      <c r="C982" s="6">
        <v>74</v>
      </c>
      <c r="D982" s="6">
        <v>2.9161999999999999</v>
      </c>
      <c r="E982" s="6">
        <v>15.2668</v>
      </c>
      <c r="F982" s="6">
        <v>247</v>
      </c>
    </row>
    <row r="983" spans="1:6" x14ac:dyDescent="0.25">
      <c r="A983" s="6" t="s">
        <v>1983</v>
      </c>
      <c r="B983" s="6">
        <v>1.6248</v>
      </c>
      <c r="C983" s="6">
        <v>47</v>
      </c>
      <c r="D983" s="6">
        <v>2.7039</v>
      </c>
      <c r="E983" s="6">
        <v>9.5176999999999996</v>
      </c>
      <c r="F983" s="6">
        <v>130</v>
      </c>
    </row>
    <row r="984" spans="1:6" x14ac:dyDescent="0.25">
      <c r="A984" s="6" t="s">
        <v>1984</v>
      </c>
      <c r="B984" s="6">
        <v>1.2830999999999999</v>
      </c>
      <c r="C984" s="6">
        <v>37</v>
      </c>
      <c r="D984" s="6">
        <v>3.2179000000000002</v>
      </c>
      <c r="E984" s="6">
        <v>10.559900000000001</v>
      </c>
      <c r="F984" s="6">
        <v>116</v>
      </c>
    </row>
    <row r="985" spans="1:6" x14ac:dyDescent="0.25">
      <c r="A985" s="6" t="s">
        <v>1985</v>
      </c>
      <c r="B985" s="6">
        <v>3.64</v>
      </c>
      <c r="C985" s="6">
        <v>64</v>
      </c>
      <c r="D985" s="6">
        <v>4.1143000000000001</v>
      </c>
      <c r="E985" s="6">
        <v>15.1821</v>
      </c>
      <c r="F985" s="6">
        <v>198</v>
      </c>
    </row>
    <row r="986" spans="1:6" x14ac:dyDescent="0.25">
      <c r="A986" s="6" t="s">
        <v>1986</v>
      </c>
      <c r="B986" s="6">
        <v>3.7261000000000002</v>
      </c>
      <c r="C986" s="6">
        <v>84</v>
      </c>
      <c r="D986" s="6">
        <v>3.5259999999999998</v>
      </c>
      <c r="E986" s="6">
        <v>16.9815</v>
      </c>
      <c r="F986" s="6">
        <v>202</v>
      </c>
    </row>
    <row r="987" spans="1:6" x14ac:dyDescent="0.25">
      <c r="A987" s="6" t="s">
        <v>1987</v>
      </c>
      <c r="B987" s="6">
        <v>3.5882000000000001</v>
      </c>
      <c r="C987" s="6">
        <v>77</v>
      </c>
      <c r="D987" s="6">
        <v>3.2565</v>
      </c>
      <c r="E987" s="6">
        <v>14.1607</v>
      </c>
      <c r="F987" s="6">
        <v>197</v>
      </c>
    </row>
    <row r="988" spans="1:6" x14ac:dyDescent="0.25">
      <c r="A988" s="6" t="s">
        <v>1988</v>
      </c>
      <c r="B988" s="6">
        <v>3.0243000000000002</v>
      </c>
      <c r="C988" s="6">
        <v>64</v>
      </c>
      <c r="D988" s="6">
        <v>2.927</v>
      </c>
      <c r="E988" s="6">
        <v>12.555099999999999</v>
      </c>
      <c r="F988" s="6">
        <v>163</v>
      </c>
    </row>
    <row r="989" spans="1:6" x14ac:dyDescent="0.25">
      <c r="A989" s="6" t="s">
        <v>1989</v>
      </c>
      <c r="B989" s="6">
        <v>4.5167000000000002</v>
      </c>
      <c r="C989" s="6">
        <v>102</v>
      </c>
      <c r="D989" s="6">
        <v>2.8489</v>
      </c>
      <c r="E989" s="6">
        <v>9.1326000000000001</v>
      </c>
      <c r="F989" s="6">
        <v>110</v>
      </c>
    </row>
    <row r="990" spans="1:6" x14ac:dyDescent="0.25">
      <c r="A990" s="6" t="s">
        <v>1990</v>
      </c>
      <c r="B990" s="6">
        <v>1.5466</v>
      </c>
      <c r="C990" s="6">
        <v>42</v>
      </c>
      <c r="D990" s="6">
        <v>2.2501000000000002</v>
      </c>
      <c r="E990" s="6">
        <v>11.9161</v>
      </c>
      <c r="F990" s="6">
        <v>172</v>
      </c>
    </row>
    <row r="991" spans="1:6" x14ac:dyDescent="0.25">
      <c r="A991" s="6" t="s">
        <v>1991</v>
      </c>
      <c r="B991" s="6">
        <v>3.7967</v>
      </c>
      <c r="C991" s="6">
        <v>88</v>
      </c>
      <c r="D991" s="6">
        <v>2.6968000000000001</v>
      </c>
      <c r="E991" s="6">
        <v>11.467499999999999</v>
      </c>
      <c r="F991" s="6">
        <v>142</v>
      </c>
    </row>
    <row r="992" spans="1:6" x14ac:dyDescent="0.25">
      <c r="A992" s="6" t="s">
        <v>1992</v>
      </c>
      <c r="B992" s="6">
        <v>4.9191000000000003</v>
      </c>
      <c r="C992" s="6">
        <v>102</v>
      </c>
      <c r="D992" s="6">
        <v>3.6798000000000002</v>
      </c>
      <c r="E992" s="6">
        <v>16.080300000000001</v>
      </c>
      <c r="F992" s="6">
        <v>173</v>
      </c>
    </row>
    <row r="993" spans="1:6" x14ac:dyDescent="0.25">
      <c r="A993" s="6" t="s">
        <v>1993</v>
      </c>
      <c r="B993" s="6">
        <v>1.1466000000000001</v>
      </c>
      <c r="C993" s="6">
        <v>32</v>
      </c>
      <c r="D993" s="6">
        <v>2.5466000000000002</v>
      </c>
      <c r="E993" s="6">
        <v>8.9468999999999994</v>
      </c>
      <c r="F993" s="6">
        <v>109</v>
      </c>
    </row>
    <row r="994" spans="1:6" x14ac:dyDescent="0.25">
      <c r="A994" s="6" t="s">
        <v>1994</v>
      </c>
      <c r="B994" s="6">
        <v>2.4424000000000001</v>
      </c>
      <c r="C994" s="6">
        <v>61</v>
      </c>
      <c r="D994" s="6">
        <v>2.8256000000000001</v>
      </c>
      <c r="E994" s="6">
        <v>15.076599999999999</v>
      </c>
      <c r="F994" s="6">
        <v>188</v>
      </c>
    </row>
    <row r="995" spans="1:6" x14ac:dyDescent="0.25">
      <c r="A995" s="6" t="s">
        <v>1995</v>
      </c>
      <c r="B995" s="6">
        <v>2.0680000000000001</v>
      </c>
      <c r="C995" s="6">
        <v>53</v>
      </c>
      <c r="D995" s="6">
        <v>2.6671</v>
      </c>
      <c r="E995" s="6">
        <v>8.5840999999999994</v>
      </c>
      <c r="F995" s="6">
        <v>116</v>
      </c>
    </row>
    <row r="996" spans="1:6" x14ac:dyDescent="0.25">
      <c r="A996" s="6" t="s">
        <v>1996</v>
      </c>
      <c r="B996" s="6">
        <v>1.7694000000000001</v>
      </c>
      <c r="C996" s="6">
        <v>43</v>
      </c>
      <c r="D996" s="6">
        <v>2.9855</v>
      </c>
      <c r="E996" s="6">
        <v>14.071199999999999</v>
      </c>
      <c r="F996" s="6">
        <v>184</v>
      </c>
    </row>
    <row r="997" spans="1:6" x14ac:dyDescent="0.25">
      <c r="A997" s="6" t="s">
        <v>1997</v>
      </c>
      <c r="B997" s="6">
        <v>2.1922999999999999</v>
      </c>
      <c r="C997" s="6">
        <v>53</v>
      </c>
      <c r="D997" s="6">
        <v>2.8898999999999999</v>
      </c>
      <c r="E997" s="6">
        <v>13.7674</v>
      </c>
      <c r="F997" s="6">
        <v>178</v>
      </c>
    </row>
    <row r="998" spans="1:6" x14ac:dyDescent="0.25">
      <c r="A998" s="6" t="s">
        <v>1998</v>
      </c>
      <c r="B998" s="6">
        <v>1.9582999999999999</v>
      </c>
      <c r="C998" s="6">
        <v>52</v>
      </c>
      <c r="D998" s="6">
        <v>2.5266999999999999</v>
      </c>
      <c r="E998" s="6">
        <v>9.6531000000000002</v>
      </c>
      <c r="F998" s="6">
        <v>135</v>
      </c>
    </row>
    <row r="999" spans="1:6" x14ac:dyDescent="0.25">
      <c r="A999" s="6" t="s">
        <v>1999</v>
      </c>
      <c r="B999" s="6">
        <v>1.9371</v>
      </c>
      <c r="C999" s="6">
        <v>47</v>
      </c>
      <c r="D999" s="6">
        <v>2.5024000000000002</v>
      </c>
      <c r="E999" s="6">
        <v>12.0656</v>
      </c>
      <c r="F999" s="6">
        <v>176</v>
      </c>
    </row>
    <row r="1000" spans="1:6" x14ac:dyDescent="0.25">
      <c r="A1000" s="6" t="s">
        <v>2000</v>
      </c>
      <c r="B1000" s="6">
        <v>2.7174999999999998</v>
      </c>
      <c r="C1000" s="6">
        <v>64</v>
      </c>
      <c r="D1000" s="6">
        <v>2.7551000000000001</v>
      </c>
      <c r="E1000" s="6">
        <v>8.7819000000000003</v>
      </c>
      <c r="F1000" s="6">
        <v>130</v>
      </c>
    </row>
    <row r="1001" spans="1:6" x14ac:dyDescent="0.25">
      <c r="A1001" s="6" t="s">
        <v>2001</v>
      </c>
      <c r="B1001" s="6">
        <v>3.6177999999999999</v>
      </c>
      <c r="C1001" s="6">
        <v>80</v>
      </c>
      <c r="D1001" s="6">
        <v>3.2067999999999999</v>
      </c>
      <c r="E1001" s="6">
        <v>7.8278999999999996</v>
      </c>
      <c r="F1001" s="6">
        <v>96</v>
      </c>
    </row>
    <row r="1002" spans="1:6" x14ac:dyDescent="0.25">
      <c r="A1002" s="6" t="s">
        <v>2002</v>
      </c>
      <c r="B1002" s="6">
        <v>2.7886000000000002</v>
      </c>
      <c r="C1002" s="6">
        <v>74</v>
      </c>
      <c r="D1002" s="6">
        <v>2.3767999999999998</v>
      </c>
      <c r="E1002" s="6">
        <v>12.626200000000001</v>
      </c>
      <c r="F1002" s="6">
        <v>197</v>
      </c>
    </row>
    <row r="1003" spans="1:6" x14ac:dyDescent="0.25">
      <c r="A1003" s="6" t="s">
        <v>2003</v>
      </c>
      <c r="B1003" s="6">
        <v>2.3738000000000001</v>
      </c>
      <c r="C1003" s="6">
        <v>58</v>
      </c>
      <c r="D1003" s="6">
        <v>2.5253000000000001</v>
      </c>
      <c r="E1003" s="6">
        <v>9.7200000000000006</v>
      </c>
      <c r="F1003" s="6">
        <v>143</v>
      </c>
    </row>
    <row r="1004" spans="1:6" x14ac:dyDescent="0.25">
      <c r="A1004" s="6" t="s">
        <v>2004</v>
      </c>
      <c r="B1004" s="6">
        <v>1.0501</v>
      </c>
      <c r="C1004" s="6">
        <v>31</v>
      </c>
      <c r="D1004" s="6">
        <v>2.6139000000000001</v>
      </c>
      <c r="E1004" s="6">
        <v>10.871</v>
      </c>
      <c r="F1004" s="6">
        <v>155</v>
      </c>
    </row>
    <row r="1005" spans="1:6" x14ac:dyDescent="0.25">
      <c r="A1005" s="6" t="s">
        <v>2005</v>
      </c>
      <c r="B1005" s="6">
        <v>2.9022999999999999</v>
      </c>
      <c r="C1005" s="6">
        <v>76</v>
      </c>
      <c r="D1005" s="6">
        <v>2.6151</v>
      </c>
      <c r="E1005" s="6">
        <v>10.0322</v>
      </c>
      <c r="F1005" s="6">
        <v>122</v>
      </c>
    </row>
    <row r="1006" spans="1:6" x14ac:dyDescent="0.25">
      <c r="A1006" s="6" t="s">
        <v>2006</v>
      </c>
      <c r="B1006" s="6">
        <v>2.9744999999999999</v>
      </c>
      <c r="C1006" s="6">
        <v>58</v>
      </c>
      <c r="D1006" s="6">
        <v>4.0431999999999997</v>
      </c>
      <c r="E1006" s="6">
        <v>11.393800000000001</v>
      </c>
      <c r="F1006" s="6">
        <v>129</v>
      </c>
    </row>
    <row r="1007" spans="1:6" x14ac:dyDescent="0.25">
      <c r="A1007" s="6" t="s">
        <v>2007</v>
      </c>
      <c r="B1007" s="6">
        <v>2.1000999999999999</v>
      </c>
      <c r="C1007" s="6">
        <v>55</v>
      </c>
      <c r="D1007" s="6">
        <v>3.0539000000000001</v>
      </c>
      <c r="E1007" s="6">
        <v>9.8547999999999991</v>
      </c>
      <c r="F1007" s="6">
        <v>114</v>
      </c>
    </row>
    <row r="1008" spans="1:6" x14ac:dyDescent="0.25">
      <c r="A1008" s="6" t="s">
        <v>2008</v>
      </c>
      <c r="B1008" s="6">
        <v>2.7911000000000001</v>
      </c>
      <c r="C1008" s="6">
        <v>64</v>
      </c>
      <c r="D1008" s="6">
        <v>3.1676000000000002</v>
      </c>
      <c r="E1008" s="6">
        <v>9.4763999999999999</v>
      </c>
      <c r="F1008" s="6">
        <v>116</v>
      </c>
    </row>
    <row r="1009" spans="1:6" x14ac:dyDescent="0.25">
      <c r="A1009" s="6" t="s">
        <v>2009</v>
      </c>
      <c r="B1009" s="6">
        <v>1.6367</v>
      </c>
      <c r="C1009" s="6">
        <v>40</v>
      </c>
      <c r="D1009" s="6">
        <v>3.0476999999999999</v>
      </c>
      <c r="E1009" s="6">
        <v>9.0691000000000006</v>
      </c>
      <c r="F1009" s="6">
        <v>118</v>
      </c>
    </row>
    <row r="1010" spans="1:6" x14ac:dyDescent="0.25">
      <c r="A1010" s="6" t="s">
        <v>2010</v>
      </c>
      <c r="B1010" s="6">
        <v>4.5732999999999997</v>
      </c>
      <c r="C1010" s="6">
        <v>92</v>
      </c>
      <c r="D1010" s="6">
        <v>3.7496999999999998</v>
      </c>
      <c r="E1010" s="6">
        <v>18.697900000000001</v>
      </c>
      <c r="F1010" s="6">
        <v>228</v>
      </c>
    </row>
    <row r="1011" spans="1:6" x14ac:dyDescent="0.25">
      <c r="A1011" s="6" t="s">
        <v>2011</v>
      </c>
      <c r="B1011" s="6">
        <v>1.19</v>
      </c>
      <c r="C1011" s="6">
        <v>34</v>
      </c>
      <c r="D1011" s="6">
        <v>3.2241</v>
      </c>
      <c r="E1011" s="6">
        <v>6.5857999999999999</v>
      </c>
      <c r="F1011" s="6">
        <v>58</v>
      </c>
    </row>
    <row r="1012" spans="1:6" x14ac:dyDescent="0.25">
      <c r="A1012" s="6" t="s">
        <v>2012</v>
      </c>
      <c r="B1012" s="6">
        <v>1.5865</v>
      </c>
      <c r="C1012" s="6">
        <v>41</v>
      </c>
      <c r="D1012" s="6">
        <v>2.282</v>
      </c>
      <c r="E1012" s="6">
        <v>9.6469000000000005</v>
      </c>
      <c r="F1012" s="6">
        <v>146</v>
      </c>
    </row>
    <row r="1013" spans="1:6" x14ac:dyDescent="0.25">
      <c r="A1013" s="6" t="s">
        <v>2013</v>
      </c>
      <c r="B1013" s="6">
        <v>5.3042999999999996</v>
      </c>
      <c r="C1013" s="6">
        <v>97</v>
      </c>
      <c r="D1013" s="6">
        <v>4.1811999999999996</v>
      </c>
      <c r="E1013" s="6">
        <v>12.696</v>
      </c>
      <c r="F1013" s="6">
        <v>164</v>
      </c>
    </row>
    <row r="1014" spans="1:6" x14ac:dyDescent="0.25">
      <c r="A1014" s="6" t="s">
        <v>2014</v>
      </c>
      <c r="B1014" s="6">
        <v>2.4771000000000001</v>
      </c>
      <c r="C1014" s="6">
        <v>58</v>
      </c>
      <c r="D1014" s="6">
        <v>3.1819000000000002</v>
      </c>
      <c r="E1014" s="6">
        <v>13.496700000000001</v>
      </c>
      <c r="F1014" s="6">
        <v>168</v>
      </c>
    </row>
    <row r="1015" spans="1:6" x14ac:dyDescent="0.25">
      <c r="A1015" s="6" t="s">
        <v>2015</v>
      </c>
      <c r="B1015" s="6">
        <v>1.9374</v>
      </c>
      <c r="C1015" s="6">
        <v>48</v>
      </c>
      <c r="D1015" s="6">
        <v>2.7839999999999998</v>
      </c>
      <c r="E1015" s="6">
        <v>5.8918999999999997</v>
      </c>
      <c r="F1015" s="6">
        <v>62</v>
      </c>
    </row>
    <row r="1016" spans="1:6" x14ac:dyDescent="0.25">
      <c r="A1016" s="6" t="s">
        <v>2016</v>
      </c>
      <c r="B1016" s="6">
        <v>2.2685</v>
      </c>
      <c r="C1016" s="6">
        <v>51</v>
      </c>
      <c r="D1016" s="6">
        <v>3.2713000000000001</v>
      </c>
      <c r="E1016" s="6">
        <v>9.0998999999999999</v>
      </c>
      <c r="F1016" s="6">
        <v>122</v>
      </c>
    </row>
    <row r="1017" spans="1:6" x14ac:dyDescent="0.25">
      <c r="A1017" s="6" t="s">
        <v>2017</v>
      </c>
      <c r="B1017" s="6">
        <v>1.3391999999999999</v>
      </c>
      <c r="C1017" s="6">
        <v>40</v>
      </c>
      <c r="D1017" s="6">
        <v>1.8978999999999999</v>
      </c>
      <c r="E1017" s="6">
        <v>8.4609000000000005</v>
      </c>
      <c r="F1017" s="6">
        <v>109</v>
      </c>
    </row>
    <row r="1018" spans="1:6" x14ac:dyDescent="0.25">
      <c r="A1018" s="6" t="s">
        <v>2018</v>
      </c>
      <c r="B1018" s="6">
        <v>1.4557</v>
      </c>
      <c r="C1018" s="6">
        <v>40</v>
      </c>
      <c r="D1018" s="6">
        <v>2.1831999999999998</v>
      </c>
      <c r="E1018" s="6">
        <v>10.5389</v>
      </c>
      <c r="F1018" s="6">
        <v>152</v>
      </c>
    </row>
    <row r="1019" spans="1:6" x14ac:dyDescent="0.25">
      <c r="A1019" s="6" t="s">
        <v>2019</v>
      </c>
      <c r="B1019" s="6">
        <v>2.1202999999999999</v>
      </c>
      <c r="C1019" s="6">
        <v>54</v>
      </c>
      <c r="D1019" s="6">
        <v>2.6566000000000001</v>
      </c>
      <c r="E1019" s="6">
        <v>17.024000000000001</v>
      </c>
      <c r="F1019" s="6">
        <v>260</v>
      </c>
    </row>
    <row r="1020" spans="1:6" x14ac:dyDescent="0.25">
      <c r="A1020" s="6" t="s">
        <v>2020</v>
      </c>
      <c r="B1020" s="6">
        <v>0.96330000000000005</v>
      </c>
      <c r="C1020" s="6">
        <v>27</v>
      </c>
      <c r="D1020" s="6">
        <v>2.5032000000000001</v>
      </c>
      <c r="E1020" s="6">
        <v>10.7317</v>
      </c>
      <c r="F1020" s="6">
        <v>135</v>
      </c>
    </row>
    <row r="1021" spans="1:6" x14ac:dyDescent="0.25">
      <c r="A1021" s="6" t="s">
        <v>2021</v>
      </c>
      <c r="B1021" s="6">
        <v>1.9020999999999999</v>
      </c>
      <c r="C1021" s="6">
        <v>47</v>
      </c>
      <c r="D1021" s="6">
        <v>2.9872999999999998</v>
      </c>
      <c r="E1021" s="6">
        <v>10.823600000000001</v>
      </c>
      <c r="F1021" s="6">
        <v>132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1EEE0-B00B-455C-9403-DE7512BA9359}">
  <dimension ref="A1:C996"/>
  <sheetViews>
    <sheetView workbookViewId="0">
      <selection activeCell="B1" sqref="B1:C1"/>
    </sheetView>
  </sheetViews>
  <sheetFormatPr defaultRowHeight="14.4" x14ac:dyDescent="0.25"/>
  <cols>
    <col min="1" max="1" width="16.44140625" style="6" customWidth="1"/>
    <col min="2" max="2" width="20.6640625" style="6" customWidth="1"/>
    <col min="3" max="3" width="22.44140625" style="6" customWidth="1"/>
  </cols>
  <sheetData>
    <row r="1" spans="1:3" x14ac:dyDescent="0.25">
      <c r="A1" s="6" t="s">
        <v>748</v>
      </c>
      <c r="B1" s="6" t="s">
        <v>2088</v>
      </c>
      <c r="C1" s="7" t="s">
        <v>2087</v>
      </c>
    </row>
    <row r="2" spans="1:3" x14ac:dyDescent="0.25">
      <c r="A2" s="6" t="s">
        <v>1003</v>
      </c>
      <c r="B2" s="6">
        <v>8.5605579999999994E-3</v>
      </c>
      <c r="C2" s="6">
        <v>2.4611029E-2</v>
      </c>
    </row>
    <row r="3" spans="1:3" x14ac:dyDescent="0.25">
      <c r="A3" s="6" t="s">
        <v>1004</v>
      </c>
      <c r="B3" s="6">
        <v>6.3930153000000003E-2</v>
      </c>
      <c r="C3" s="6">
        <v>0.431926594</v>
      </c>
    </row>
    <row r="4" spans="1:3" x14ac:dyDescent="0.25">
      <c r="A4" s="6" t="s">
        <v>1005</v>
      </c>
      <c r="B4" s="6">
        <v>3.3922991E-2</v>
      </c>
      <c r="C4" s="6">
        <v>1.5287664059999999</v>
      </c>
    </row>
    <row r="5" spans="1:3" x14ac:dyDescent="0.25">
      <c r="A5" s="6" t="s">
        <v>1006</v>
      </c>
      <c r="B5" s="6">
        <v>4.3982972000000002E-2</v>
      </c>
      <c r="C5" s="6">
        <v>0.642144504</v>
      </c>
    </row>
    <row r="6" spans="1:3" x14ac:dyDescent="0.25">
      <c r="A6" s="6" t="s">
        <v>1007</v>
      </c>
      <c r="B6" s="6">
        <v>6.1189290000000004E-3</v>
      </c>
      <c r="C6" s="6">
        <v>0.12521785199999999</v>
      </c>
    </row>
    <row r="7" spans="1:3" x14ac:dyDescent="0.25">
      <c r="A7" s="6" t="s">
        <v>1008</v>
      </c>
      <c r="B7" s="6">
        <v>1.3219898000000001E-2</v>
      </c>
      <c r="C7" s="6">
        <v>0.10695655900000001</v>
      </c>
    </row>
    <row r="8" spans="1:3" x14ac:dyDescent="0.25">
      <c r="A8" s="6" t="s">
        <v>1009</v>
      </c>
      <c r="B8" s="6">
        <v>6.9356349999999999E-3</v>
      </c>
      <c r="C8" s="6">
        <v>0.67568505999999995</v>
      </c>
    </row>
    <row r="9" spans="1:3" x14ac:dyDescent="0.25">
      <c r="A9" s="6" t="s">
        <v>1010</v>
      </c>
      <c r="B9" s="6">
        <v>2.9871463000000001E-2</v>
      </c>
      <c r="C9" s="6">
        <v>1.132360126</v>
      </c>
    </row>
    <row r="10" spans="1:3" x14ac:dyDescent="0.25">
      <c r="A10" s="6" t="s">
        <v>1011</v>
      </c>
      <c r="B10" s="6">
        <v>2.1365041000000001E-2</v>
      </c>
      <c r="C10" s="6">
        <v>3.2391776600000002</v>
      </c>
    </row>
    <row r="11" spans="1:3" x14ac:dyDescent="0.25">
      <c r="A11" s="6" t="s">
        <v>1012</v>
      </c>
      <c r="B11" s="6">
        <v>1.6104752999999999E-2</v>
      </c>
      <c r="C11" s="6">
        <v>6.0739451E-2</v>
      </c>
    </row>
    <row r="12" spans="1:3" x14ac:dyDescent="0.25">
      <c r="A12" s="6" t="s">
        <v>1013</v>
      </c>
      <c r="B12" s="6">
        <v>2.4997953E-2</v>
      </c>
      <c r="C12" s="6">
        <v>0.33547168199999999</v>
      </c>
    </row>
    <row r="13" spans="1:3" x14ac:dyDescent="0.25">
      <c r="A13" s="6" t="s">
        <v>1014</v>
      </c>
      <c r="B13" s="6">
        <v>6.8027900000000004E-3</v>
      </c>
      <c r="C13" s="6">
        <v>0.15207053100000001</v>
      </c>
    </row>
    <row r="14" spans="1:3" x14ac:dyDescent="0.25">
      <c r="A14" s="6" t="s">
        <v>1015</v>
      </c>
      <c r="B14" s="6">
        <v>0.244290164</v>
      </c>
      <c r="C14" s="6">
        <v>0.40303069400000002</v>
      </c>
    </row>
    <row r="15" spans="1:3" x14ac:dyDescent="0.25">
      <c r="A15" s="6" t="s">
        <v>1016</v>
      </c>
      <c r="B15" s="6">
        <v>3.7832322000000002E-2</v>
      </c>
      <c r="C15" s="6">
        <v>0.53295351899999999</v>
      </c>
    </row>
    <row r="16" spans="1:3" x14ac:dyDescent="0.25">
      <c r="A16" s="6" t="s">
        <v>1017</v>
      </c>
      <c r="B16" s="6">
        <v>3.0022299999999998E-2</v>
      </c>
      <c r="C16" s="6">
        <v>0.67612339499999996</v>
      </c>
    </row>
    <row r="17" spans="1:3" x14ac:dyDescent="0.25">
      <c r="A17" s="6" t="s">
        <v>1018</v>
      </c>
      <c r="B17" s="6">
        <v>4.4749169999999998E-2</v>
      </c>
      <c r="C17" s="6">
        <v>0.144096628</v>
      </c>
    </row>
    <row r="18" spans="1:3" x14ac:dyDescent="0.25">
      <c r="A18" s="6" t="s">
        <v>1019</v>
      </c>
      <c r="B18" s="6">
        <v>7.5302216000000005E-2</v>
      </c>
      <c r="C18" s="6">
        <v>0.13369953400000001</v>
      </c>
    </row>
    <row r="19" spans="1:3" x14ac:dyDescent="0.25">
      <c r="A19" s="6" t="s">
        <v>1020</v>
      </c>
      <c r="B19" s="6">
        <v>1.8901594000000001E-2</v>
      </c>
      <c r="C19" s="6">
        <v>5.2740704999999999E-2</v>
      </c>
    </row>
    <row r="20" spans="1:3" x14ac:dyDescent="0.25">
      <c r="A20" s="6" t="s">
        <v>1021</v>
      </c>
      <c r="B20" s="6">
        <v>2.8699525E-2</v>
      </c>
      <c r="C20" s="6">
        <v>0.16610397299999999</v>
      </c>
    </row>
    <row r="21" spans="1:3" x14ac:dyDescent="0.25">
      <c r="A21" s="6" t="s">
        <v>1022</v>
      </c>
      <c r="B21" s="6">
        <v>8.0072170000000005E-3</v>
      </c>
      <c r="C21" s="6">
        <v>4.1950290000000001E-2</v>
      </c>
    </row>
    <row r="22" spans="1:3" x14ac:dyDescent="0.25">
      <c r="A22" s="6" t="s">
        <v>1023</v>
      </c>
      <c r="B22" s="6">
        <v>3.9291570999999997E-2</v>
      </c>
      <c r="C22" s="6">
        <v>0.32845331799999999</v>
      </c>
    </row>
    <row r="23" spans="1:3" x14ac:dyDescent="0.25">
      <c r="A23" s="6" t="s">
        <v>1024</v>
      </c>
      <c r="B23" s="6">
        <v>1.8893322000000001E-2</v>
      </c>
      <c r="C23" s="6">
        <v>2.5260376000000001E-2</v>
      </c>
    </row>
    <row r="24" spans="1:3" x14ac:dyDescent="0.25">
      <c r="A24" s="6" t="s">
        <v>1025</v>
      </c>
      <c r="B24" s="6">
        <v>2.4063370000000001E-3</v>
      </c>
      <c r="C24" s="6">
        <v>0.31505424100000001</v>
      </c>
    </row>
    <row r="25" spans="1:3" x14ac:dyDescent="0.25">
      <c r="A25" s="6" t="s">
        <v>1026</v>
      </c>
      <c r="B25" s="6">
        <v>6.7238656999999993E-2</v>
      </c>
      <c r="C25" s="6">
        <v>0.68970612499999995</v>
      </c>
    </row>
    <row r="26" spans="1:3" x14ac:dyDescent="0.25">
      <c r="A26" s="6" t="s">
        <v>1027</v>
      </c>
      <c r="B26" s="6">
        <v>1.2634868E-2</v>
      </c>
      <c r="C26" s="6">
        <v>0.56636107599999996</v>
      </c>
    </row>
    <row r="27" spans="1:3" x14ac:dyDescent="0.25">
      <c r="A27" s="6" t="s">
        <v>1028</v>
      </c>
      <c r="B27" s="6">
        <v>8.0777796999999998E-2</v>
      </c>
      <c r="C27" s="6">
        <v>1.0613890159999999</v>
      </c>
    </row>
    <row r="28" spans="1:3" x14ac:dyDescent="0.25">
      <c r="A28" s="6" t="s">
        <v>1029</v>
      </c>
      <c r="B28" s="6">
        <v>5.4220570000000001E-3</v>
      </c>
      <c r="C28" s="6">
        <v>0.18687436299999999</v>
      </c>
    </row>
    <row r="29" spans="1:3" x14ac:dyDescent="0.25">
      <c r="A29" s="6" t="s">
        <v>1030</v>
      </c>
      <c r="B29" s="6">
        <v>1.0295299000000001E-2</v>
      </c>
      <c r="C29" s="6">
        <v>0.42029173800000003</v>
      </c>
    </row>
    <row r="30" spans="1:3" x14ac:dyDescent="0.25">
      <c r="A30" s="6" t="s">
        <v>1031</v>
      </c>
      <c r="B30" s="6">
        <v>9.6275089999999994E-3</v>
      </c>
      <c r="C30" s="6">
        <v>0.87569741599999995</v>
      </c>
    </row>
    <row r="31" spans="1:3" x14ac:dyDescent="0.25">
      <c r="A31" s="6" t="s">
        <v>1032</v>
      </c>
      <c r="B31" s="6">
        <v>4.9636049000000002E-2</v>
      </c>
      <c r="C31" s="6">
        <v>0.37736647699999998</v>
      </c>
    </row>
    <row r="32" spans="1:3" x14ac:dyDescent="0.25">
      <c r="A32" s="6" t="s">
        <v>1033</v>
      </c>
      <c r="B32" s="6">
        <v>3.0337979999999999E-3</v>
      </c>
      <c r="C32" s="6">
        <v>0.68867893899999999</v>
      </c>
    </row>
    <row r="33" spans="1:3" x14ac:dyDescent="0.25">
      <c r="A33" s="6" t="s">
        <v>1034</v>
      </c>
      <c r="B33" s="6">
        <v>2.269727E-3</v>
      </c>
      <c r="C33" s="6">
        <v>0.24341289899999999</v>
      </c>
    </row>
    <row r="34" spans="1:3" x14ac:dyDescent="0.25">
      <c r="A34" s="6" t="s">
        <v>1035</v>
      </c>
      <c r="B34" s="6">
        <v>4.6957128000000001E-2</v>
      </c>
      <c r="C34" s="6">
        <v>0.86596639900000005</v>
      </c>
    </row>
    <row r="35" spans="1:3" x14ac:dyDescent="0.25">
      <c r="A35" s="6" t="s">
        <v>1036</v>
      </c>
      <c r="B35" s="6">
        <v>8.6220670000000006E-3</v>
      </c>
      <c r="C35" s="6">
        <v>0.21180090100000001</v>
      </c>
    </row>
    <row r="36" spans="1:3" x14ac:dyDescent="0.25">
      <c r="A36" s="6" t="s">
        <v>1037</v>
      </c>
      <c r="B36" s="6">
        <v>1.944362E-3</v>
      </c>
      <c r="C36" s="6">
        <v>0.14177092399999999</v>
      </c>
    </row>
    <row r="37" spans="1:3" x14ac:dyDescent="0.25">
      <c r="A37" s="6" t="s">
        <v>1038</v>
      </c>
      <c r="B37" s="6">
        <v>1.5997647E-2</v>
      </c>
      <c r="C37" s="6">
        <v>0.93856733999999997</v>
      </c>
    </row>
    <row r="38" spans="1:3" x14ac:dyDescent="0.25">
      <c r="A38" s="6" t="s">
        <v>1039</v>
      </c>
      <c r="B38" s="6">
        <v>9.0023759999999994E-3</v>
      </c>
      <c r="C38" s="6">
        <v>0.117049707</v>
      </c>
    </row>
    <row r="39" spans="1:3" x14ac:dyDescent="0.25">
      <c r="A39" s="6" t="s">
        <v>1040</v>
      </c>
      <c r="B39" s="6">
        <v>0.11307452899999999</v>
      </c>
      <c r="C39" s="6">
        <v>0.92696718499999997</v>
      </c>
    </row>
    <row r="40" spans="1:3" x14ac:dyDescent="0.25">
      <c r="A40" s="6" t="s">
        <v>1041</v>
      </c>
      <c r="B40" s="6">
        <v>4.5811249999999998E-2</v>
      </c>
      <c r="C40" s="6">
        <v>0.80219461800000003</v>
      </c>
    </row>
    <row r="41" spans="1:3" x14ac:dyDescent="0.25">
      <c r="A41" s="6" t="s">
        <v>1042</v>
      </c>
      <c r="B41" s="6">
        <v>4.0328559999999996E-3</v>
      </c>
      <c r="C41" s="6">
        <v>5.7806707999999998E-2</v>
      </c>
    </row>
    <row r="42" spans="1:3" x14ac:dyDescent="0.25">
      <c r="A42" s="6" t="s">
        <v>1043</v>
      </c>
      <c r="B42" s="6">
        <v>5.7446464000000003E-2</v>
      </c>
      <c r="C42" s="6">
        <v>4.1901019999999997E-2</v>
      </c>
    </row>
    <row r="43" spans="1:3" x14ac:dyDescent="0.25">
      <c r="A43" s="6" t="s">
        <v>1044</v>
      </c>
      <c r="B43" s="6">
        <v>4.9751309999999998E-3</v>
      </c>
      <c r="C43" s="6">
        <v>0.59942976599999998</v>
      </c>
    </row>
    <row r="44" spans="1:3" x14ac:dyDescent="0.25">
      <c r="A44" s="6" t="s">
        <v>1045</v>
      </c>
      <c r="B44" s="6">
        <v>1.9478685999999999E-2</v>
      </c>
      <c r="C44" s="6">
        <v>0.67613177499999999</v>
      </c>
    </row>
    <row r="45" spans="1:3" x14ac:dyDescent="0.25">
      <c r="A45" s="6" t="s">
        <v>1046</v>
      </c>
      <c r="B45" s="6">
        <v>4.0208659999999997E-3</v>
      </c>
      <c r="C45" s="6">
        <v>0.68451750300000003</v>
      </c>
    </row>
    <row r="46" spans="1:3" x14ac:dyDescent="0.25">
      <c r="A46" s="6" t="s">
        <v>1047</v>
      </c>
      <c r="B46" s="6">
        <v>1.2350409999999999E-2</v>
      </c>
      <c r="C46" s="6">
        <v>5.6604065000000002E-2</v>
      </c>
    </row>
    <row r="47" spans="1:3" x14ac:dyDescent="0.25">
      <c r="A47" s="6" t="s">
        <v>1048</v>
      </c>
      <c r="B47" s="6">
        <v>9.5284250000000001E-3</v>
      </c>
      <c r="C47" s="6">
        <v>0.11727702700000001</v>
      </c>
    </row>
    <row r="48" spans="1:3" x14ac:dyDescent="0.25">
      <c r="A48" s="6" t="s">
        <v>1049</v>
      </c>
      <c r="B48" s="6">
        <v>0.28732962200000001</v>
      </c>
      <c r="C48" s="6">
        <v>0.71595257499999998</v>
      </c>
    </row>
    <row r="49" spans="1:3" x14ac:dyDescent="0.25">
      <c r="A49" s="6" t="s">
        <v>1050</v>
      </c>
      <c r="B49" s="6">
        <v>1.2314476E-2</v>
      </c>
      <c r="C49" s="6">
        <v>0.55090958199999995</v>
      </c>
    </row>
    <row r="50" spans="1:3" x14ac:dyDescent="0.25">
      <c r="A50" s="6" t="s">
        <v>1051</v>
      </c>
      <c r="B50" s="6">
        <v>6.2730262999999994E-2</v>
      </c>
      <c r="C50" s="6">
        <v>1.367954798</v>
      </c>
    </row>
    <row r="51" spans="1:3" x14ac:dyDescent="0.25">
      <c r="A51" s="6" t="s">
        <v>1052</v>
      </c>
      <c r="B51" s="6">
        <v>9.7959226999999996E-2</v>
      </c>
      <c r="C51" s="6">
        <v>0.35832970600000003</v>
      </c>
    </row>
    <row r="52" spans="1:3" x14ac:dyDescent="0.25">
      <c r="A52" s="6" t="s">
        <v>1053</v>
      </c>
      <c r="B52" s="6">
        <v>4.4654898999999998E-2</v>
      </c>
      <c r="C52" s="6">
        <v>8.795936E-2</v>
      </c>
    </row>
    <row r="53" spans="1:3" x14ac:dyDescent="0.25">
      <c r="A53" s="6" t="s">
        <v>1054</v>
      </c>
      <c r="B53" s="6">
        <v>0.30071601100000001</v>
      </c>
      <c r="C53" s="6">
        <v>0.153012865</v>
      </c>
    </row>
    <row r="54" spans="1:3" x14ac:dyDescent="0.25">
      <c r="A54" s="6" t="s">
        <v>1055</v>
      </c>
      <c r="B54" s="6">
        <v>1.1030583E-2</v>
      </c>
      <c r="C54" s="6">
        <v>0.32849668399999998</v>
      </c>
    </row>
    <row r="55" spans="1:3" x14ac:dyDescent="0.25">
      <c r="A55" s="6" t="s">
        <v>1056</v>
      </c>
      <c r="B55" s="6">
        <v>1.1625441E-2</v>
      </c>
      <c r="C55" s="6">
        <v>0.17027879200000001</v>
      </c>
    </row>
    <row r="56" spans="1:3" x14ac:dyDescent="0.25">
      <c r="A56" s="6" t="s">
        <v>1057</v>
      </c>
      <c r="B56" s="6">
        <v>6.1179153E-2</v>
      </c>
      <c r="C56" s="6">
        <v>0.14985326400000001</v>
      </c>
    </row>
    <row r="57" spans="1:3" x14ac:dyDescent="0.25">
      <c r="A57" s="6" t="s">
        <v>1058</v>
      </c>
      <c r="B57" s="6">
        <v>2.1538742999999999E-2</v>
      </c>
      <c r="C57" s="6">
        <v>0.175687496</v>
      </c>
    </row>
    <row r="58" spans="1:3" x14ac:dyDescent="0.25">
      <c r="A58" s="6" t="s">
        <v>1059</v>
      </c>
      <c r="B58" s="6">
        <v>1.1210627000000001E-2</v>
      </c>
      <c r="C58" s="6">
        <v>0.229864227</v>
      </c>
    </row>
    <row r="59" spans="1:3" x14ac:dyDescent="0.25">
      <c r="A59" s="6" t="s">
        <v>1060</v>
      </c>
      <c r="B59" s="6">
        <v>7.3636310999999996E-2</v>
      </c>
      <c r="C59" s="6">
        <v>0.28156256200000002</v>
      </c>
    </row>
    <row r="60" spans="1:3" x14ac:dyDescent="0.25">
      <c r="A60" s="6" t="s">
        <v>1061</v>
      </c>
      <c r="B60" s="6">
        <v>7.1475980999999994E-2</v>
      </c>
      <c r="C60" s="6">
        <v>0.64495663700000005</v>
      </c>
    </row>
    <row r="61" spans="1:3" x14ac:dyDescent="0.25">
      <c r="A61" s="6" t="s">
        <v>1062</v>
      </c>
      <c r="B61" s="6">
        <v>1.1244839E-2</v>
      </c>
      <c r="C61" s="6">
        <v>0.41412470499999998</v>
      </c>
    </row>
    <row r="62" spans="1:3" x14ac:dyDescent="0.25">
      <c r="A62" s="6" t="s">
        <v>1063</v>
      </c>
      <c r="B62" s="6">
        <v>1.5626098000000001E-2</v>
      </c>
      <c r="C62" s="6">
        <v>0.213245728</v>
      </c>
    </row>
    <row r="63" spans="1:3" x14ac:dyDescent="0.25">
      <c r="A63" s="6" t="s">
        <v>1064</v>
      </c>
      <c r="B63" s="6">
        <v>3.4670693000000002E-2</v>
      </c>
      <c r="C63" s="6">
        <v>0.122064662</v>
      </c>
    </row>
    <row r="64" spans="1:3" x14ac:dyDescent="0.25">
      <c r="A64" s="6" t="s">
        <v>1065</v>
      </c>
      <c r="B64" s="6">
        <v>1.1853562999999999E-2</v>
      </c>
      <c r="C64" s="6">
        <v>1.521579164</v>
      </c>
    </row>
    <row r="65" spans="1:3" x14ac:dyDescent="0.25">
      <c r="A65" s="6" t="s">
        <v>1066</v>
      </c>
      <c r="B65" s="6">
        <v>7.9576539999999998E-3</v>
      </c>
      <c r="C65" s="6">
        <v>0.41883980700000001</v>
      </c>
    </row>
    <row r="66" spans="1:3" x14ac:dyDescent="0.25">
      <c r="A66" s="6" t="s">
        <v>1067</v>
      </c>
      <c r="B66" s="6">
        <v>5.8714070000000004E-3</v>
      </c>
      <c r="C66" s="6">
        <v>0.222310586</v>
      </c>
    </row>
    <row r="67" spans="1:3" x14ac:dyDescent="0.25">
      <c r="A67" s="6" t="s">
        <v>1068</v>
      </c>
      <c r="B67" s="6">
        <v>1.9403086999999999E-2</v>
      </c>
      <c r="C67" s="6">
        <v>0.53004947800000002</v>
      </c>
    </row>
    <row r="68" spans="1:3" x14ac:dyDescent="0.25">
      <c r="A68" s="6" t="s">
        <v>1069</v>
      </c>
      <c r="B68" s="6">
        <v>1.4402752E-2</v>
      </c>
      <c r="C68" s="6">
        <v>0.31167734400000002</v>
      </c>
    </row>
    <row r="69" spans="1:3" x14ac:dyDescent="0.25">
      <c r="A69" s="6" t="s">
        <v>1070</v>
      </c>
      <c r="B69" s="6">
        <v>6.3711209000000005E-2</v>
      </c>
      <c r="C69" s="6">
        <v>0.814441835</v>
      </c>
    </row>
    <row r="70" spans="1:3" x14ac:dyDescent="0.25">
      <c r="A70" s="6" t="s">
        <v>1071</v>
      </c>
      <c r="B70" s="6">
        <v>6.9522389999999998E-3</v>
      </c>
      <c r="C70" s="6">
        <v>0.163838859</v>
      </c>
    </row>
    <row r="71" spans="1:3" x14ac:dyDescent="0.25">
      <c r="A71" s="6" t="s">
        <v>1072</v>
      </c>
      <c r="B71" s="6">
        <v>5.4012299E-2</v>
      </c>
      <c r="C71" s="6">
        <v>1.709521091</v>
      </c>
    </row>
    <row r="72" spans="1:3" x14ac:dyDescent="0.25">
      <c r="A72" s="6" t="s">
        <v>1073</v>
      </c>
      <c r="B72" s="6">
        <v>1.216295E-2</v>
      </c>
      <c r="C72" s="6">
        <v>0.29924778800000001</v>
      </c>
    </row>
    <row r="73" spans="1:3" x14ac:dyDescent="0.25">
      <c r="A73" s="6" t="s">
        <v>1074</v>
      </c>
      <c r="B73" s="6">
        <v>1.4853431E-2</v>
      </c>
      <c r="C73" s="6">
        <v>0.90566227600000004</v>
      </c>
    </row>
    <row r="74" spans="1:3" x14ac:dyDescent="0.25">
      <c r="A74" s="6" t="s">
        <v>1075</v>
      </c>
      <c r="B74" s="6">
        <v>3.715192E-3</v>
      </c>
      <c r="C74" s="6">
        <v>0.20527531600000001</v>
      </c>
    </row>
    <row r="75" spans="1:3" x14ac:dyDescent="0.25">
      <c r="A75" s="6" t="s">
        <v>1076</v>
      </c>
      <c r="B75" s="6">
        <v>1.2992394000000001E-2</v>
      </c>
      <c r="C75" s="6">
        <v>7.0560907000000006E-2</v>
      </c>
    </row>
    <row r="76" spans="1:3" x14ac:dyDescent="0.25">
      <c r="A76" s="6" t="s">
        <v>1077</v>
      </c>
      <c r="B76" s="6">
        <v>1.1889343E-2</v>
      </c>
      <c r="C76" s="6">
        <v>0.240424742</v>
      </c>
    </row>
    <row r="77" spans="1:3" x14ac:dyDescent="0.25">
      <c r="A77" s="6" t="s">
        <v>1078</v>
      </c>
      <c r="B77" s="6">
        <v>7.574445E-3</v>
      </c>
      <c r="C77" s="6">
        <v>0.13783596100000001</v>
      </c>
    </row>
    <row r="78" spans="1:3" x14ac:dyDescent="0.25">
      <c r="A78" s="6" t="s">
        <v>1079</v>
      </c>
      <c r="B78" s="6">
        <v>1.1471329000000001E-2</v>
      </c>
      <c r="C78" s="6">
        <v>0.29558072400000002</v>
      </c>
    </row>
    <row r="79" spans="1:3" x14ac:dyDescent="0.25">
      <c r="A79" s="6" t="s">
        <v>1080</v>
      </c>
      <c r="B79" s="6">
        <v>2.600622E-2</v>
      </c>
      <c r="C79" s="6">
        <v>0.11707366600000001</v>
      </c>
    </row>
    <row r="80" spans="1:3" x14ac:dyDescent="0.25">
      <c r="A80" s="6" t="s">
        <v>1081</v>
      </c>
      <c r="B80" s="6">
        <v>2.00655E-2</v>
      </c>
      <c r="C80" s="6">
        <v>3.5983785999999997E-2</v>
      </c>
    </row>
    <row r="81" spans="1:3" x14ac:dyDescent="0.25">
      <c r="A81" s="6" t="s">
        <v>1082</v>
      </c>
      <c r="B81" s="6">
        <v>4.6504490000000001E-3</v>
      </c>
      <c r="C81" s="6">
        <v>5.3694194000000001E-2</v>
      </c>
    </row>
    <row r="82" spans="1:3" x14ac:dyDescent="0.25">
      <c r="A82" s="6" t="s">
        <v>1083</v>
      </c>
      <c r="B82" s="6">
        <v>2.0150276000000002E-2</v>
      </c>
      <c r="C82" s="6">
        <v>0.41056077299999999</v>
      </c>
    </row>
    <row r="83" spans="1:3" x14ac:dyDescent="0.25">
      <c r="A83" s="6" t="s">
        <v>1084</v>
      </c>
      <c r="B83" s="6">
        <v>8.4975280000000007E-3</v>
      </c>
      <c r="C83" s="6">
        <v>3.9824195E-2</v>
      </c>
    </row>
    <row r="84" spans="1:3" x14ac:dyDescent="0.25">
      <c r="A84" s="6" t="s">
        <v>1085</v>
      </c>
      <c r="B84" s="6">
        <v>2.5561793999999999E-2</v>
      </c>
      <c r="C84" s="6">
        <v>0.33989357100000001</v>
      </c>
    </row>
    <row r="85" spans="1:3" x14ac:dyDescent="0.25">
      <c r="A85" s="6" t="s">
        <v>1086</v>
      </c>
      <c r="B85" s="6">
        <v>0.169918386</v>
      </c>
      <c r="C85" s="6">
        <v>0.29186079599999998</v>
      </c>
    </row>
    <row r="86" spans="1:3" x14ac:dyDescent="0.25">
      <c r="A86" s="6" t="s">
        <v>1087</v>
      </c>
      <c r="B86" s="6">
        <v>2.9964298E-2</v>
      </c>
      <c r="C86" s="6">
        <v>0.130273255</v>
      </c>
    </row>
    <row r="87" spans="1:3" x14ac:dyDescent="0.25">
      <c r="A87" s="6" t="s">
        <v>1088</v>
      </c>
      <c r="B87" s="6">
        <v>2.4754277000000002E-2</v>
      </c>
      <c r="C87" s="6">
        <v>0.121896934</v>
      </c>
    </row>
    <row r="88" spans="1:3" x14ac:dyDescent="0.25">
      <c r="A88" s="6" t="s">
        <v>1089</v>
      </c>
      <c r="B88" s="6">
        <v>7.6211795999999998E-2</v>
      </c>
      <c r="C88" s="6">
        <v>0.41021179699999999</v>
      </c>
    </row>
    <row r="89" spans="1:3" x14ac:dyDescent="0.25">
      <c r="A89" s="6" t="s">
        <v>1090</v>
      </c>
      <c r="B89" s="6">
        <v>1.1076905999999999E-2</v>
      </c>
      <c r="C89" s="6">
        <v>0.23359387600000001</v>
      </c>
    </row>
    <row r="90" spans="1:3" x14ac:dyDescent="0.25">
      <c r="A90" s="6" t="s">
        <v>1091</v>
      </c>
      <c r="B90" s="6">
        <v>3.45279E-2</v>
      </c>
      <c r="C90" s="6">
        <v>0.38386912200000001</v>
      </c>
    </row>
    <row r="91" spans="1:3" x14ac:dyDescent="0.25">
      <c r="A91" s="6" t="s">
        <v>1092</v>
      </c>
      <c r="B91" s="6">
        <v>3.7022019999999999E-3</v>
      </c>
      <c r="C91" s="6">
        <v>0.41498589200000002</v>
      </c>
    </row>
    <row r="92" spans="1:3" x14ac:dyDescent="0.25">
      <c r="A92" s="6" t="s">
        <v>1093</v>
      </c>
      <c r="B92" s="6">
        <v>2.7869991E-2</v>
      </c>
      <c r="C92" s="6">
        <v>8.6243819999999999E-3</v>
      </c>
    </row>
    <row r="93" spans="1:3" x14ac:dyDescent="0.25">
      <c r="A93" s="6" t="s">
        <v>1094</v>
      </c>
      <c r="B93" s="6">
        <v>3.5436792000000002E-2</v>
      </c>
      <c r="C93" s="6">
        <v>7.3253070000000003E-2</v>
      </c>
    </row>
    <row r="94" spans="1:3" x14ac:dyDescent="0.25">
      <c r="A94" s="6" t="s">
        <v>1095</v>
      </c>
      <c r="B94" s="6">
        <v>4.1773394999999998E-2</v>
      </c>
      <c r="C94" s="6">
        <v>9.0650831000000001E-2</v>
      </c>
    </row>
    <row r="95" spans="1:3" x14ac:dyDescent="0.25">
      <c r="A95" s="6" t="s">
        <v>1096</v>
      </c>
      <c r="B95" s="6">
        <v>2.7541693999999999E-2</v>
      </c>
      <c r="C95" s="6">
        <v>0.70117381400000001</v>
      </c>
    </row>
    <row r="96" spans="1:3" x14ac:dyDescent="0.25">
      <c r="A96" s="6" t="s">
        <v>1097</v>
      </c>
      <c r="B96" s="6">
        <v>9.7972110000000001E-3</v>
      </c>
      <c r="C96" s="6">
        <v>5.9898061000000002E-2</v>
      </c>
    </row>
    <row r="97" spans="1:3" x14ac:dyDescent="0.25">
      <c r="A97" s="6" t="s">
        <v>1098</v>
      </c>
      <c r="B97" s="6">
        <v>1.9041207000000001E-2</v>
      </c>
      <c r="C97" s="6">
        <v>0.53085277500000005</v>
      </c>
    </row>
    <row r="98" spans="1:3" x14ac:dyDescent="0.25">
      <c r="A98" s="6" t="s">
        <v>1099</v>
      </c>
      <c r="B98" s="6">
        <v>1.292682E-2</v>
      </c>
      <c r="C98" s="6">
        <v>8.7076377999999996E-2</v>
      </c>
    </row>
    <row r="99" spans="1:3" x14ac:dyDescent="0.25">
      <c r="A99" s="6" t="s">
        <v>1101</v>
      </c>
      <c r="B99" s="6">
        <v>1.3204390999999999E-2</v>
      </c>
      <c r="C99" s="6">
        <v>0.52940450500000003</v>
      </c>
    </row>
    <row r="100" spans="1:3" x14ac:dyDescent="0.25">
      <c r="A100" s="6" t="s">
        <v>1102</v>
      </c>
      <c r="B100" s="6">
        <v>2.6033797000000001E-2</v>
      </c>
      <c r="C100" s="6">
        <v>0.26495528800000001</v>
      </c>
    </row>
    <row r="101" spans="1:3" x14ac:dyDescent="0.25">
      <c r="A101" s="6" t="s">
        <v>1103</v>
      </c>
      <c r="B101" s="6">
        <v>0.112487089</v>
      </c>
      <c r="C101" s="6">
        <v>0.248371704</v>
      </c>
    </row>
    <row r="102" spans="1:3" x14ac:dyDescent="0.25">
      <c r="A102" s="6" t="s">
        <v>2013</v>
      </c>
      <c r="B102" s="6">
        <v>4.1370713000000003E-2</v>
      </c>
      <c r="C102" s="6">
        <v>2.0481539610000001</v>
      </c>
    </row>
    <row r="103" spans="1:3" x14ac:dyDescent="0.25">
      <c r="A103" s="6" t="s">
        <v>2014</v>
      </c>
      <c r="B103" s="6">
        <v>9.4525267999999996E-2</v>
      </c>
      <c r="C103" s="6">
        <v>0.425419453</v>
      </c>
    </row>
    <row r="104" spans="1:3" x14ac:dyDescent="0.25">
      <c r="A104" s="6" t="s">
        <v>2015</v>
      </c>
      <c r="B104" s="6">
        <v>4.2333422000000002E-2</v>
      </c>
      <c r="C104" s="6">
        <v>1.9607970100000001</v>
      </c>
    </row>
    <row r="105" spans="1:3" x14ac:dyDescent="0.25">
      <c r="A105" s="6" t="s">
        <v>2016</v>
      </c>
      <c r="B105" s="6">
        <v>2.3674889000000001E-2</v>
      </c>
      <c r="C105" s="6">
        <v>1.451698771</v>
      </c>
    </row>
    <row r="106" spans="1:3" x14ac:dyDescent="0.25">
      <c r="A106" s="6" t="s">
        <v>1104</v>
      </c>
      <c r="B106" s="6">
        <v>2.745356E-3</v>
      </c>
      <c r="C106" s="6">
        <v>0.124187626</v>
      </c>
    </row>
    <row r="107" spans="1:3" x14ac:dyDescent="0.25">
      <c r="A107" s="6" t="s">
        <v>2017</v>
      </c>
      <c r="B107" s="6">
        <v>3.2502818000000003E-2</v>
      </c>
      <c r="C107" s="6">
        <v>0.93208166199999998</v>
      </c>
    </row>
    <row r="108" spans="1:3" x14ac:dyDescent="0.25">
      <c r="A108" s="6" t="s">
        <v>2018</v>
      </c>
      <c r="B108" s="6">
        <v>6.3778555000000001E-2</v>
      </c>
      <c r="C108" s="6">
        <v>1.211340613</v>
      </c>
    </row>
    <row r="109" spans="1:3" x14ac:dyDescent="0.25">
      <c r="A109" s="6" t="s">
        <v>2019</v>
      </c>
      <c r="B109" s="6">
        <v>1.5143929E-2</v>
      </c>
      <c r="C109" s="6">
        <v>1.0515E-2</v>
      </c>
    </row>
    <row r="110" spans="1:3" x14ac:dyDescent="0.25">
      <c r="A110" s="6" t="s">
        <v>2020</v>
      </c>
      <c r="B110" s="6">
        <v>2.2737845E-2</v>
      </c>
      <c r="C110" s="6">
        <v>0.77730001299999996</v>
      </c>
    </row>
    <row r="111" spans="1:3" x14ac:dyDescent="0.25">
      <c r="A111" s="6" t="s">
        <v>1105</v>
      </c>
      <c r="B111" s="6">
        <v>7.4081510000000003E-2</v>
      </c>
      <c r="C111" s="6">
        <v>0.165940593</v>
      </c>
    </row>
    <row r="112" spans="1:3" x14ac:dyDescent="0.25">
      <c r="A112" s="6" t="s">
        <v>1106</v>
      </c>
      <c r="B112" s="6">
        <v>3.1867132999999999E-2</v>
      </c>
      <c r="C112" s="6">
        <v>0.33025988000000001</v>
      </c>
    </row>
    <row r="113" spans="1:3" x14ac:dyDescent="0.25">
      <c r="A113" s="6" t="s">
        <v>1107</v>
      </c>
      <c r="B113" s="6">
        <v>2.4943056000000002E-2</v>
      </c>
      <c r="C113" s="6">
        <v>0.34669198099999998</v>
      </c>
    </row>
    <row r="114" spans="1:3" x14ac:dyDescent="0.25">
      <c r="A114" s="6" t="s">
        <v>1108</v>
      </c>
      <c r="B114" s="6">
        <v>9.4678260000000004E-3</v>
      </c>
      <c r="C114" s="6">
        <v>3.4120416000000001E-2</v>
      </c>
    </row>
    <row r="115" spans="1:3" x14ac:dyDescent="0.25">
      <c r="A115" s="6" t="s">
        <v>1109</v>
      </c>
      <c r="B115" s="6">
        <v>8.4222150000000003E-3</v>
      </c>
      <c r="C115" s="6">
        <v>0.740567007</v>
      </c>
    </row>
    <row r="116" spans="1:3" x14ac:dyDescent="0.25">
      <c r="A116" s="6" t="s">
        <v>1110</v>
      </c>
      <c r="B116" s="6">
        <v>0.156044296</v>
      </c>
      <c r="C116" s="6">
        <v>0.598941532</v>
      </c>
    </row>
    <row r="117" spans="1:3" x14ac:dyDescent="0.25">
      <c r="A117" s="6" t="s">
        <v>1111</v>
      </c>
      <c r="B117" s="6">
        <v>2.022637E-2</v>
      </c>
      <c r="C117" s="6">
        <v>0.61668327599999995</v>
      </c>
    </row>
    <row r="118" spans="1:3" x14ac:dyDescent="0.25">
      <c r="A118" s="6" t="s">
        <v>1112</v>
      </c>
      <c r="B118" s="6">
        <v>2.1414807000000001E-2</v>
      </c>
      <c r="C118" s="6">
        <v>0.11164136099999999</v>
      </c>
    </row>
    <row r="119" spans="1:3" x14ac:dyDescent="0.25">
      <c r="A119" s="6" t="s">
        <v>1113</v>
      </c>
      <c r="B119" s="6">
        <v>2.1361833E-2</v>
      </c>
      <c r="C119" s="6">
        <v>0.23502933300000001</v>
      </c>
    </row>
    <row r="120" spans="1:3" x14ac:dyDescent="0.25">
      <c r="A120" s="6" t="s">
        <v>1114</v>
      </c>
      <c r="B120" s="6">
        <v>5.7690709999999997E-3</v>
      </c>
      <c r="C120" s="6">
        <v>0.297775134</v>
      </c>
    </row>
    <row r="121" spans="1:3" x14ac:dyDescent="0.25">
      <c r="A121" s="6" t="s">
        <v>1115</v>
      </c>
      <c r="B121" s="6">
        <v>1.7621437E-2</v>
      </c>
      <c r="C121" s="6">
        <v>7.7229480000000003E-3</v>
      </c>
    </row>
    <row r="122" spans="1:3" x14ac:dyDescent="0.25">
      <c r="A122" s="6" t="s">
        <v>1116</v>
      </c>
      <c r="B122" s="6">
        <v>1.7012841000000001E-2</v>
      </c>
      <c r="C122" s="6">
        <v>0.14177326800000001</v>
      </c>
    </row>
    <row r="123" spans="1:3" x14ac:dyDescent="0.25">
      <c r="A123" s="6" t="s">
        <v>1117</v>
      </c>
      <c r="B123" s="6">
        <v>9.9237793000000005E-2</v>
      </c>
      <c r="C123" s="6">
        <v>0.980832339</v>
      </c>
    </row>
    <row r="124" spans="1:3" x14ac:dyDescent="0.25">
      <c r="A124" s="6" t="s">
        <v>1118</v>
      </c>
      <c r="B124" s="6">
        <v>1.63658E-2</v>
      </c>
      <c r="C124" s="6">
        <v>0.13671668000000001</v>
      </c>
    </row>
    <row r="125" spans="1:3" x14ac:dyDescent="0.25">
      <c r="A125" s="6" t="s">
        <v>1119</v>
      </c>
      <c r="B125" s="6">
        <v>2.1460845999999999E-2</v>
      </c>
      <c r="C125" s="6">
        <v>1.9647918E-2</v>
      </c>
    </row>
    <row r="126" spans="1:3" x14ac:dyDescent="0.25">
      <c r="A126" s="6" t="s">
        <v>1120</v>
      </c>
      <c r="B126" s="6">
        <v>2.5006515999999999E-2</v>
      </c>
      <c r="C126" s="6">
        <v>7.5989799999999996E-2</v>
      </c>
    </row>
    <row r="127" spans="1:3" x14ac:dyDescent="0.25">
      <c r="A127" s="6" t="s">
        <v>1121</v>
      </c>
      <c r="B127" s="6">
        <v>2.2189581999999999E-2</v>
      </c>
      <c r="C127" s="6">
        <v>0.38241925999999998</v>
      </c>
    </row>
    <row r="128" spans="1:3" x14ac:dyDescent="0.25">
      <c r="A128" s="6" t="s">
        <v>1122</v>
      </c>
      <c r="B128" s="6">
        <v>2.0269233000000001E-2</v>
      </c>
      <c r="C128" s="6">
        <v>0.20304862000000001</v>
      </c>
    </row>
    <row r="129" spans="1:3" x14ac:dyDescent="0.25">
      <c r="A129" s="6" t="s">
        <v>1123</v>
      </c>
      <c r="B129" s="6">
        <v>8.6542119999999997E-3</v>
      </c>
      <c r="C129" s="6">
        <v>0.26958321499999999</v>
      </c>
    </row>
    <row r="130" spans="1:3" x14ac:dyDescent="0.25">
      <c r="A130" s="6" t="s">
        <v>1124</v>
      </c>
      <c r="B130" s="6">
        <v>1.20733E-2</v>
      </c>
      <c r="C130" s="6">
        <v>8.1731638999999995E-2</v>
      </c>
    </row>
    <row r="131" spans="1:3" x14ac:dyDescent="0.25">
      <c r="A131" s="6" t="s">
        <v>1126</v>
      </c>
      <c r="B131" s="6">
        <v>2.9350727E-2</v>
      </c>
      <c r="C131" s="6">
        <v>8.8573315999999999E-2</v>
      </c>
    </row>
    <row r="132" spans="1:3" x14ac:dyDescent="0.25">
      <c r="A132" s="6" t="s">
        <v>1127</v>
      </c>
      <c r="B132" s="6">
        <v>8.0354934000000003E-2</v>
      </c>
      <c r="C132" s="6">
        <v>0.75935009099999995</v>
      </c>
    </row>
    <row r="133" spans="1:3" x14ac:dyDescent="0.25">
      <c r="A133" s="6" t="s">
        <v>1128</v>
      </c>
      <c r="B133" s="6">
        <v>7.1750449999999997E-3</v>
      </c>
      <c r="C133" s="6">
        <v>0.141420459</v>
      </c>
    </row>
    <row r="134" spans="1:3" x14ac:dyDescent="0.25">
      <c r="A134" s="6" t="s">
        <v>1129</v>
      </c>
      <c r="B134" s="6">
        <v>2.6020580000000001E-2</v>
      </c>
      <c r="C134" s="6">
        <v>0.15539245400000001</v>
      </c>
    </row>
    <row r="135" spans="1:3" x14ac:dyDescent="0.25">
      <c r="A135" s="6" t="s">
        <v>1130</v>
      </c>
      <c r="B135" s="6">
        <v>0.35898504199999998</v>
      </c>
      <c r="C135" s="6">
        <v>8.4748536999999999E-2</v>
      </c>
    </row>
    <row r="136" spans="1:3" x14ac:dyDescent="0.25">
      <c r="A136" s="6" t="s">
        <v>1131</v>
      </c>
      <c r="B136" s="6">
        <v>3.4513917999999998E-2</v>
      </c>
      <c r="C136" s="6">
        <v>3.1277357999999998E-2</v>
      </c>
    </row>
    <row r="137" spans="1:3" x14ac:dyDescent="0.25">
      <c r="A137" s="6" t="s">
        <v>1132</v>
      </c>
      <c r="B137" s="6">
        <v>4.9065530000000001E-3</v>
      </c>
      <c r="C137" s="6">
        <v>0.29992639500000001</v>
      </c>
    </row>
    <row r="138" spans="1:3" x14ac:dyDescent="0.25">
      <c r="A138" s="6" t="s">
        <v>1133</v>
      </c>
      <c r="B138" s="6">
        <v>5.5485297000000003E-2</v>
      </c>
      <c r="C138" s="6">
        <v>1.5669266000000001E-2</v>
      </c>
    </row>
    <row r="139" spans="1:3" x14ac:dyDescent="0.25">
      <c r="A139" s="6" t="s">
        <v>1134</v>
      </c>
      <c r="B139" s="6">
        <v>0.16195496600000001</v>
      </c>
      <c r="C139" s="6">
        <v>0.21279598199999999</v>
      </c>
    </row>
    <row r="140" spans="1:3" x14ac:dyDescent="0.25">
      <c r="A140" s="6" t="s">
        <v>1135</v>
      </c>
      <c r="B140" s="6">
        <v>3.3054860999999998E-2</v>
      </c>
      <c r="C140" s="6">
        <v>0.65105442400000002</v>
      </c>
    </row>
    <row r="141" spans="1:3" x14ac:dyDescent="0.25">
      <c r="A141" s="6" t="s">
        <v>1136</v>
      </c>
      <c r="B141" s="6">
        <v>1.8980078000000001E-2</v>
      </c>
      <c r="C141" s="6">
        <v>1.327789455</v>
      </c>
    </row>
    <row r="142" spans="1:3" x14ac:dyDescent="0.25">
      <c r="A142" s="6" t="s">
        <v>1137</v>
      </c>
      <c r="B142" s="6">
        <v>2.1666596999999999E-2</v>
      </c>
      <c r="C142" s="6">
        <v>5.9895590999999998E-2</v>
      </c>
    </row>
    <row r="143" spans="1:3" x14ac:dyDescent="0.25">
      <c r="A143" s="6" t="s">
        <v>1138</v>
      </c>
      <c r="B143" s="6">
        <v>2.3291092999999999E-2</v>
      </c>
      <c r="C143" s="6">
        <v>0.435696955</v>
      </c>
    </row>
    <row r="144" spans="1:3" x14ac:dyDescent="0.25">
      <c r="A144" s="6" t="s">
        <v>1139</v>
      </c>
      <c r="B144" s="6">
        <v>1.5042232000000001E-2</v>
      </c>
      <c r="C144" s="6">
        <v>5.1712414999999998E-2</v>
      </c>
    </row>
    <row r="145" spans="1:3" x14ac:dyDescent="0.25">
      <c r="A145" s="6" t="s">
        <v>1140</v>
      </c>
      <c r="B145" s="6">
        <v>9.3053319999999995E-3</v>
      </c>
      <c r="C145" s="6">
        <v>1.682232137</v>
      </c>
    </row>
    <row r="146" spans="1:3" x14ac:dyDescent="0.25">
      <c r="A146" s="6" t="s">
        <v>1141</v>
      </c>
      <c r="B146" s="6">
        <v>1.5976316000000001E-2</v>
      </c>
      <c r="C146" s="6">
        <v>0.24640334999999999</v>
      </c>
    </row>
    <row r="147" spans="1:3" x14ac:dyDescent="0.25">
      <c r="A147" s="6" t="s">
        <v>1142</v>
      </c>
      <c r="B147" s="6">
        <v>3.4578411000000003E-2</v>
      </c>
      <c r="C147" s="6">
        <v>0.140302762</v>
      </c>
    </row>
    <row r="148" spans="1:3" x14ac:dyDescent="0.25">
      <c r="A148" s="6" t="s">
        <v>1143</v>
      </c>
      <c r="B148" s="6">
        <v>2.8509343999999999E-2</v>
      </c>
      <c r="C148" s="6">
        <v>0.20810752399999999</v>
      </c>
    </row>
    <row r="149" spans="1:3" x14ac:dyDescent="0.25">
      <c r="A149" s="6" t="s">
        <v>1144</v>
      </c>
      <c r="B149" s="6">
        <v>5.5543942999999998E-2</v>
      </c>
      <c r="C149" s="6">
        <v>0.27908666799999998</v>
      </c>
    </row>
    <row r="150" spans="1:3" x14ac:dyDescent="0.25">
      <c r="A150" s="6" t="s">
        <v>1145</v>
      </c>
      <c r="B150" s="6">
        <v>1.4455292E-2</v>
      </c>
      <c r="C150" s="6">
        <v>0.315315336</v>
      </c>
    </row>
    <row r="151" spans="1:3" x14ac:dyDescent="0.25">
      <c r="A151" s="6" t="s">
        <v>1146</v>
      </c>
      <c r="B151" s="6">
        <v>3.9034999999999999E-3</v>
      </c>
      <c r="C151" s="6">
        <v>0.135753339</v>
      </c>
    </row>
    <row r="152" spans="1:3" x14ac:dyDescent="0.25">
      <c r="A152" s="6" t="s">
        <v>1147</v>
      </c>
      <c r="B152" s="6">
        <v>7.146749E-3</v>
      </c>
      <c r="C152" s="6">
        <v>7.2547070000000005E-2</v>
      </c>
    </row>
    <row r="153" spans="1:3" x14ac:dyDescent="0.25">
      <c r="A153" s="6" t="s">
        <v>1148</v>
      </c>
      <c r="B153" s="6">
        <v>1.4902194000000001E-2</v>
      </c>
      <c r="C153" s="6">
        <v>0.35060049199999999</v>
      </c>
    </row>
    <row r="154" spans="1:3" x14ac:dyDescent="0.25">
      <c r="A154" s="6" t="s">
        <v>1149</v>
      </c>
      <c r="B154" s="6">
        <v>1.3418774E-2</v>
      </c>
      <c r="C154" s="6">
        <v>8.8019540000000007E-3</v>
      </c>
    </row>
    <row r="155" spans="1:3" x14ac:dyDescent="0.25">
      <c r="A155" s="6" t="s">
        <v>1150</v>
      </c>
      <c r="B155" s="6">
        <v>2.0044382999999999E-2</v>
      </c>
      <c r="C155" s="6">
        <v>0.43176682999999999</v>
      </c>
    </row>
    <row r="156" spans="1:3" x14ac:dyDescent="0.25">
      <c r="A156" s="6" t="s">
        <v>1151</v>
      </c>
      <c r="B156" s="6">
        <v>2.8411062000000001E-2</v>
      </c>
      <c r="C156" s="6">
        <v>0.17039609</v>
      </c>
    </row>
    <row r="157" spans="1:3" x14ac:dyDescent="0.25">
      <c r="A157" s="6" t="s">
        <v>1152</v>
      </c>
      <c r="B157" s="6">
        <v>2.5444590999999999E-2</v>
      </c>
      <c r="C157" s="6">
        <v>0.20727385000000001</v>
      </c>
    </row>
    <row r="158" spans="1:3" x14ac:dyDescent="0.25">
      <c r="A158" s="6" t="s">
        <v>1153</v>
      </c>
      <c r="B158" s="6">
        <v>8.8070240000000001E-3</v>
      </c>
      <c r="C158" s="6">
        <v>0.12228698</v>
      </c>
    </row>
    <row r="159" spans="1:3" x14ac:dyDescent="0.25">
      <c r="A159" s="6" t="s">
        <v>1154</v>
      </c>
      <c r="B159" s="6">
        <v>1.1002639999999999E-2</v>
      </c>
      <c r="C159" s="6">
        <v>0.31973080999999998</v>
      </c>
    </row>
    <row r="160" spans="1:3" x14ac:dyDescent="0.25">
      <c r="A160" s="6" t="s">
        <v>1155</v>
      </c>
      <c r="B160" s="6">
        <v>1.1177444E-2</v>
      </c>
      <c r="C160" s="6">
        <v>6.7445458E-2</v>
      </c>
    </row>
    <row r="161" spans="1:3" x14ac:dyDescent="0.25">
      <c r="A161" s="6" t="s">
        <v>1156</v>
      </c>
      <c r="B161" s="6">
        <v>1.5964914E-2</v>
      </c>
      <c r="C161" s="6">
        <v>0.308003784</v>
      </c>
    </row>
    <row r="162" spans="1:3" x14ac:dyDescent="0.25">
      <c r="A162" s="6" t="s">
        <v>1157</v>
      </c>
      <c r="B162" s="6">
        <v>3.6367563999999998E-2</v>
      </c>
      <c r="C162" s="6">
        <v>0.38004812100000002</v>
      </c>
    </row>
    <row r="163" spans="1:3" x14ac:dyDescent="0.25">
      <c r="A163" s="6" t="s">
        <v>1158</v>
      </c>
      <c r="B163" s="6">
        <v>1.1185855999999999E-2</v>
      </c>
      <c r="C163" s="6">
        <v>1.2644855999999999E-2</v>
      </c>
    </row>
    <row r="164" spans="1:3" x14ac:dyDescent="0.25">
      <c r="A164" s="6" t="s">
        <v>1159</v>
      </c>
      <c r="B164" s="6">
        <v>2.5472099999999998E-3</v>
      </c>
      <c r="C164" s="6">
        <v>0.106048245</v>
      </c>
    </row>
    <row r="165" spans="1:3" x14ac:dyDescent="0.25">
      <c r="A165" s="6" t="s">
        <v>1160</v>
      </c>
      <c r="B165" s="6">
        <v>1.6616910000000001E-3</v>
      </c>
      <c r="C165" s="6">
        <v>9.9263852999999999E-2</v>
      </c>
    </row>
    <row r="166" spans="1:3" x14ac:dyDescent="0.25">
      <c r="A166" s="6" t="s">
        <v>1161</v>
      </c>
      <c r="B166" s="6">
        <v>8.1956588999999996E-2</v>
      </c>
      <c r="C166" s="6">
        <v>0.25202765999999999</v>
      </c>
    </row>
    <row r="167" spans="1:3" x14ac:dyDescent="0.25">
      <c r="A167" s="6" t="s">
        <v>1162</v>
      </c>
      <c r="B167" s="6">
        <v>2.4577221999999999E-2</v>
      </c>
      <c r="C167" s="6">
        <v>0.92166071000000005</v>
      </c>
    </row>
    <row r="168" spans="1:3" x14ac:dyDescent="0.25">
      <c r="A168" s="6" t="s">
        <v>1163</v>
      </c>
      <c r="B168" s="6">
        <v>1.5020090999999999E-2</v>
      </c>
      <c r="C168" s="6">
        <v>1.71962309</v>
      </c>
    </row>
    <row r="169" spans="1:3" x14ac:dyDescent="0.25">
      <c r="A169" s="6" t="s">
        <v>1164</v>
      </c>
      <c r="B169" s="6">
        <v>2.5814507E-2</v>
      </c>
      <c r="C169" s="6">
        <v>0.47062245600000002</v>
      </c>
    </row>
    <row r="170" spans="1:3" x14ac:dyDescent="0.25">
      <c r="A170" s="6" t="s">
        <v>1165</v>
      </c>
      <c r="B170" s="6">
        <v>0.14142125799999999</v>
      </c>
      <c r="C170" s="6">
        <v>0.83848791</v>
      </c>
    </row>
    <row r="171" spans="1:3" x14ac:dyDescent="0.25">
      <c r="A171" s="6" t="s">
        <v>1166</v>
      </c>
      <c r="B171" s="6">
        <v>4.9767830000000002E-3</v>
      </c>
      <c r="C171" s="6">
        <v>0.220981539</v>
      </c>
    </row>
    <row r="172" spans="1:3" x14ac:dyDescent="0.25">
      <c r="A172" s="6" t="s">
        <v>1167</v>
      </c>
      <c r="B172" s="6">
        <v>6.4507760000000001E-3</v>
      </c>
      <c r="C172" s="6">
        <v>0.120756429</v>
      </c>
    </row>
    <row r="173" spans="1:3" x14ac:dyDescent="0.25">
      <c r="A173" s="6" t="s">
        <v>1168</v>
      </c>
      <c r="B173" s="6">
        <v>1.189396E-2</v>
      </c>
      <c r="C173" s="6">
        <v>0.131294785</v>
      </c>
    </row>
    <row r="174" spans="1:3" x14ac:dyDescent="0.25">
      <c r="A174" s="6" t="s">
        <v>1169</v>
      </c>
      <c r="B174" s="6">
        <v>0.131345925</v>
      </c>
      <c r="C174" s="6">
        <v>0.16536410200000001</v>
      </c>
    </row>
    <row r="175" spans="1:3" x14ac:dyDescent="0.25">
      <c r="A175" s="6" t="s">
        <v>1170</v>
      </c>
      <c r="B175" s="6">
        <v>1.4945128E-2</v>
      </c>
      <c r="C175" s="6">
        <v>3.109398E-2</v>
      </c>
    </row>
    <row r="176" spans="1:3" x14ac:dyDescent="0.25">
      <c r="A176" s="6" t="s">
        <v>1171</v>
      </c>
      <c r="B176" s="6">
        <v>7.7440369999999996E-3</v>
      </c>
      <c r="C176" s="6">
        <v>7.2320588000000005E-2</v>
      </c>
    </row>
    <row r="177" spans="1:3" x14ac:dyDescent="0.25">
      <c r="A177" s="6" t="s">
        <v>1172</v>
      </c>
      <c r="B177" s="6">
        <v>9.8956359999999993E-3</v>
      </c>
      <c r="C177" s="6">
        <v>0.14898086399999999</v>
      </c>
    </row>
    <row r="178" spans="1:3" x14ac:dyDescent="0.25">
      <c r="A178" s="6" t="s">
        <v>1173</v>
      </c>
      <c r="B178" s="6">
        <v>8.2114217000000003E-2</v>
      </c>
      <c r="C178" s="6">
        <v>0.86977925499999997</v>
      </c>
    </row>
    <row r="179" spans="1:3" x14ac:dyDescent="0.25">
      <c r="A179" s="6" t="s">
        <v>1174</v>
      </c>
      <c r="B179" s="6">
        <v>1.2958248E-2</v>
      </c>
      <c r="C179" s="6">
        <v>0.93688230500000003</v>
      </c>
    </row>
    <row r="180" spans="1:3" x14ac:dyDescent="0.25">
      <c r="A180" s="6" t="s">
        <v>1175</v>
      </c>
      <c r="B180" s="6">
        <v>1.8688718E-2</v>
      </c>
      <c r="C180" s="6">
        <v>4.2300668E-2</v>
      </c>
    </row>
    <row r="181" spans="1:3" x14ac:dyDescent="0.25">
      <c r="A181" s="6" t="s">
        <v>1176</v>
      </c>
      <c r="B181" s="6">
        <v>2.2922121E-2</v>
      </c>
      <c r="C181" s="6">
        <v>0.66453348099999998</v>
      </c>
    </row>
    <row r="182" spans="1:3" x14ac:dyDescent="0.25">
      <c r="A182" s="6" t="s">
        <v>1177</v>
      </c>
      <c r="B182" s="6">
        <v>4.1784109999999999E-3</v>
      </c>
      <c r="C182" s="6">
        <v>0.361156965</v>
      </c>
    </row>
    <row r="183" spans="1:3" x14ac:dyDescent="0.25">
      <c r="A183" s="6" t="s">
        <v>1178</v>
      </c>
      <c r="B183" s="6">
        <v>1.4552111E-2</v>
      </c>
      <c r="C183" s="6">
        <v>0.92984160699999996</v>
      </c>
    </row>
    <row r="184" spans="1:3" x14ac:dyDescent="0.25">
      <c r="A184" s="6" t="s">
        <v>1179</v>
      </c>
      <c r="B184" s="6">
        <v>8.5860280000000008E-3</v>
      </c>
      <c r="C184" s="6">
        <v>0.23863061099999999</v>
      </c>
    </row>
    <row r="185" spans="1:3" x14ac:dyDescent="0.25">
      <c r="A185" s="6" t="s">
        <v>1180</v>
      </c>
      <c r="B185" s="6">
        <v>5.8630662E-2</v>
      </c>
      <c r="C185" s="6">
        <v>0.81027767100000003</v>
      </c>
    </row>
    <row r="186" spans="1:3" x14ac:dyDescent="0.25">
      <c r="A186" s="6" t="s">
        <v>1181</v>
      </c>
      <c r="B186" s="6">
        <v>3.9206346000000003E-2</v>
      </c>
      <c r="C186" s="6">
        <v>1.2232585039999999</v>
      </c>
    </row>
    <row r="187" spans="1:3" x14ac:dyDescent="0.25">
      <c r="A187" s="6" t="s">
        <v>1182</v>
      </c>
      <c r="B187" s="6">
        <v>2.6631083999999999E-2</v>
      </c>
      <c r="C187" s="6">
        <v>0.41020752500000002</v>
      </c>
    </row>
    <row r="188" spans="1:3" x14ac:dyDescent="0.25">
      <c r="A188" s="6" t="s">
        <v>1185</v>
      </c>
      <c r="B188" s="6">
        <v>3.0496389999999998E-3</v>
      </c>
      <c r="C188" s="6">
        <v>6.5321312000000006E-2</v>
      </c>
    </row>
    <row r="189" spans="1:3" x14ac:dyDescent="0.25">
      <c r="A189" s="6" t="s">
        <v>1186</v>
      </c>
      <c r="B189" s="6">
        <v>2.7787409999999999E-3</v>
      </c>
      <c r="C189" s="6">
        <v>5.9145772999999999E-2</v>
      </c>
    </row>
    <row r="190" spans="1:3" x14ac:dyDescent="0.25">
      <c r="A190" s="6" t="s">
        <v>1187</v>
      </c>
      <c r="B190" s="6">
        <v>5.6387133999999998E-2</v>
      </c>
      <c r="C190" s="6">
        <v>1.1593555230000001</v>
      </c>
    </row>
    <row r="191" spans="1:3" x14ac:dyDescent="0.25">
      <c r="A191" s="6" t="s">
        <v>1188</v>
      </c>
      <c r="B191" s="6">
        <v>4.0527514000000001E-2</v>
      </c>
      <c r="C191" s="6">
        <v>0.56561687699999996</v>
      </c>
    </row>
    <row r="192" spans="1:3" x14ac:dyDescent="0.25">
      <c r="A192" s="6" t="s">
        <v>1189</v>
      </c>
      <c r="B192" s="6">
        <v>1.1520524000000001E-2</v>
      </c>
      <c r="C192" s="6">
        <v>1.3551769E-2</v>
      </c>
    </row>
    <row r="193" spans="1:3" x14ac:dyDescent="0.25">
      <c r="A193" s="6" t="s">
        <v>1190</v>
      </c>
      <c r="B193" s="6">
        <v>2.2648718000000002E-2</v>
      </c>
      <c r="C193" s="6">
        <v>1.5506821369999999</v>
      </c>
    </row>
    <row r="194" spans="1:3" x14ac:dyDescent="0.25">
      <c r="A194" s="6" t="s">
        <v>1191</v>
      </c>
      <c r="B194" s="6">
        <v>7.8172863999999995E-2</v>
      </c>
      <c r="C194" s="6">
        <v>0.11706440999999999</v>
      </c>
    </row>
    <row r="195" spans="1:3" x14ac:dyDescent="0.25">
      <c r="A195" s="6" t="s">
        <v>1192</v>
      </c>
      <c r="B195" s="6">
        <v>3.87784E-3</v>
      </c>
      <c r="C195" s="6">
        <v>2.7198750000000001E-2</v>
      </c>
    </row>
    <row r="196" spans="1:3" x14ac:dyDescent="0.25">
      <c r="A196" s="6" t="s">
        <v>1193</v>
      </c>
      <c r="B196" s="6">
        <v>3.9869438E-2</v>
      </c>
      <c r="C196" s="6">
        <v>0.84134977099999997</v>
      </c>
    </row>
    <row r="197" spans="1:3" x14ac:dyDescent="0.25">
      <c r="A197" s="6" t="s">
        <v>1194</v>
      </c>
      <c r="B197" s="6">
        <v>8.7673425999999999E-2</v>
      </c>
      <c r="C197" s="6">
        <v>5.75823193</v>
      </c>
    </row>
    <row r="198" spans="1:3" x14ac:dyDescent="0.25">
      <c r="A198" s="6" t="s">
        <v>1195</v>
      </c>
      <c r="B198" s="6">
        <v>6.4989399999999999E-3</v>
      </c>
      <c r="C198" s="6">
        <v>5.0154248999999998E-2</v>
      </c>
    </row>
    <row r="199" spans="1:3" x14ac:dyDescent="0.25">
      <c r="A199" s="6" t="s">
        <v>1196</v>
      </c>
      <c r="B199" s="6">
        <v>2.0296839999999999E-3</v>
      </c>
      <c r="C199" s="6">
        <v>0.198876837</v>
      </c>
    </row>
    <row r="200" spans="1:3" x14ac:dyDescent="0.25">
      <c r="A200" s="6" t="s">
        <v>1197</v>
      </c>
      <c r="B200" s="6">
        <v>1.0369160000000001E-2</v>
      </c>
      <c r="C200" s="6">
        <v>1.0141583110000001</v>
      </c>
    </row>
    <row r="201" spans="1:3" x14ac:dyDescent="0.25">
      <c r="A201" s="6" t="s">
        <v>1198</v>
      </c>
      <c r="B201" s="6">
        <v>2.6472879000000001E-2</v>
      </c>
      <c r="C201" s="6">
        <v>0.17443514700000001</v>
      </c>
    </row>
    <row r="202" spans="1:3" x14ac:dyDescent="0.25">
      <c r="A202" s="6" t="s">
        <v>1199</v>
      </c>
      <c r="B202" s="6">
        <v>9.1632999999999992E-3</v>
      </c>
      <c r="C202" s="6">
        <v>0.36273650200000002</v>
      </c>
    </row>
    <row r="203" spans="1:3" x14ac:dyDescent="0.25">
      <c r="A203" s="6" t="s">
        <v>1200</v>
      </c>
      <c r="B203" s="6">
        <v>1.4254331E-2</v>
      </c>
      <c r="C203" s="6">
        <v>2.0328704999999999E-2</v>
      </c>
    </row>
    <row r="204" spans="1:3" x14ac:dyDescent="0.25">
      <c r="A204" s="6" t="s">
        <v>1201</v>
      </c>
      <c r="B204" s="6">
        <v>1.4044152000000001E-2</v>
      </c>
      <c r="C204" s="6">
        <v>6.1614140999999997E-2</v>
      </c>
    </row>
    <row r="205" spans="1:3" x14ac:dyDescent="0.25">
      <c r="A205" s="6" t="s">
        <v>1202</v>
      </c>
      <c r="B205" s="6">
        <v>7.5150379999999999E-3</v>
      </c>
      <c r="C205" s="6">
        <v>0.48564876200000001</v>
      </c>
    </row>
    <row r="206" spans="1:3" x14ac:dyDescent="0.25">
      <c r="A206" s="6" t="s">
        <v>1203</v>
      </c>
      <c r="B206" s="6">
        <v>1.6059495999999999E-2</v>
      </c>
      <c r="C206" s="6">
        <v>0.247087897</v>
      </c>
    </row>
    <row r="207" spans="1:3" x14ac:dyDescent="0.25">
      <c r="A207" s="6" t="s">
        <v>1204</v>
      </c>
      <c r="B207" s="6">
        <v>5.5319100000000001E-3</v>
      </c>
      <c r="C207" s="6">
        <v>0.145440442</v>
      </c>
    </row>
    <row r="208" spans="1:3" x14ac:dyDescent="0.25">
      <c r="A208" s="6" t="s">
        <v>1205</v>
      </c>
      <c r="B208" s="6">
        <v>2.4814974E-2</v>
      </c>
      <c r="C208" s="6">
        <v>0.26064522200000001</v>
      </c>
    </row>
    <row r="209" spans="1:3" x14ac:dyDescent="0.25">
      <c r="A209" s="6" t="s">
        <v>1206</v>
      </c>
      <c r="B209" s="6">
        <v>3.0236987999999999E-2</v>
      </c>
      <c r="C209" s="6">
        <v>0.25886024899999999</v>
      </c>
    </row>
    <row r="210" spans="1:3" x14ac:dyDescent="0.25">
      <c r="A210" s="6" t="s">
        <v>1207</v>
      </c>
      <c r="B210" s="6">
        <v>1.4248103999999999E-2</v>
      </c>
      <c r="C210" s="6">
        <v>0.18964430600000001</v>
      </c>
    </row>
    <row r="211" spans="1:3" x14ac:dyDescent="0.25">
      <c r="A211" s="6" t="s">
        <v>1208</v>
      </c>
      <c r="B211" s="6">
        <v>1.0662464E-2</v>
      </c>
      <c r="C211" s="6">
        <v>0.10002261799999999</v>
      </c>
    </row>
    <row r="212" spans="1:3" x14ac:dyDescent="0.25">
      <c r="A212" s="6" t="s">
        <v>1209</v>
      </c>
      <c r="B212" s="6">
        <v>8.7301237000000004E-2</v>
      </c>
      <c r="C212" s="6">
        <v>0.53055248899999996</v>
      </c>
    </row>
    <row r="213" spans="1:3" x14ac:dyDescent="0.25">
      <c r="A213" s="6" t="s">
        <v>1210</v>
      </c>
      <c r="B213" s="6">
        <v>3.5819554000000003E-2</v>
      </c>
      <c r="C213" s="6">
        <v>0.18134477500000001</v>
      </c>
    </row>
    <row r="214" spans="1:3" x14ac:dyDescent="0.25">
      <c r="A214" s="6" t="s">
        <v>1211</v>
      </c>
      <c r="B214" s="6">
        <v>5.0511410000000003E-3</v>
      </c>
      <c r="C214" s="6">
        <v>0.82496210999999997</v>
      </c>
    </row>
    <row r="215" spans="1:3" x14ac:dyDescent="0.25">
      <c r="A215" s="6" t="s">
        <v>1212</v>
      </c>
      <c r="B215" s="6">
        <v>7.311339E-3</v>
      </c>
      <c r="C215" s="6">
        <v>1.3547034010000001</v>
      </c>
    </row>
    <row r="216" spans="1:3" x14ac:dyDescent="0.25">
      <c r="A216" s="6" t="s">
        <v>1213</v>
      </c>
      <c r="B216" s="6">
        <v>8.1490620000000003E-3</v>
      </c>
      <c r="C216" s="6">
        <v>0.228322409</v>
      </c>
    </row>
    <row r="217" spans="1:3" x14ac:dyDescent="0.25">
      <c r="A217" s="6" t="s">
        <v>1215</v>
      </c>
      <c r="B217" s="6">
        <v>1.4468418E-2</v>
      </c>
      <c r="C217" s="6">
        <v>6.471587E-3</v>
      </c>
    </row>
    <row r="218" spans="1:3" x14ac:dyDescent="0.25">
      <c r="A218" s="6" t="s">
        <v>1216</v>
      </c>
      <c r="B218" s="6">
        <v>8.7124609999999995E-3</v>
      </c>
      <c r="C218" s="6">
        <v>0.10489113799999999</v>
      </c>
    </row>
    <row r="219" spans="1:3" x14ac:dyDescent="0.25">
      <c r="A219" s="6" t="s">
        <v>1217</v>
      </c>
      <c r="B219" s="6">
        <v>2.4378881000000002E-2</v>
      </c>
      <c r="C219" s="6">
        <v>9.6456797999999996E-2</v>
      </c>
    </row>
    <row r="220" spans="1:3" x14ac:dyDescent="0.25">
      <c r="A220" s="6" t="s">
        <v>1218</v>
      </c>
      <c r="B220" s="6">
        <v>0.119834363</v>
      </c>
      <c r="C220" s="6">
        <v>0.62620721899999998</v>
      </c>
    </row>
    <row r="221" spans="1:3" x14ac:dyDescent="0.25">
      <c r="A221" s="6" t="s">
        <v>1219</v>
      </c>
      <c r="B221" s="6">
        <v>3.6973715999999997E-2</v>
      </c>
      <c r="C221" s="6">
        <v>9.5031639000000001E-2</v>
      </c>
    </row>
    <row r="222" spans="1:3" x14ac:dyDescent="0.25">
      <c r="A222" s="6" t="s">
        <v>1220</v>
      </c>
      <c r="B222" s="6">
        <v>3.6830333E-2</v>
      </c>
      <c r="C222" s="6">
        <v>0.23080970100000001</v>
      </c>
    </row>
    <row r="223" spans="1:3" x14ac:dyDescent="0.25">
      <c r="A223" s="6" t="s">
        <v>1221</v>
      </c>
      <c r="B223" s="6">
        <v>0.21613919600000001</v>
      </c>
      <c r="C223" s="6">
        <v>2.3160715650000001</v>
      </c>
    </row>
    <row r="224" spans="1:3" x14ac:dyDescent="0.25">
      <c r="A224" s="6" t="s">
        <v>1222</v>
      </c>
      <c r="B224" s="6">
        <v>3.2256492999999997E-2</v>
      </c>
      <c r="C224" s="6">
        <v>0.84368872399999995</v>
      </c>
    </row>
    <row r="225" spans="1:3" x14ac:dyDescent="0.25">
      <c r="A225" s="6" t="s">
        <v>1223</v>
      </c>
      <c r="B225" s="6">
        <v>2.6420236999999999E-2</v>
      </c>
      <c r="C225" s="6">
        <v>0.51553447799999996</v>
      </c>
    </row>
    <row r="226" spans="1:3" x14ac:dyDescent="0.25">
      <c r="A226" s="6" t="s">
        <v>1224</v>
      </c>
      <c r="B226" s="6">
        <v>3.4984857000000001E-2</v>
      </c>
      <c r="C226" s="6">
        <v>3.0737233999999999E-2</v>
      </c>
    </row>
    <row r="227" spans="1:3" x14ac:dyDescent="0.25">
      <c r="A227" s="6" t="s">
        <v>1225</v>
      </c>
      <c r="B227" s="6">
        <v>1.1533764E-2</v>
      </c>
      <c r="C227" s="6">
        <v>0.53974918800000005</v>
      </c>
    </row>
    <row r="228" spans="1:3" x14ac:dyDescent="0.25">
      <c r="A228" s="6" t="s">
        <v>1226</v>
      </c>
      <c r="B228" s="6">
        <v>7.4249750000000003E-3</v>
      </c>
      <c r="C228" s="6">
        <v>4.0083768999999998E-2</v>
      </c>
    </row>
    <row r="229" spans="1:3" x14ac:dyDescent="0.25">
      <c r="A229" s="6" t="s">
        <v>1227</v>
      </c>
      <c r="B229" s="6">
        <v>1.7794619000000001E-2</v>
      </c>
      <c r="C229" s="6">
        <v>0.117861031</v>
      </c>
    </row>
    <row r="230" spans="1:3" x14ac:dyDescent="0.25">
      <c r="A230" s="6" t="s">
        <v>1228</v>
      </c>
      <c r="B230" s="6">
        <v>1.1641785E-2</v>
      </c>
      <c r="C230" s="6">
        <v>0.44033103400000001</v>
      </c>
    </row>
    <row r="231" spans="1:3" x14ac:dyDescent="0.25">
      <c r="A231" s="6" t="s">
        <v>1229</v>
      </c>
      <c r="B231" s="6">
        <v>5.1074610999999999E-2</v>
      </c>
      <c r="C231" s="6">
        <v>0.40591152800000002</v>
      </c>
    </row>
    <row r="232" spans="1:3" x14ac:dyDescent="0.25">
      <c r="A232" s="6" t="s">
        <v>1230</v>
      </c>
      <c r="B232" s="6">
        <v>2.6898180000000001E-3</v>
      </c>
      <c r="C232" s="6">
        <v>0.54217812799999998</v>
      </c>
    </row>
    <row r="233" spans="1:3" x14ac:dyDescent="0.25">
      <c r="A233" s="6" t="s">
        <v>1231</v>
      </c>
      <c r="B233" s="6">
        <v>0.46491851699999998</v>
      </c>
      <c r="C233" s="6">
        <v>1.3227967039999999</v>
      </c>
    </row>
    <row r="234" spans="1:3" x14ac:dyDescent="0.25">
      <c r="A234" s="6" t="s">
        <v>1232</v>
      </c>
      <c r="B234" s="6">
        <v>3.4012361999999997E-2</v>
      </c>
      <c r="C234" s="6">
        <v>0.51859281400000001</v>
      </c>
    </row>
    <row r="235" spans="1:3" x14ac:dyDescent="0.25">
      <c r="A235" s="6" t="s">
        <v>1233</v>
      </c>
      <c r="B235" s="6">
        <v>9.4436021999999994E-2</v>
      </c>
      <c r="C235" s="6">
        <v>0.57202421400000003</v>
      </c>
    </row>
    <row r="236" spans="1:3" x14ac:dyDescent="0.25">
      <c r="A236" s="6" t="s">
        <v>1234</v>
      </c>
      <c r="B236" s="6">
        <v>7.4121269000000004E-2</v>
      </c>
      <c r="C236" s="6">
        <v>0.430187335</v>
      </c>
    </row>
    <row r="237" spans="1:3" x14ac:dyDescent="0.25">
      <c r="A237" s="6" t="s">
        <v>1235</v>
      </c>
      <c r="B237" s="6">
        <v>3.5012374999999998E-2</v>
      </c>
      <c r="C237" s="6">
        <v>1.074721834</v>
      </c>
    </row>
    <row r="238" spans="1:3" x14ac:dyDescent="0.25">
      <c r="A238" s="6" t="s">
        <v>1236</v>
      </c>
      <c r="B238" s="6">
        <v>0.152337955</v>
      </c>
      <c r="C238" s="6">
        <v>7.4871586000000004E-2</v>
      </c>
    </row>
    <row r="239" spans="1:3" x14ac:dyDescent="0.25">
      <c r="A239" s="6" t="s">
        <v>1237</v>
      </c>
      <c r="B239" s="6">
        <v>2.6805865000000002E-2</v>
      </c>
      <c r="C239" s="6">
        <v>0.57943815499999995</v>
      </c>
    </row>
    <row r="240" spans="1:3" x14ac:dyDescent="0.25">
      <c r="A240" s="6" t="s">
        <v>1238</v>
      </c>
      <c r="B240" s="6">
        <v>0.811119064</v>
      </c>
      <c r="C240" s="6">
        <v>21.531867330000001</v>
      </c>
    </row>
    <row r="241" spans="1:3" x14ac:dyDescent="0.25">
      <c r="A241" s="6" t="s">
        <v>1239</v>
      </c>
      <c r="B241" s="6">
        <v>3.0627191000000002E-2</v>
      </c>
      <c r="C241" s="6">
        <v>0.87974434499999998</v>
      </c>
    </row>
    <row r="242" spans="1:3" x14ac:dyDescent="0.25">
      <c r="A242" s="6" t="s">
        <v>1240</v>
      </c>
      <c r="B242" s="6">
        <v>2.5788572999999999E-2</v>
      </c>
      <c r="C242" s="6">
        <v>0.53485732500000005</v>
      </c>
    </row>
    <row r="243" spans="1:3" x14ac:dyDescent="0.25">
      <c r="A243" s="6" t="s">
        <v>1241</v>
      </c>
      <c r="B243" s="6">
        <v>2.0635586000000001E-2</v>
      </c>
      <c r="C243" s="6">
        <v>8.5460351000000004E-2</v>
      </c>
    </row>
    <row r="244" spans="1:3" x14ac:dyDescent="0.25">
      <c r="A244" s="6" t="s">
        <v>1242</v>
      </c>
      <c r="B244" s="6">
        <v>8.0362809999999993E-3</v>
      </c>
      <c r="C244" s="6">
        <v>0.13898766900000001</v>
      </c>
    </row>
    <row r="245" spans="1:3" x14ac:dyDescent="0.25">
      <c r="A245" s="6" t="s">
        <v>1243</v>
      </c>
      <c r="B245" s="6">
        <v>5.0890343999999997E-2</v>
      </c>
      <c r="C245" s="6">
        <v>1.6452212850000001</v>
      </c>
    </row>
    <row r="246" spans="1:3" x14ac:dyDescent="0.25">
      <c r="A246" s="6" t="s">
        <v>1244</v>
      </c>
      <c r="B246" s="6">
        <v>8.5858059999999996E-3</v>
      </c>
      <c r="C246" s="6">
        <v>3.8332280000000003E-2</v>
      </c>
    </row>
    <row r="247" spans="1:3" x14ac:dyDescent="0.25">
      <c r="A247" s="6" t="s">
        <v>1245</v>
      </c>
      <c r="B247" s="6">
        <v>3.3469961999999999E-2</v>
      </c>
      <c r="C247" s="6">
        <v>1.152015494</v>
      </c>
    </row>
    <row r="248" spans="1:3" x14ac:dyDescent="0.25">
      <c r="A248" s="6" t="s">
        <v>1246</v>
      </c>
      <c r="B248" s="6">
        <v>8.4587770000000007E-3</v>
      </c>
      <c r="C248" s="6">
        <v>0.805472682</v>
      </c>
    </row>
    <row r="249" spans="1:3" x14ac:dyDescent="0.25">
      <c r="A249" s="6" t="s">
        <v>1247</v>
      </c>
      <c r="B249" s="6">
        <v>5.9731935999999999E-2</v>
      </c>
      <c r="C249" s="6">
        <v>1.4997319689999999</v>
      </c>
    </row>
    <row r="250" spans="1:3" x14ac:dyDescent="0.25">
      <c r="A250" s="6" t="s">
        <v>1248</v>
      </c>
      <c r="B250" s="6">
        <v>9.371094E-3</v>
      </c>
      <c r="C250" s="6">
        <v>9.2704175E-2</v>
      </c>
    </row>
    <row r="251" spans="1:3" x14ac:dyDescent="0.25">
      <c r="A251" s="6" t="s">
        <v>1249</v>
      </c>
      <c r="B251" s="6">
        <v>7.7083739999999996E-3</v>
      </c>
      <c r="C251" s="6">
        <v>9.4943465000000005E-2</v>
      </c>
    </row>
    <row r="252" spans="1:3" x14ac:dyDescent="0.25">
      <c r="A252" s="6" t="s">
        <v>1250</v>
      </c>
      <c r="B252" s="6">
        <v>2.2793526000000001E-2</v>
      </c>
      <c r="C252" s="6">
        <v>6.5719335000000004E-2</v>
      </c>
    </row>
    <row r="253" spans="1:3" x14ac:dyDescent="0.25">
      <c r="A253" s="6" t="s">
        <v>1251</v>
      </c>
      <c r="B253" s="6">
        <v>2.7396635999999999E-2</v>
      </c>
      <c r="C253" s="6">
        <v>0.54454198099999995</v>
      </c>
    </row>
    <row r="254" spans="1:3" x14ac:dyDescent="0.25">
      <c r="A254" s="6" t="s">
        <v>1252</v>
      </c>
      <c r="B254" s="6">
        <v>2.8608594000000001E-2</v>
      </c>
      <c r="C254" s="6">
        <v>0.23634704100000001</v>
      </c>
    </row>
    <row r="255" spans="1:3" x14ac:dyDescent="0.25">
      <c r="A255" s="6" t="s">
        <v>1253</v>
      </c>
      <c r="B255" s="6">
        <v>0.104558281</v>
      </c>
      <c r="C255" s="6">
        <v>6.6329977999999998E-2</v>
      </c>
    </row>
    <row r="256" spans="1:3" x14ac:dyDescent="0.25">
      <c r="A256" s="6" t="s">
        <v>1254</v>
      </c>
      <c r="B256" s="6">
        <v>6.7770139999999996E-3</v>
      </c>
      <c r="C256" s="6">
        <v>1.4383969999999999E-2</v>
      </c>
    </row>
    <row r="257" spans="1:3" x14ac:dyDescent="0.25">
      <c r="A257" s="6" t="s">
        <v>1255</v>
      </c>
      <c r="B257" s="6">
        <v>1.1133261E-2</v>
      </c>
      <c r="C257" s="6">
        <v>0.12175799800000001</v>
      </c>
    </row>
    <row r="258" spans="1:3" x14ac:dyDescent="0.25">
      <c r="A258" s="6" t="s">
        <v>1256</v>
      </c>
      <c r="B258" s="6">
        <v>6.6535980000000002E-3</v>
      </c>
      <c r="C258" s="6">
        <v>4.0885189999999997E-3</v>
      </c>
    </row>
    <row r="259" spans="1:3" x14ac:dyDescent="0.25">
      <c r="A259" s="6" t="s">
        <v>1257</v>
      </c>
      <c r="B259" s="6">
        <v>4.7470391000000001E-2</v>
      </c>
      <c r="C259" s="6">
        <v>1.6586566410000001</v>
      </c>
    </row>
    <row r="260" spans="1:3" x14ac:dyDescent="0.25">
      <c r="A260" s="6" t="s">
        <v>1258</v>
      </c>
      <c r="B260" s="6">
        <v>8.4253049999999993E-3</v>
      </c>
      <c r="C260" s="6">
        <v>0.24734051900000001</v>
      </c>
    </row>
    <row r="261" spans="1:3" x14ac:dyDescent="0.25">
      <c r="A261" s="6" t="s">
        <v>1259</v>
      </c>
      <c r="B261" s="6">
        <v>9.7759379999999996E-3</v>
      </c>
      <c r="C261" s="6">
        <v>0.50941148300000005</v>
      </c>
    </row>
    <row r="262" spans="1:3" x14ac:dyDescent="0.25">
      <c r="A262" s="6" t="s">
        <v>1260</v>
      </c>
      <c r="B262" s="6">
        <v>5.9252944000000002E-2</v>
      </c>
      <c r="C262" s="6">
        <v>0.22464558500000001</v>
      </c>
    </row>
    <row r="263" spans="1:3" x14ac:dyDescent="0.25">
      <c r="A263" s="6" t="s">
        <v>1261</v>
      </c>
      <c r="B263" s="6">
        <v>1.9615628999999999E-2</v>
      </c>
      <c r="C263" s="6">
        <v>8.5504687999999995E-2</v>
      </c>
    </row>
    <row r="264" spans="1:3" x14ac:dyDescent="0.25">
      <c r="A264" s="6" t="s">
        <v>1262</v>
      </c>
      <c r="B264" s="6">
        <v>1.2993816E-2</v>
      </c>
      <c r="C264" s="6">
        <v>1.1911322E-2</v>
      </c>
    </row>
    <row r="265" spans="1:3" x14ac:dyDescent="0.25">
      <c r="A265" s="6" t="s">
        <v>1263</v>
      </c>
      <c r="B265" s="6">
        <v>4.9429921000000002E-2</v>
      </c>
      <c r="C265" s="6">
        <v>0.24698265</v>
      </c>
    </row>
    <row r="266" spans="1:3" x14ac:dyDescent="0.25">
      <c r="A266" s="6" t="s">
        <v>1264</v>
      </c>
      <c r="B266" s="6">
        <v>1.6924424E-2</v>
      </c>
      <c r="C266" s="6">
        <v>3.9195081999999999E-2</v>
      </c>
    </row>
    <row r="267" spans="1:3" x14ac:dyDescent="0.25">
      <c r="A267" s="6" t="s">
        <v>1265</v>
      </c>
      <c r="B267" s="6">
        <v>4.8314569999999999E-3</v>
      </c>
      <c r="C267" s="6">
        <v>0.222101821</v>
      </c>
    </row>
    <row r="268" spans="1:3" x14ac:dyDescent="0.25">
      <c r="A268" s="6" t="s">
        <v>1266</v>
      </c>
      <c r="B268" s="6">
        <v>1.053897E-2</v>
      </c>
      <c r="C268" s="6">
        <v>8.4370337000000004E-2</v>
      </c>
    </row>
    <row r="269" spans="1:3" x14ac:dyDescent="0.25">
      <c r="A269" s="6" t="s">
        <v>1267</v>
      </c>
      <c r="B269" s="6">
        <v>6.7492674000000002E-2</v>
      </c>
      <c r="C269" s="6">
        <v>9.0197134999999998E-2</v>
      </c>
    </row>
    <row r="270" spans="1:3" x14ac:dyDescent="0.25">
      <c r="A270" s="6" t="s">
        <v>1268</v>
      </c>
      <c r="B270" s="6">
        <v>1.7619458000000001E-2</v>
      </c>
      <c r="C270" s="6">
        <v>0.247842274</v>
      </c>
    </row>
    <row r="271" spans="1:3" x14ac:dyDescent="0.25">
      <c r="A271" s="6" t="s">
        <v>1269</v>
      </c>
      <c r="B271" s="6">
        <v>1.339312E-2</v>
      </c>
      <c r="C271" s="6">
        <v>0.15212842600000001</v>
      </c>
    </row>
    <row r="272" spans="1:3" x14ac:dyDescent="0.25">
      <c r="A272" s="6" t="s">
        <v>1270</v>
      </c>
      <c r="B272" s="6">
        <v>7.5858590000000004E-3</v>
      </c>
      <c r="C272" s="6">
        <v>6.3591632999999995E-2</v>
      </c>
    </row>
    <row r="273" spans="1:3" x14ac:dyDescent="0.25">
      <c r="A273" s="6" t="s">
        <v>1271</v>
      </c>
      <c r="B273" s="6">
        <v>3.0784371000000001E-2</v>
      </c>
      <c r="C273" s="6">
        <v>0.35010142700000002</v>
      </c>
    </row>
    <row r="274" spans="1:3" x14ac:dyDescent="0.25">
      <c r="A274" s="6" t="s">
        <v>1272</v>
      </c>
      <c r="B274" s="6">
        <v>9.9356633999999999E-2</v>
      </c>
      <c r="C274" s="6">
        <v>0.72327674600000003</v>
      </c>
    </row>
    <row r="275" spans="1:3" x14ac:dyDescent="0.25">
      <c r="A275" s="6" t="s">
        <v>1273</v>
      </c>
      <c r="B275" s="6">
        <v>7.2788496999999994E-2</v>
      </c>
      <c r="C275" s="6">
        <v>0.36075495899999999</v>
      </c>
    </row>
    <row r="276" spans="1:3" x14ac:dyDescent="0.25">
      <c r="A276" s="6" t="s">
        <v>1274</v>
      </c>
      <c r="B276" s="6">
        <v>1.6355043E-2</v>
      </c>
      <c r="C276" s="6">
        <v>0.13341388300000001</v>
      </c>
    </row>
    <row r="277" spans="1:3" x14ac:dyDescent="0.25">
      <c r="A277" s="6" t="s">
        <v>1275</v>
      </c>
      <c r="B277" s="6">
        <v>1.3981313E-2</v>
      </c>
      <c r="C277" s="6">
        <v>1.5812617000000001E-2</v>
      </c>
    </row>
    <row r="278" spans="1:3" x14ac:dyDescent="0.25">
      <c r="A278" s="6" t="s">
        <v>1276</v>
      </c>
      <c r="B278" s="6">
        <v>6.09043E-3</v>
      </c>
      <c r="C278" s="6">
        <v>0.22122544599999999</v>
      </c>
    </row>
    <row r="279" spans="1:3" x14ac:dyDescent="0.25">
      <c r="A279" s="6" t="s">
        <v>1277</v>
      </c>
      <c r="B279" s="6">
        <v>1.9626285E-2</v>
      </c>
      <c r="C279" s="6">
        <v>0.33222269300000001</v>
      </c>
    </row>
    <row r="280" spans="1:3" x14ac:dyDescent="0.25">
      <c r="A280" s="6" t="s">
        <v>1278</v>
      </c>
      <c r="B280" s="6">
        <v>1.2550425E-2</v>
      </c>
      <c r="C280" s="6">
        <v>8.5035722999999994E-2</v>
      </c>
    </row>
    <row r="281" spans="1:3" x14ac:dyDescent="0.25">
      <c r="A281" s="6" t="s">
        <v>1279</v>
      </c>
      <c r="B281" s="6">
        <v>1.0191107E-2</v>
      </c>
      <c r="C281" s="6">
        <v>1.1166317880000001</v>
      </c>
    </row>
    <row r="282" spans="1:3" x14ac:dyDescent="0.25">
      <c r="A282" s="6" t="s">
        <v>1280</v>
      </c>
      <c r="B282" s="6">
        <v>1.0718076999999999E-2</v>
      </c>
      <c r="C282" s="6">
        <v>0.243749204</v>
      </c>
    </row>
    <row r="283" spans="1:3" x14ac:dyDescent="0.25">
      <c r="A283" s="6" t="s">
        <v>1281</v>
      </c>
      <c r="B283" s="6">
        <v>5.3065975000000001E-2</v>
      </c>
      <c r="C283" s="6">
        <v>0.38360652299999998</v>
      </c>
    </row>
    <row r="284" spans="1:3" x14ac:dyDescent="0.25">
      <c r="A284" s="6" t="s">
        <v>1282</v>
      </c>
      <c r="B284" s="6">
        <v>0.10017999299999999</v>
      </c>
      <c r="C284" s="6">
        <v>2.6610667939999999</v>
      </c>
    </row>
    <row r="285" spans="1:3" x14ac:dyDescent="0.25">
      <c r="A285" s="6" t="s">
        <v>1283</v>
      </c>
      <c r="B285" s="6">
        <v>6.5290449999999998E-3</v>
      </c>
      <c r="C285" s="6">
        <v>0.373535175</v>
      </c>
    </row>
    <row r="286" spans="1:3" x14ac:dyDescent="0.25">
      <c r="A286" s="6" t="s">
        <v>1284</v>
      </c>
      <c r="B286" s="6">
        <v>1.3403485999999999E-2</v>
      </c>
      <c r="C286" s="6">
        <v>7.967979E-3</v>
      </c>
    </row>
    <row r="287" spans="1:3" x14ac:dyDescent="0.25">
      <c r="A287" s="6" t="s">
        <v>1285</v>
      </c>
      <c r="B287" s="6">
        <v>8.6170280000000005E-3</v>
      </c>
      <c r="C287" s="6">
        <v>2.9063079999999998E-3</v>
      </c>
    </row>
    <row r="288" spans="1:3" x14ac:dyDescent="0.25">
      <c r="A288" s="6" t="s">
        <v>1286</v>
      </c>
      <c r="B288" s="6">
        <v>2.5710839999999999E-2</v>
      </c>
      <c r="C288" s="6">
        <v>0.55250958500000003</v>
      </c>
    </row>
    <row r="289" spans="1:3" x14ac:dyDescent="0.25">
      <c r="A289" s="6" t="s">
        <v>1287</v>
      </c>
      <c r="B289" s="6">
        <v>2.3718749999999999E-3</v>
      </c>
      <c r="C289" s="6">
        <v>0.22682670899999999</v>
      </c>
    </row>
    <row r="290" spans="1:3" x14ac:dyDescent="0.25">
      <c r="A290" s="6" t="s">
        <v>1288</v>
      </c>
      <c r="B290" s="6">
        <v>3.837586E-3</v>
      </c>
      <c r="C290" s="6">
        <v>0.13033536000000001</v>
      </c>
    </row>
    <row r="291" spans="1:3" x14ac:dyDescent="0.25">
      <c r="A291" s="6" t="s">
        <v>1289</v>
      </c>
      <c r="B291" s="6">
        <v>1.9472376E-2</v>
      </c>
      <c r="C291" s="6">
        <v>8.4016026999999993E-2</v>
      </c>
    </row>
    <row r="292" spans="1:3" x14ac:dyDescent="0.25">
      <c r="A292" s="6" t="s">
        <v>1290</v>
      </c>
      <c r="B292" s="6">
        <v>1.9414451999999999E-2</v>
      </c>
      <c r="C292" s="6">
        <v>0.16365723700000001</v>
      </c>
    </row>
    <row r="293" spans="1:3" x14ac:dyDescent="0.25">
      <c r="A293" s="6" t="s">
        <v>1291</v>
      </c>
      <c r="B293" s="6">
        <v>5.7489896999999998E-2</v>
      </c>
      <c r="C293" s="6">
        <v>1.028433497</v>
      </c>
    </row>
    <row r="294" spans="1:3" x14ac:dyDescent="0.25">
      <c r="A294" s="6" t="s">
        <v>1292</v>
      </c>
      <c r="B294" s="6">
        <v>3.5400483000000003E-2</v>
      </c>
      <c r="C294" s="6">
        <v>1.6505706790000001</v>
      </c>
    </row>
    <row r="295" spans="1:3" x14ac:dyDescent="0.25">
      <c r="A295" s="6" t="s">
        <v>1293</v>
      </c>
      <c r="B295" s="6">
        <v>2.2275236E-2</v>
      </c>
      <c r="C295" s="6">
        <v>0.121097099</v>
      </c>
    </row>
    <row r="296" spans="1:3" x14ac:dyDescent="0.25">
      <c r="A296" s="6" t="s">
        <v>1294</v>
      </c>
      <c r="B296" s="6">
        <v>1.7315852E-2</v>
      </c>
      <c r="C296" s="6">
        <v>0.81508312699999996</v>
      </c>
    </row>
    <row r="297" spans="1:3" x14ac:dyDescent="0.25">
      <c r="A297" s="6" t="s">
        <v>1295</v>
      </c>
      <c r="B297" s="6">
        <v>0.125165203</v>
      </c>
      <c r="C297" s="6">
        <v>1.01385817</v>
      </c>
    </row>
    <row r="298" spans="1:3" x14ac:dyDescent="0.25">
      <c r="A298" s="6" t="s">
        <v>1296</v>
      </c>
      <c r="B298" s="6">
        <v>1.4685783000000001E-2</v>
      </c>
      <c r="C298" s="6">
        <v>0.39007641599999998</v>
      </c>
    </row>
    <row r="299" spans="1:3" x14ac:dyDescent="0.25">
      <c r="A299" s="6" t="s">
        <v>1297</v>
      </c>
      <c r="B299" s="6">
        <v>9.2240977000000002E-2</v>
      </c>
      <c r="C299" s="6">
        <v>7.9044508999999999E-2</v>
      </c>
    </row>
    <row r="300" spans="1:3" x14ac:dyDescent="0.25">
      <c r="A300" s="6" t="s">
        <v>1298</v>
      </c>
      <c r="B300" s="6">
        <v>2.5428405000000001E-2</v>
      </c>
      <c r="C300" s="6">
        <v>0.33262171299999999</v>
      </c>
    </row>
    <row r="301" spans="1:3" x14ac:dyDescent="0.25">
      <c r="A301" s="6" t="s">
        <v>1299</v>
      </c>
      <c r="B301" s="6">
        <v>1.0039232E-2</v>
      </c>
      <c r="C301" s="6">
        <v>5.9221682999999997E-2</v>
      </c>
    </row>
    <row r="302" spans="1:3" x14ac:dyDescent="0.25">
      <c r="A302" s="6" t="s">
        <v>1300</v>
      </c>
      <c r="B302" s="6">
        <v>7.6039705999999999E-2</v>
      </c>
      <c r="C302" s="6">
        <v>7.8166745999999995E-2</v>
      </c>
    </row>
    <row r="303" spans="1:3" x14ac:dyDescent="0.25">
      <c r="A303" s="6" t="s">
        <v>1301</v>
      </c>
      <c r="B303" s="6">
        <v>5.8374548999999998E-2</v>
      </c>
      <c r="C303" s="6">
        <v>4.2964702E-2</v>
      </c>
    </row>
    <row r="304" spans="1:3" x14ac:dyDescent="0.25">
      <c r="A304" s="6" t="s">
        <v>1302</v>
      </c>
      <c r="B304" s="6">
        <v>1.2208210000000001E-2</v>
      </c>
      <c r="C304" s="6">
        <v>0.33317238700000001</v>
      </c>
    </row>
    <row r="305" spans="1:3" x14ac:dyDescent="0.25">
      <c r="A305" s="6" t="s">
        <v>1303</v>
      </c>
      <c r="B305" s="6">
        <v>2.9115347E-2</v>
      </c>
      <c r="C305" s="6">
        <v>0.52011981100000004</v>
      </c>
    </row>
    <row r="306" spans="1:3" x14ac:dyDescent="0.25">
      <c r="A306" s="6" t="s">
        <v>1304</v>
      </c>
      <c r="B306" s="6">
        <v>1.8633566000000001E-2</v>
      </c>
      <c r="C306" s="6">
        <v>0.80283977299999998</v>
      </c>
    </row>
    <row r="307" spans="1:3" x14ac:dyDescent="0.25">
      <c r="A307" s="6" t="s">
        <v>1305</v>
      </c>
      <c r="B307" s="6">
        <v>2.9656823999999998E-2</v>
      </c>
      <c r="C307" s="6">
        <v>0.62551422899999998</v>
      </c>
    </row>
    <row r="308" spans="1:3" x14ac:dyDescent="0.25">
      <c r="A308" s="6" t="s">
        <v>1306</v>
      </c>
      <c r="B308" s="6">
        <v>2.0534112E-2</v>
      </c>
      <c r="C308" s="6">
        <v>0.74571073099999996</v>
      </c>
    </row>
    <row r="309" spans="1:3" x14ac:dyDescent="0.25">
      <c r="A309" s="6" t="s">
        <v>1307</v>
      </c>
      <c r="B309" s="6">
        <v>0.116244996</v>
      </c>
      <c r="C309" s="6">
        <v>2.7941837550000002</v>
      </c>
    </row>
    <row r="310" spans="1:3" x14ac:dyDescent="0.25">
      <c r="A310" s="6" t="s">
        <v>1308</v>
      </c>
      <c r="B310" s="6">
        <v>1.4123949E-2</v>
      </c>
      <c r="C310" s="6">
        <v>5.8172024000000003E-2</v>
      </c>
    </row>
    <row r="311" spans="1:3" x14ac:dyDescent="0.25">
      <c r="A311" s="6" t="s">
        <v>1309</v>
      </c>
      <c r="B311" s="6">
        <v>5.9804284999999999E-2</v>
      </c>
      <c r="C311" s="6">
        <v>0.42507671800000002</v>
      </c>
    </row>
    <row r="312" spans="1:3" x14ac:dyDescent="0.25">
      <c r="A312" s="6" t="s">
        <v>1310</v>
      </c>
      <c r="B312" s="6">
        <v>5.3904423E-2</v>
      </c>
      <c r="C312" s="6">
        <v>0.38291915599999998</v>
      </c>
    </row>
    <row r="313" spans="1:3" x14ac:dyDescent="0.25">
      <c r="A313" s="6" t="s">
        <v>1311</v>
      </c>
      <c r="B313" s="6">
        <v>6.5521494E-2</v>
      </c>
      <c r="C313" s="6">
        <v>0.39404393799999998</v>
      </c>
    </row>
    <row r="314" spans="1:3" x14ac:dyDescent="0.25">
      <c r="A314" s="6" t="s">
        <v>1312</v>
      </c>
      <c r="B314" s="6">
        <v>9.5303065000000006E-2</v>
      </c>
      <c r="C314" s="6">
        <v>0.107810402</v>
      </c>
    </row>
    <row r="315" spans="1:3" x14ac:dyDescent="0.25">
      <c r="A315" s="6" t="s">
        <v>1313</v>
      </c>
      <c r="B315" s="6">
        <v>3.0018415999999999E-2</v>
      </c>
      <c r="C315" s="6">
        <v>0.23603748799999999</v>
      </c>
    </row>
    <row r="316" spans="1:3" x14ac:dyDescent="0.25">
      <c r="A316" s="6" t="s">
        <v>1314</v>
      </c>
      <c r="B316" s="6">
        <v>1.2901950000000001E-2</v>
      </c>
      <c r="C316" s="6">
        <v>6.9358411999999994E-2</v>
      </c>
    </row>
    <row r="317" spans="1:3" x14ac:dyDescent="0.25">
      <c r="A317" s="6" t="s">
        <v>1315</v>
      </c>
      <c r="B317" s="6">
        <v>0.18974218000000001</v>
      </c>
      <c r="C317" s="6">
        <v>9.6069812000000004E-2</v>
      </c>
    </row>
    <row r="318" spans="1:3" x14ac:dyDescent="0.25">
      <c r="A318" s="6" t="s">
        <v>1316</v>
      </c>
      <c r="B318" s="6">
        <v>1.7437279E-2</v>
      </c>
      <c r="C318" s="6">
        <v>0.53752477200000004</v>
      </c>
    </row>
    <row r="319" spans="1:3" x14ac:dyDescent="0.25">
      <c r="A319" s="6" t="s">
        <v>1317</v>
      </c>
      <c r="B319" s="6">
        <v>7.5471679999999999E-2</v>
      </c>
      <c r="C319" s="6">
        <v>1.624466449</v>
      </c>
    </row>
    <row r="320" spans="1:3" x14ac:dyDescent="0.25">
      <c r="A320" s="6" t="s">
        <v>1318</v>
      </c>
      <c r="B320" s="6">
        <v>7.2262100000000003E-3</v>
      </c>
      <c r="C320" s="6">
        <v>0.56874119099999998</v>
      </c>
    </row>
    <row r="321" spans="1:3" x14ac:dyDescent="0.25">
      <c r="A321" s="6" t="s">
        <v>1319</v>
      </c>
      <c r="B321" s="6">
        <v>4.7346840000000003E-3</v>
      </c>
      <c r="C321" s="6">
        <v>0.59638427299999996</v>
      </c>
    </row>
    <row r="322" spans="1:3" x14ac:dyDescent="0.25">
      <c r="A322" s="6" t="s">
        <v>1320</v>
      </c>
      <c r="B322" s="6">
        <v>3.0048829999999999E-3</v>
      </c>
      <c r="C322" s="6">
        <v>0.30094039700000003</v>
      </c>
    </row>
    <row r="323" spans="1:3" x14ac:dyDescent="0.25">
      <c r="A323" s="6" t="s">
        <v>1321</v>
      </c>
      <c r="B323" s="6">
        <v>1.33481E-2</v>
      </c>
      <c r="C323" s="6">
        <v>0.350918271</v>
      </c>
    </row>
    <row r="324" spans="1:3" x14ac:dyDescent="0.25">
      <c r="A324" s="6" t="s">
        <v>1322</v>
      </c>
      <c r="B324" s="6">
        <v>1.6656785E-2</v>
      </c>
      <c r="C324" s="6">
        <v>0.65914072499999998</v>
      </c>
    </row>
    <row r="325" spans="1:3" x14ac:dyDescent="0.25">
      <c r="A325" s="6" t="s">
        <v>1323</v>
      </c>
      <c r="B325" s="6">
        <v>1.3998768999999999E-2</v>
      </c>
      <c r="C325" s="6">
        <v>0.202420878</v>
      </c>
    </row>
    <row r="326" spans="1:3" x14ac:dyDescent="0.25">
      <c r="A326" s="6" t="s">
        <v>1324</v>
      </c>
      <c r="B326" s="6">
        <v>5.7526770000000003E-3</v>
      </c>
      <c r="C326" s="6">
        <v>0.50603455600000002</v>
      </c>
    </row>
    <row r="327" spans="1:3" x14ac:dyDescent="0.25">
      <c r="A327" s="6" t="s">
        <v>1325</v>
      </c>
      <c r="B327" s="6">
        <v>2.0685520999999998E-2</v>
      </c>
      <c r="C327" s="6">
        <v>0.49493479299999998</v>
      </c>
    </row>
    <row r="328" spans="1:3" x14ac:dyDescent="0.25">
      <c r="A328" s="6" t="s">
        <v>1326</v>
      </c>
      <c r="B328" s="6">
        <v>1.7160050999999999E-2</v>
      </c>
      <c r="C328" s="6">
        <v>0.219490406</v>
      </c>
    </row>
    <row r="329" spans="1:3" x14ac:dyDescent="0.25">
      <c r="A329" s="6" t="s">
        <v>1327</v>
      </c>
      <c r="B329" s="6">
        <v>0.12194794</v>
      </c>
      <c r="C329" s="6">
        <v>0.22421201700000001</v>
      </c>
    </row>
    <row r="330" spans="1:3" x14ac:dyDescent="0.25">
      <c r="A330" s="6" t="s">
        <v>1328</v>
      </c>
      <c r="B330" s="6">
        <v>4.7262568999999997E-2</v>
      </c>
      <c r="C330" s="6">
        <v>0.73526629300000002</v>
      </c>
    </row>
    <row r="331" spans="1:3" x14ac:dyDescent="0.25">
      <c r="A331" s="6" t="s">
        <v>1329</v>
      </c>
      <c r="B331" s="6">
        <v>1.4649400000000001E-3</v>
      </c>
      <c r="C331" s="6">
        <v>0.20761418000000001</v>
      </c>
    </row>
    <row r="332" spans="1:3" x14ac:dyDescent="0.25">
      <c r="A332" s="6" t="s">
        <v>1330</v>
      </c>
      <c r="B332" s="6">
        <v>5.3786169999999996E-3</v>
      </c>
      <c r="C332" s="6">
        <v>0.43569078300000003</v>
      </c>
    </row>
    <row r="333" spans="1:3" x14ac:dyDescent="0.25">
      <c r="A333" s="6" t="s">
        <v>1331</v>
      </c>
      <c r="B333" s="6">
        <v>3.6036110000000003E-2</v>
      </c>
      <c r="C333" s="6">
        <v>9.2736717999999996E-2</v>
      </c>
    </row>
    <row r="334" spans="1:3" x14ac:dyDescent="0.25">
      <c r="A334" s="6" t="s">
        <v>1332</v>
      </c>
      <c r="B334" s="6">
        <v>8.3373716E-2</v>
      </c>
      <c r="C334" s="6">
        <v>0.51024711899999997</v>
      </c>
    </row>
    <row r="335" spans="1:3" x14ac:dyDescent="0.25">
      <c r="A335" s="6" t="s">
        <v>1333</v>
      </c>
      <c r="B335" s="6">
        <v>0.103653551</v>
      </c>
      <c r="C335" s="6">
        <v>0.60252394300000001</v>
      </c>
    </row>
    <row r="336" spans="1:3" x14ac:dyDescent="0.25">
      <c r="A336" s="6" t="s">
        <v>1334</v>
      </c>
      <c r="B336" s="6">
        <v>1.0335044E-2</v>
      </c>
      <c r="C336" s="6">
        <v>0.50405207100000005</v>
      </c>
    </row>
    <row r="337" spans="1:3" x14ac:dyDescent="0.25">
      <c r="A337" s="6" t="s">
        <v>1335</v>
      </c>
      <c r="B337" s="6">
        <v>0.13154571300000001</v>
      </c>
      <c r="C337" s="6">
        <v>1.611231509</v>
      </c>
    </row>
    <row r="338" spans="1:3" x14ac:dyDescent="0.25">
      <c r="A338" s="6" t="s">
        <v>1336</v>
      </c>
      <c r="B338" s="6">
        <v>4.2014699000000003E-2</v>
      </c>
      <c r="C338" s="6">
        <v>0.24678401899999999</v>
      </c>
    </row>
    <row r="339" spans="1:3" x14ac:dyDescent="0.25">
      <c r="A339" s="6" t="s">
        <v>1337</v>
      </c>
      <c r="B339" s="6">
        <v>6.7239765000000007E-2</v>
      </c>
      <c r="C339" s="6">
        <v>0.14180025299999999</v>
      </c>
    </row>
    <row r="340" spans="1:3" x14ac:dyDescent="0.25">
      <c r="A340" s="6" t="s">
        <v>1338</v>
      </c>
      <c r="B340" s="6">
        <v>2.7320193E-2</v>
      </c>
      <c r="C340" s="6">
        <v>0.20441268400000001</v>
      </c>
    </row>
    <row r="341" spans="1:3" x14ac:dyDescent="0.25">
      <c r="A341" s="6" t="s">
        <v>1339</v>
      </c>
      <c r="B341" s="6">
        <v>4.9390277000000003E-2</v>
      </c>
      <c r="C341" s="6">
        <v>0.44455900500000001</v>
      </c>
    </row>
    <row r="342" spans="1:3" x14ac:dyDescent="0.25">
      <c r="A342" s="6" t="s">
        <v>1340</v>
      </c>
      <c r="B342" s="6">
        <v>2.1270750000000001E-2</v>
      </c>
      <c r="C342" s="6">
        <v>0.337855344</v>
      </c>
    </row>
    <row r="343" spans="1:3" x14ac:dyDescent="0.25">
      <c r="A343" s="6" t="s">
        <v>1341</v>
      </c>
      <c r="B343" s="6">
        <v>0.18578587299999999</v>
      </c>
      <c r="C343" s="6">
        <v>1.198114924</v>
      </c>
    </row>
    <row r="344" spans="1:3" x14ac:dyDescent="0.25">
      <c r="A344" s="6" t="s">
        <v>1342</v>
      </c>
      <c r="B344" s="6">
        <v>4.2076059999999998E-2</v>
      </c>
      <c r="C344" s="6">
        <v>0.20593455499999999</v>
      </c>
    </row>
    <row r="345" spans="1:3" x14ac:dyDescent="0.25">
      <c r="A345" s="6" t="s">
        <v>1343</v>
      </c>
      <c r="B345" s="6">
        <v>4.7897060000000003E-3</v>
      </c>
      <c r="C345" s="6">
        <v>1.8849441000000002E-2</v>
      </c>
    </row>
    <row r="346" spans="1:3" x14ac:dyDescent="0.25">
      <c r="A346" s="6" t="s">
        <v>1344</v>
      </c>
      <c r="B346" s="6">
        <v>6.1963558000000002E-2</v>
      </c>
      <c r="C346" s="6">
        <v>0.115875931</v>
      </c>
    </row>
    <row r="347" spans="1:3" x14ac:dyDescent="0.25">
      <c r="A347" s="6" t="s">
        <v>1345</v>
      </c>
      <c r="B347" s="6">
        <v>0.29907764999999997</v>
      </c>
      <c r="C347" s="6">
        <v>1.1913842809999999</v>
      </c>
    </row>
    <row r="348" spans="1:3" x14ac:dyDescent="0.25">
      <c r="A348" s="6" t="s">
        <v>1346</v>
      </c>
      <c r="B348" s="6">
        <v>2.0266468999999999E-2</v>
      </c>
      <c r="C348" s="6">
        <v>1.060520229</v>
      </c>
    </row>
    <row r="349" spans="1:3" x14ac:dyDescent="0.25">
      <c r="A349" s="6" t="s">
        <v>1347</v>
      </c>
      <c r="B349" s="6">
        <v>8.2220990000000001E-3</v>
      </c>
      <c r="C349" s="6">
        <v>0.42987810500000001</v>
      </c>
    </row>
    <row r="350" spans="1:3" x14ac:dyDescent="0.25">
      <c r="A350" s="6" t="s">
        <v>1348</v>
      </c>
      <c r="B350" s="6">
        <v>3.568178E-3</v>
      </c>
      <c r="C350" s="6">
        <v>0.136781553</v>
      </c>
    </row>
    <row r="351" spans="1:3" x14ac:dyDescent="0.25">
      <c r="A351" s="6" t="s">
        <v>1349</v>
      </c>
      <c r="B351" s="6">
        <v>1.6767508E-2</v>
      </c>
      <c r="C351" s="6">
        <v>1.073007644</v>
      </c>
    </row>
    <row r="352" spans="1:3" x14ac:dyDescent="0.25">
      <c r="A352" s="6" t="s">
        <v>1350</v>
      </c>
      <c r="B352" s="6">
        <v>1.7016923999999999E-2</v>
      </c>
      <c r="C352" s="6">
        <v>5.7796620999999999E-2</v>
      </c>
    </row>
    <row r="353" spans="1:3" x14ac:dyDescent="0.25">
      <c r="A353" s="6" t="s">
        <v>1351</v>
      </c>
      <c r="B353" s="6">
        <v>0.198764144</v>
      </c>
      <c r="C353" s="6">
        <v>0.34158165499999998</v>
      </c>
    </row>
    <row r="354" spans="1:3" x14ac:dyDescent="0.25">
      <c r="A354" s="6" t="s">
        <v>1352</v>
      </c>
      <c r="B354" s="6">
        <v>2.1608115000000001E-2</v>
      </c>
      <c r="C354" s="6">
        <v>0.156207401</v>
      </c>
    </row>
    <row r="355" spans="1:3" x14ac:dyDescent="0.25">
      <c r="A355" s="6" t="s">
        <v>1353</v>
      </c>
      <c r="B355" s="6">
        <v>7.2474369999999996E-2</v>
      </c>
      <c r="C355" s="6">
        <v>0.227284655</v>
      </c>
    </row>
    <row r="356" spans="1:3" x14ac:dyDescent="0.25">
      <c r="A356" s="6" t="s">
        <v>1354</v>
      </c>
      <c r="B356" s="6">
        <v>1.7754547999999998E-2</v>
      </c>
      <c r="C356" s="6">
        <v>0.21311596999999999</v>
      </c>
    </row>
    <row r="357" spans="1:3" x14ac:dyDescent="0.25">
      <c r="A357" s="6" t="s">
        <v>1355</v>
      </c>
      <c r="B357" s="6">
        <v>3.7990691E-2</v>
      </c>
      <c r="C357" s="6">
        <v>0.11405391099999999</v>
      </c>
    </row>
    <row r="358" spans="1:3" x14ac:dyDescent="0.25">
      <c r="A358" s="6" t="s">
        <v>1356</v>
      </c>
      <c r="B358" s="6">
        <v>0.124723379</v>
      </c>
      <c r="C358" s="6">
        <v>0.66885994199999999</v>
      </c>
    </row>
    <row r="359" spans="1:3" x14ac:dyDescent="0.25">
      <c r="A359" s="6" t="s">
        <v>1357</v>
      </c>
      <c r="B359" s="6">
        <v>2.4748612E-2</v>
      </c>
      <c r="C359" s="6">
        <v>0.58413358999999998</v>
      </c>
    </row>
    <row r="360" spans="1:3" x14ac:dyDescent="0.25">
      <c r="A360" s="6" t="s">
        <v>1358</v>
      </c>
      <c r="B360" s="6">
        <v>1.7129419999999999E-2</v>
      </c>
      <c r="C360" s="6">
        <v>0.436708031</v>
      </c>
    </row>
    <row r="361" spans="1:3" x14ac:dyDescent="0.25">
      <c r="A361" s="6" t="s">
        <v>1359</v>
      </c>
      <c r="B361" s="6">
        <v>2.0683521999999999E-2</v>
      </c>
      <c r="C361" s="6">
        <v>0.423542945</v>
      </c>
    </row>
    <row r="362" spans="1:3" x14ac:dyDescent="0.25">
      <c r="A362" s="6" t="s">
        <v>1360</v>
      </c>
      <c r="B362" s="6">
        <v>1.7073156999999999E-2</v>
      </c>
      <c r="C362" s="6">
        <v>6.3309059999999999E-3</v>
      </c>
    </row>
    <row r="363" spans="1:3" x14ac:dyDescent="0.25">
      <c r="A363" s="6" t="s">
        <v>1361</v>
      </c>
      <c r="B363" s="6">
        <v>2.0969366999999999E-2</v>
      </c>
      <c r="C363" s="6">
        <v>4.629679909</v>
      </c>
    </row>
    <row r="364" spans="1:3" x14ac:dyDescent="0.25">
      <c r="A364" s="6" t="s">
        <v>1362</v>
      </c>
      <c r="B364" s="6">
        <v>9.437796E-3</v>
      </c>
      <c r="C364" s="6">
        <v>0.372152129</v>
      </c>
    </row>
    <row r="365" spans="1:3" x14ac:dyDescent="0.25">
      <c r="A365" s="6" t="s">
        <v>1363</v>
      </c>
      <c r="B365" s="6">
        <v>2.5483887E-2</v>
      </c>
      <c r="C365" s="6">
        <v>0.24892674000000001</v>
      </c>
    </row>
    <row r="366" spans="1:3" x14ac:dyDescent="0.25">
      <c r="A366" s="6" t="s">
        <v>1365</v>
      </c>
      <c r="B366" s="6">
        <v>2.6817203000000001E-2</v>
      </c>
      <c r="C366" s="6">
        <v>6.6040200000000004E-4</v>
      </c>
    </row>
    <row r="367" spans="1:3" x14ac:dyDescent="0.25">
      <c r="A367" s="6" t="s">
        <v>1366</v>
      </c>
      <c r="B367" s="6">
        <v>3.8377132000000001E-2</v>
      </c>
      <c r="C367" s="6">
        <v>0.67906193699999995</v>
      </c>
    </row>
    <row r="368" spans="1:3" x14ac:dyDescent="0.25">
      <c r="A368" s="6" t="s">
        <v>1367</v>
      </c>
      <c r="B368" s="6">
        <v>3.651035E-3</v>
      </c>
      <c r="C368" s="6">
        <v>0.35278189700000001</v>
      </c>
    </row>
    <row r="369" spans="1:3" x14ac:dyDescent="0.25">
      <c r="A369" s="6" t="s">
        <v>1368</v>
      </c>
      <c r="B369" s="6">
        <v>2.7979034E-2</v>
      </c>
      <c r="C369" s="6">
        <v>5.1132948999999997E-2</v>
      </c>
    </row>
    <row r="370" spans="1:3" x14ac:dyDescent="0.25">
      <c r="A370" s="6" t="s">
        <v>1369</v>
      </c>
      <c r="B370" s="6">
        <v>6.0870426999999998E-2</v>
      </c>
      <c r="C370" s="6">
        <v>2.0318463850000001</v>
      </c>
    </row>
    <row r="371" spans="1:3" x14ac:dyDescent="0.25">
      <c r="A371" s="6" t="s">
        <v>1370</v>
      </c>
      <c r="B371" s="6">
        <v>3.9408999999999998E-3</v>
      </c>
      <c r="C371" s="6">
        <v>5.7467907999999998E-2</v>
      </c>
    </row>
    <row r="372" spans="1:3" x14ac:dyDescent="0.25">
      <c r="A372" s="6" t="s">
        <v>1371</v>
      </c>
      <c r="B372" s="6">
        <v>4.2884499999999999E-2</v>
      </c>
      <c r="C372" s="6">
        <v>0.251651395</v>
      </c>
    </row>
    <row r="373" spans="1:3" x14ac:dyDescent="0.25">
      <c r="A373" s="6" t="s">
        <v>1372</v>
      </c>
      <c r="B373" s="6">
        <v>4.137731E-2</v>
      </c>
      <c r="C373" s="6">
        <v>0.397577809</v>
      </c>
    </row>
    <row r="374" spans="1:3" x14ac:dyDescent="0.25">
      <c r="A374" s="6" t="s">
        <v>1373</v>
      </c>
      <c r="B374" s="6">
        <v>3.6077840000000002E-3</v>
      </c>
      <c r="C374" s="6">
        <v>0.76723927199999997</v>
      </c>
    </row>
    <row r="375" spans="1:3" x14ac:dyDescent="0.25">
      <c r="A375" s="6" t="s">
        <v>1374</v>
      </c>
      <c r="B375" s="6">
        <v>4.1830289999999996E-3</v>
      </c>
      <c r="C375" s="6">
        <v>8.4327145000000006E-2</v>
      </c>
    </row>
    <row r="376" spans="1:3" x14ac:dyDescent="0.25">
      <c r="A376" s="6" t="s">
        <v>1375</v>
      </c>
      <c r="B376" s="6">
        <v>1.5728965000000001E-2</v>
      </c>
      <c r="C376" s="6">
        <v>0.16567586300000001</v>
      </c>
    </row>
    <row r="377" spans="1:3" x14ac:dyDescent="0.25">
      <c r="A377" s="6" t="s">
        <v>1376</v>
      </c>
      <c r="B377" s="6">
        <v>5.4944853000000002E-2</v>
      </c>
      <c r="C377" s="6">
        <v>0.29012431300000002</v>
      </c>
    </row>
    <row r="378" spans="1:3" x14ac:dyDescent="0.25">
      <c r="A378" s="6" t="s">
        <v>1377</v>
      </c>
      <c r="B378" s="6">
        <v>0.17033332800000001</v>
      </c>
      <c r="C378" s="6">
        <v>3.0118714560000002</v>
      </c>
    </row>
    <row r="379" spans="1:3" x14ac:dyDescent="0.25">
      <c r="A379" s="6" t="s">
        <v>1378</v>
      </c>
      <c r="B379" s="6">
        <v>5.0953584000000003E-2</v>
      </c>
      <c r="C379" s="6">
        <v>0.135516153</v>
      </c>
    </row>
    <row r="380" spans="1:3" x14ac:dyDescent="0.25">
      <c r="A380" s="6" t="s">
        <v>1379</v>
      </c>
      <c r="B380" s="6">
        <v>3.1876110999999999E-2</v>
      </c>
      <c r="C380" s="6">
        <v>0.11229428800000001</v>
      </c>
    </row>
    <row r="381" spans="1:3" x14ac:dyDescent="0.25">
      <c r="A381" s="6" t="s">
        <v>1380</v>
      </c>
      <c r="B381" s="6">
        <v>3.3466744999999999E-2</v>
      </c>
      <c r="C381" s="6">
        <v>1.0990837999999999E-2</v>
      </c>
    </row>
    <row r="382" spans="1:3" x14ac:dyDescent="0.25">
      <c r="A382" s="6" t="s">
        <v>1381</v>
      </c>
      <c r="B382" s="6">
        <v>0.107236125</v>
      </c>
      <c r="C382" s="6">
        <v>2.2869679999999999</v>
      </c>
    </row>
    <row r="383" spans="1:3" x14ac:dyDescent="0.25">
      <c r="A383" s="6" t="s">
        <v>1382</v>
      </c>
      <c r="B383" s="6">
        <v>3.8640708000000003E-2</v>
      </c>
      <c r="C383" s="6">
        <v>0.16386277899999999</v>
      </c>
    </row>
    <row r="384" spans="1:3" x14ac:dyDescent="0.25">
      <c r="A384" s="6" t="s">
        <v>1383</v>
      </c>
      <c r="B384" s="6">
        <v>9.9949289999999996E-3</v>
      </c>
      <c r="C384" s="6">
        <v>0.30401018200000002</v>
      </c>
    </row>
    <row r="385" spans="1:3" x14ac:dyDescent="0.25">
      <c r="A385" s="6" t="s">
        <v>1384</v>
      </c>
      <c r="B385" s="6">
        <v>2.1797799999999999E-2</v>
      </c>
      <c r="C385" s="6">
        <v>1.297735028</v>
      </c>
    </row>
    <row r="386" spans="1:3" x14ac:dyDescent="0.25">
      <c r="A386" s="6" t="s">
        <v>1385</v>
      </c>
      <c r="B386" s="6">
        <v>1.9628928E-2</v>
      </c>
      <c r="C386" s="6">
        <v>0.449798331</v>
      </c>
    </row>
    <row r="387" spans="1:3" x14ac:dyDescent="0.25">
      <c r="A387" s="6" t="s">
        <v>1386</v>
      </c>
      <c r="B387" s="6">
        <v>6.001953E-3</v>
      </c>
      <c r="C387" s="6">
        <v>0.20200906800000001</v>
      </c>
    </row>
    <row r="388" spans="1:3" x14ac:dyDescent="0.25">
      <c r="A388" s="6" t="s">
        <v>1387</v>
      </c>
      <c r="B388" s="6">
        <v>2.5148385999999998E-2</v>
      </c>
      <c r="C388" s="6">
        <v>0.16892198999999999</v>
      </c>
    </row>
    <row r="389" spans="1:3" x14ac:dyDescent="0.25">
      <c r="A389" s="6" t="s">
        <v>1388</v>
      </c>
      <c r="B389" s="6">
        <v>3.8966898E-2</v>
      </c>
      <c r="C389" s="6">
        <v>0.90371489400000005</v>
      </c>
    </row>
    <row r="390" spans="1:3" x14ac:dyDescent="0.25">
      <c r="A390" s="6" t="s">
        <v>1389</v>
      </c>
      <c r="B390" s="6">
        <v>2.2732300000000002E-3</v>
      </c>
      <c r="C390" s="6">
        <v>0.129813866</v>
      </c>
    </row>
    <row r="391" spans="1:3" x14ac:dyDescent="0.25">
      <c r="A391" s="6" t="s">
        <v>1390</v>
      </c>
      <c r="B391" s="6">
        <v>7.7687199999999998E-3</v>
      </c>
      <c r="C391" s="6">
        <v>0.39380103799999999</v>
      </c>
    </row>
    <row r="392" spans="1:3" x14ac:dyDescent="0.25">
      <c r="A392" s="6" t="s">
        <v>1391</v>
      </c>
      <c r="B392" s="6">
        <v>2.4034966000000001E-2</v>
      </c>
      <c r="C392" s="6">
        <v>0.11659188299999999</v>
      </c>
    </row>
    <row r="393" spans="1:3" x14ac:dyDescent="0.25">
      <c r="A393" s="6" t="s">
        <v>1392</v>
      </c>
      <c r="B393" s="6">
        <v>3.9510898000000003E-2</v>
      </c>
      <c r="C393" s="6">
        <v>0.179010062</v>
      </c>
    </row>
    <row r="394" spans="1:3" x14ac:dyDescent="0.25">
      <c r="A394" s="6" t="s">
        <v>1393</v>
      </c>
      <c r="B394" s="6">
        <v>2.7445902000000001E-2</v>
      </c>
      <c r="C394" s="6">
        <v>0.449654161</v>
      </c>
    </row>
    <row r="395" spans="1:3" x14ac:dyDescent="0.25">
      <c r="A395" s="6" t="s">
        <v>1394</v>
      </c>
      <c r="B395" s="6">
        <v>7.1795184999999997E-2</v>
      </c>
      <c r="C395" s="6">
        <v>1.083898831</v>
      </c>
    </row>
    <row r="396" spans="1:3" x14ac:dyDescent="0.25">
      <c r="A396" s="6" t="s">
        <v>1395</v>
      </c>
      <c r="B396" s="6">
        <v>3.1188598000000001E-2</v>
      </c>
      <c r="C396" s="6">
        <v>0.59536959199999995</v>
      </c>
    </row>
    <row r="397" spans="1:3" x14ac:dyDescent="0.25">
      <c r="A397" s="6" t="s">
        <v>1396</v>
      </c>
      <c r="B397" s="6">
        <v>4.3844110000000004E-3</v>
      </c>
      <c r="C397" s="6">
        <v>0.19926781499999999</v>
      </c>
    </row>
    <row r="398" spans="1:3" x14ac:dyDescent="0.25">
      <c r="A398" s="6" t="s">
        <v>1397</v>
      </c>
      <c r="B398" s="6">
        <v>2.7481908999999999E-2</v>
      </c>
      <c r="C398" s="6">
        <v>0.33528278700000003</v>
      </c>
    </row>
    <row r="399" spans="1:3" x14ac:dyDescent="0.25">
      <c r="A399" s="6" t="s">
        <v>1398</v>
      </c>
      <c r="B399" s="6">
        <v>0.18011160300000001</v>
      </c>
      <c r="C399" s="6">
        <v>0.44166037400000002</v>
      </c>
    </row>
    <row r="400" spans="1:3" x14ac:dyDescent="0.25">
      <c r="A400" s="6" t="s">
        <v>1399</v>
      </c>
      <c r="B400" s="6">
        <v>4.0176233999999998E-2</v>
      </c>
      <c r="C400" s="6">
        <v>0.21394570099999999</v>
      </c>
    </row>
    <row r="401" spans="1:3" x14ac:dyDescent="0.25">
      <c r="A401" s="6" t="s">
        <v>1400</v>
      </c>
      <c r="B401" s="6">
        <v>4.2372597999999997E-2</v>
      </c>
      <c r="C401" s="6">
        <v>0.42707009899999998</v>
      </c>
    </row>
    <row r="402" spans="1:3" x14ac:dyDescent="0.25">
      <c r="A402" s="6" t="s">
        <v>1401</v>
      </c>
      <c r="B402" s="6">
        <v>2.2237402E-2</v>
      </c>
      <c r="C402" s="6">
        <v>4.0236371E-2</v>
      </c>
    </row>
    <row r="403" spans="1:3" x14ac:dyDescent="0.25">
      <c r="A403" s="6" t="s">
        <v>1402</v>
      </c>
      <c r="B403" s="6">
        <v>3.6649299000000003E-2</v>
      </c>
      <c r="C403" s="6">
        <v>1.1585250949999999</v>
      </c>
    </row>
    <row r="404" spans="1:3" x14ac:dyDescent="0.25">
      <c r="A404" s="6" t="s">
        <v>1403</v>
      </c>
      <c r="B404" s="6">
        <v>3.385992E-3</v>
      </c>
      <c r="C404" s="6">
        <v>0.116727634</v>
      </c>
    </row>
    <row r="405" spans="1:3" x14ac:dyDescent="0.25">
      <c r="A405" s="6" t="s">
        <v>1404</v>
      </c>
      <c r="B405" s="6">
        <v>3.1700661999999998E-2</v>
      </c>
      <c r="C405" s="6">
        <v>0.21284610800000001</v>
      </c>
    </row>
    <row r="406" spans="1:3" x14ac:dyDescent="0.25">
      <c r="A406" s="6" t="s">
        <v>1405</v>
      </c>
      <c r="B406" s="6">
        <v>5.8906530999999998E-2</v>
      </c>
      <c r="C406" s="6">
        <v>1.6008796789999999</v>
      </c>
    </row>
    <row r="407" spans="1:3" x14ac:dyDescent="0.25">
      <c r="A407" s="6" t="s">
        <v>1406</v>
      </c>
      <c r="B407" s="6">
        <v>0.48162713899999998</v>
      </c>
      <c r="C407" s="6">
        <v>1.813846246</v>
      </c>
    </row>
    <row r="408" spans="1:3" x14ac:dyDescent="0.25">
      <c r="A408" s="6" t="s">
        <v>1407</v>
      </c>
      <c r="B408" s="6">
        <v>6.2022360999999998E-2</v>
      </c>
      <c r="C408" s="6">
        <v>0.42581580200000002</v>
      </c>
    </row>
    <row r="409" spans="1:3" x14ac:dyDescent="0.25">
      <c r="A409" s="6" t="s">
        <v>1408</v>
      </c>
      <c r="B409" s="6">
        <v>1.9007781000000001E-2</v>
      </c>
      <c r="C409" s="6">
        <v>0.746145222</v>
      </c>
    </row>
    <row r="410" spans="1:3" x14ac:dyDescent="0.25">
      <c r="A410" s="6" t="s">
        <v>1409</v>
      </c>
      <c r="B410" s="6">
        <v>6.3453229999999999E-3</v>
      </c>
      <c r="C410" s="6">
        <v>0.66731753900000002</v>
      </c>
    </row>
    <row r="411" spans="1:3" x14ac:dyDescent="0.25">
      <c r="A411" s="6" t="s">
        <v>1410</v>
      </c>
      <c r="B411" s="6">
        <v>2.1410790000000002E-3</v>
      </c>
      <c r="C411" s="6">
        <v>0.373103564</v>
      </c>
    </row>
    <row r="412" spans="1:3" x14ac:dyDescent="0.25">
      <c r="A412" s="6" t="s">
        <v>1411</v>
      </c>
      <c r="B412" s="6">
        <v>2.4492950000000002E-3</v>
      </c>
      <c r="C412" s="6">
        <v>0.31542812599999998</v>
      </c>
    </row>
    <row r="413" spans="1:3" x14ac:dyDescent="0.25">
      <c r="A413" s="6" t="s">
        <v>1412</v>
      </c>
      <c r="B413" s="6">
        <v>1.0644789E-2</v>
      </c>
      <c r="C413" s="6">
        <v>0.106763416</v>
      </c>
    </row>
    <row r="414" spans="1:3" x14ac:dyDescent="0.25">
      <c r="A414" s="6" t="s">
        <v>1413</v>
      </c>
      <c r="B414" s="6">
        <v>0.101653585</v>
      </c>
      <c r="C414" s="6">
        <v>0.52890465200000003</v>
      </c>
    </row>
    <row r="415" spans="1:3" x14ac:dyDescent="0.25">
      <c r="A415" s="6" t="s">
        <v>1414</v>
      </c>
      <c r="B415" s="6">
        <v>0.33091042500000001</v>
      </c>
      <c r="C415" s="6">
        <v>0.57860995199999998</v>
      </c>
    </row>
    <row r="416" spans="1:3" x14ac:dyDescent="0.25">
      <c r="A416" s="6" t="s">
        <v>1415</v>
      </c>
      <c r="B416" s="6">
        <v>7.4738299999999999E-3</v>
      </c>
      <c r="C416" s="6">
        <v>9.2001416000000003E-2</v>
      </c>
    </row>
    <row r="417" spans="1:3" x14ac:dyDescent="0.25">
      <c r="A417" s="6" t="s">
        <v>1416</v>
      </c>
      <c r="B417" s="6">
        <v>9.3296490000000006E-3</v>
      </c>
      <c r="C417" s="6">
        <v>0.27638291100000001</v>
      </c>
    </row>
    <row r="418" spans="1:3" x14ac:dyDescent="0.25">
      <c r="A418" s="6" t="s">
        <v>1417</v>
      </c>
      <c r="B418" s="6">
        <v>6.8617440000000003E-3</v>
      </c>
      <c r="C418" s="6">
        <v>0.36667512000000002</v>
      </c>
    </row>
    <row r="419" spans="1:3" x14ac:dyDescent="0.25">
      <c r="A419" s="6" t="s">
        <v>1418</v>
      </c>
      <c r="B419" s="6">
        <v>5.2467787000000002E-2</v>
      </c>
      <c r="C419" s="6">
        <v>1.8602085859999999</v>
      </c>
    </row>
    <row r="420" spans="1:3" x14ac:dyDescent="0.25">
      <c r="A420" s="6" t="s">
        <v>1419</v>
      </c>
      <c r="B420" s="6">
        <v>7.2428199999999996E-3</v>
      </c>
      <c r="C420" s="6">
        <v>1.2969550160000001</v>
      </c>
    </row>
    <row r="421" spans="1:3" x14ac:dyDescent="0.25">
      <c r="A421" s="6" t="s">
        <v>1420</v>
      </c>
      <c r="B421" s="6">
        <v>2.5497145999999998E-2</v>
      </c>
      <c r="C421" s="6">
        <v>4.0357490000000003E-2</v>
      </c>
    </row>
    <row r="422" spans="1:3" x14ac:dyDescent="0.25">
      <c r="A422" s="6" t="s">
        <v>1421</v>
      </c>
      <c r="B422" s="6">
        <v>1.1583629E-2</v>
      </c>
      <c r="C422" s="6">
        <v>2.1466707440000001</v>
      </c>
    </row>
    <row r="423" spans="1:3" x14ac:dyDescent="0.25">
      <c r="A423" s="6" t="s">
        <v>1422</v>
      </c>
      <c r="B423" s="6">
        <v>3.1146685E-2</v>
      </c>
      <c r="C423" s="6">
        <v>5.0362766000000003E-2</v>
      </c>
    </row>
    <row r="424" spans="1:3" x14ac:dyDescent="0.25">
      <c r="A424" s="6" t="s">
        <v>1423</v>
      </c>
      <c r="B424" s="6">
        <v>3.7580059999999999E-3</v>
      </c>
      <c r="C424" s="6">
        <v>0.52276630300000004</v>
      </c>
    </row>
    <row r="425" spans="1:3" x14ac:dyDescent="0.25">
      <c r="A425" s="6" t="s">
        <v>1424</v>
      </c>
      <c r="B425" s="6">
        <v>1.8353725000000001E-2</v>
      </c>
      <c r="C425" s="6">
        <v>0.56098888099999999</v>
      </c>
    </row>
    <row r="426" spans="1:3" x14ac:dyDescent="0.25">
      <c r="A426" s="6" t="s">
        <v>1425</v>
      </c>
      <c r="B426" s="6">
        <v>3.2807911000000002E-2</v>
      </c>
      <c r="C426" s="6">
        <v>6.8634444000000003E-2</v>
      </c>
    </row>
    <row r="427" spans="1:3" x14ac:dyDescent="0.25">
      <c r="A427" s="6" t="s">
        <v>1426</v>
      </c>
      <c r="B427" s="6">
        <v>1.7406578999999998E-2</v>
      </c>
      <c r="C427" s="6">
        <v>0.20785859200000001</v>
      </c>
    </row>
    <row r="428" spans="1:3" x14ac:dyDescent="0.25">
      <c r="A428" s="6" t="s">
        <v>1427</v>
      </c>
      <c r="B428" s="6">
        <v>1.7703652E-2</v>
      </c>
      <c r="C428" s="6">
        <v>0.57278674600000001</v>
      </c>
    </row>
    <row r="429" spans="1:3" x14ac:dyDescent="0.25">
      <c r="A429" s="6" t="s">
        <v>1428</v>
      </c>
      <c r="B429" s="6">
        <v>6.4893151999999996E-2</v>
      </c>
      <c r="C429" s="6">
        <v>0.167320631</v>
      </c>
    </row>
    <row r="430" spans="1:3" x14ac:dyDescent="0.25">
      <c r="A430" s="6" t="s">
        <v>1429</v>
      </c>
      <c r="B430" s="6">
        <v>5.5456722E-2</v>
      </c>
      <c r="C430" s="6">
        <v>3.0113190410000001</v>
      </c>
    </row>
    <row r="431" spans="1:3" x14ac:dyDescent="0.25">
      <c r="A431" s="6" t="s">
        <v>1430</v>
      </c>
      <c r="B431" s="6">
        <v>3.0354112999999999E-2</v>
      </c>
      <c r="C431" s="6">
        <v>0.15261476600000001</v>
      </c>
    </row>
    <row r="432" spans="1:3" x14ac:dyDescent="0.25">
      <c r="A432" s="6" t="s">
        <v>1431</v>
      </c>
      <c r="B432" s="6">
        <v>1.9790143E-2</v>
      </c>
      <c r="C432" s="6">
        <v>0.218252053</v>
      </c>
    </row>
    <row r="433" spans="1:3" x14ac:dyDescent="0.25">
      <c r="A433" s="6" t="s">
        <v>1432</v>
      </c>
      <c r="B433" s="6">
        <v>0.16416878900000001</v>
      </c>
      <c r="C433" s="6">
        <v>0.14636898500000001</v>
      </c>
    </row>
    <row r="434" spans="1:3" x14ac:dyDescent="0.25">
      <c r="A434" s="6" t="s">
        <v>1433</v>
      </c>
      <c r="B434" s="6">
        <v>6.8872266000000001E-2</v>
      </c>
      <c r="C434" s="6">
        <v>2.4893034059999999</v>
      </c>
    </row>
    <row r="435" spans="1:3" x14ac:dyDescent="0.25">
      <c r="A435" s="6" t="s">
        <v>1434</v>
      </c>
      <c r="B435" s="6">
        <v>1.02405E-2</v>
      </c>
      <c r="C435" s="6">
        <v>8.9346054999999994E-2</v>
      </c>
    </row>
    <row r="436" spans="1:3" x14ac:dyDescent="0.25">
      <c r="A436" s="6" t="s">
        <v>1435</v>
      </c>
      <c r="B436" s="6">
        <v>7.8817990000000001E-3</v>
      </c>
      <c r="C436" s="6">
        <v>0.43223753500000001</v>
      </c>
    </row>
    <row r="437" spans="1:3" x14ac:dyDescent="0.25">
      <c r="A437" s="6" t="s">
        <v>1436</v>
      </c>
      <c r="B437" s="6">
        <v>5.8451444999999998E-2</v>
      </c>
      <c r="C437" s="6">
        <v>0.74804043099999995</v>
      </c>
    </row>
    <row r="438" spans="1:3" x14ac:dyDescent="0.25">
      <c r="A438" s="6" t="s">
        <v>1437</v>
      </c>
      <c r="B438" s="6">
        <v>4.9620861000000002E-2</v>
      </c>
      <c r="C438" s="6">
        <v>1.9834341179999999</v>
      </c>
    </row>
    <row r="439" spans="1:3" x14ac:dyDescent="0.25">
      <c r="A439" s="6" t="s">
        <v>1438</v>
      </c>
      <c r="B439" s="6">
        <v>7.6953539999999997E-3</v>
      </c>
      <c r="C439" s="6">
        <v>1.1655090260000001</v>
      </c>
    </row>
    <row r="440" spans="1:3" x14ac:dyDescent="0.25">
      <c r="A440" s="6" t="s">
        <v>1439</v>
      </c>
      <c r="B440" s="6">
        <v>5.2195533000000002E-2</v>
      </c>
      <c r="C440" s="6">
        <v>0.38732821899999997</v>
      </c>
    </row>
    <row r="441" spans="1:3" x14ac:dyDescent="0.25">
      <c r="A441" s="6" t="s">
        <v>1440</v>
      </c>
      <c r="B441" s="6">
        <v>4.0914562000000002E-2</v>
      </c>
      <c r="C441" s="6">
        <v>0.55562485500000003</v>
      </c>
    </row>
    <row r="442" spans="1:3" x14ac:dyDescent="0.25">
      <c r="A442" s="6" t="s">
        <v>1441</v>
      </c>
      <c r="B442" s="6">
        <v>6.5147770000000002E-3</v>
      </c>
      <c r="C442" s="6">
        <v>0.19691725400000001</v>
      </c>
    </row>
    <row r="443" spans="1:3" x14ac:dyDescent="0.25">
      <c r="A443" s="6" t="s">
        <v>1442</v>
      </c>
      <c r="B443" s="6">
        <v>9.9634427999999997E-2</v>
      </c>
      <c r="C443" s="6">
        <v>0.10251552999999999</v>
      </c>
    </row>
    <row r="444" spans="1:3" x14ac:dyDescent="0.25">
      <c r="A444" s="6" t="s">
        <v>1443</v>
      </c>
      <c r="B444" s="6">
        <v>1.5972945999999998E-2</v>
      </c>
      <c r="C444" s="6">
        <v>0.184372587</v>
      </c>
    </row>
    <row r="445" spans="1:3" x14ac:dyDescent="0.25">
      <c r="A445" s="6" t="s">
        <v>1444</v>
      </c>
      <c r="B445" s="6">
        <v>6.1372053000000003E-2</v>
      </c>
      <c r="C445" s="6">
        <v>0.27622572699999998</v>
      </c>
    </row>
    <row r="446" spans="1:3" x14ac:dyDescent="0.25">
      <c r="A446" s="6" t="s">
        <v>1445</v>
      </c>
      <c r="B446" s="6">
        <v>1.1101766000000001E-2</v>
      </c>
      <c r="C446" s="6">
        <v>0.177793751</v>
      </c>
    </row>
    <row r="447" spans="1:3" x14ac:dyDescent="0.25">
      <c r="A447" s="6" t="s">
        <v>1446</v>
      </c>
      <c r="B447" s="6">
        <v>5.9597180000000001E-3</v>
      </c>
      <c r="C447" s="6">
        <v>0.18627579599999999</v>
      </c>
    </row>
    <row r="448" spans="1:3" x14ac:dyDescent="0.25">
      <c r="A448" s="6" t="s">
        <v>1447</v>
      </c>
      <c r="B448" s="6">
        <v>9.0114502999999999E-2</v>
      </c>
      <c r="C448" s="6">
        <v>5.631820673</v>
      </c>
    </row>
    <row r="449" spans="1:3" x14ac:dyDescent="0.25">
      <c r="A449" s="6" t="s">
        <v>1448</v>
      </c>
      <c r="B449" s="6">
        <v>2.0076665E-2</v>
      </c>
      <c r="C449" s="6">
        <v>0.301942392</v>
      </c>
    </row>
    <row r="450" spans="1:3" x14ac:dyDescent="0.25">
      <c r="A450" s="6" t="s">
        <v>1449</v>
      </c>
      <c r="B450" s="6">
        <v>0.17480669300000001</v>
      </c>
      <c r="C450" s="6">
        <v>0.70370646400000003</v>
      </c>
    </row>
    <row r="451" spans="1:3" x14ac:dyDescent="0.25">
      <c r="A451" s="6" t="s">
        <v>1450</v>
      </c>
      <c r="B451" s="6">
        <v>1.5760629000000002E-2</v>
      </c>
      <c r="C451" s="6">
        <v>2.2231046000000001E-2</v>
      </c>
    </row>
    <row r="452" spans="1:3" x14ac:dyDescent="0.25">
      <c r="A452" s="6" t="s">
        <v>1451</v>
      </c>
      <c r="B452" s="6">
        <v>4.5634899999999999E-3</v>
      </c>
      <c r="C452" s="6">
        <v>0.31442224099999999</v>
      </c>
    </row>
    <row r="453" spans="1:3" x14ac:dyDescent="0.25">
      <c r="A453" s="6" t="s">
        <v>1452</v>
      </c>
      <c r="B453" s="6">
        <v>0.12918791600000001</v>
      </c>
      <c r="C453" s="6">
        <v>0.46683771299999999</v>
      </c>
    </row>
    <row r="454" spans="1:3" x14ac:dyDescent="0.25">
      <c r="A454" s="6" t="s">
        <v>1453</v>
      </c>
      <c r="B454" s="6">
        <v>3.0057935000000001E-2</v>
      </c>
      <c r="C454" s="6">
        <v>9.6917879999999998E-3</v>
      </c>
    </row>
    <row r="455" spans="1:3" x14ac:dyDescent="0.25">
      <c r="A455" s="6" t="s">
        <v>1454</v>
      </c>
      <c r="B455" s="6">
        <v>8.6509069999999993E-3</v>
      </c>
      <c r="C455" s="6">
        <v>0.45752525300000002</v>
      </c>
    </row>
    <row r="456" spans="1:3" x14ac:dyDescent="0.25">
      <c r="A456" s="6" t="s">
        <v>1455</v>
      </c>
      <c r="B456" s="6">
        <v>1.2056611E-2</v>
      </c>
      <c r="C456" s="6">
        <v>0.33122040699999999</v>
      </c>
    </row>
    <row r="457" spans="1:3" x14ac:dyDescent="0.25">
      <c r="A457" s="6" t="s">
        <v>1456</v>
      </c>
      <c r="B457" s="6">
        <v>6.7355248000000006E-2</v>
      </c>
      <c r="C457" s="6">
        <v>0.53112851999999999</v>
      </c>
    </row>
    <row r="458" spans="1:3" x14ac:dyDescent="0.25">
      <c r="A458" s="6" t="s">
        <v>1457</v>
      </c>
      <c r="B458" s="6">
        <v>1.5537700000000001E-3</v>
      </c>
      <c r="C458" s="6">
        <v>9.6894540000000001E-2</v>
      </c>
    </row>
    <row r="459" spans="1:3" x14ac:dyDescent="0.25">
      <c r="A459" s="6" t="s">
        <v>1458</v>
      </c>
      <c r="B459" s="6">
        <v>2.6412295999999998E-2</v>
      </c>
      <c r="C459" s="6">
        <v>0.457259784</v>
      </c>
    </row>
    <row r="460" spans="1:3" x14ac:dyDescent="0.25">
      <c r="A460" s="6" t="s">
        <v>1459</v>
      </c>
      <c r="B460" s="6">
        <v>6.9328059999999997E-3</v>
      </c>
      <c r="C460" s="6">
        <v>0.30935844400000001</v>
      </c>
    </row>
    <row r="461" spans="1:3" x14ac:dyDescent="0.25">
      <c r="A461" s="6" t="s">
        <v>1460</v>
      </c>
      <c r="B461" s="6">
        <v>1.6032238000000001E-2</v>
      </c>
      <c r="C461" s="6">
        <v>2.2812088000000001E-2</v>
      </c>
    </row>
    <row r="462" spans="1:3" x14ac:dyDescent="0.25">
      <c r="A462" s="6" t="s">
        <v>1461</v>
      </c>
      <c r="B462" s="6">
        <v>4.2712807999999998E-2</v>
      </c>
      <c r="C462" s="6">
        <v>1.1557094400000001</v>
      </c>
    </row>
    <row r="463" spans="1:3" x14ac:dyDescent="0.25">
      <c r="A463" s="6" t="s">
        <v>1462</v>
      </c>
      <c r="B463" s="6">
        <v>0.31663562499999998</v>
      </c>
      <c r="C463" s="6">
        <v>0.30379094299999998</v>
      </c>
    </row>
    <row r="464" spans="1:3" x14ac:dyDescent="0.25">
      <c r="A464" s="6" t="s">
        <v>1463</v>
      </c>
      <c r="B464" s="6">
        <v>1.1080922E-2</v>
      </c>
      <c r="C464" s="6">
        <v>0.35689476599999997</v>
      </c>
    </row>
    <row r="465" spans="1:3" x14ac:dyDescent="0.25">
      <c r="A465" s="6" t="s">
        <v>1464</v>
      </c>
      <c r="B465" s="6">
        <v>1.828896E-2</v>
      </c>
      <c r="C465" s="6">
        <v>0.124165078</v>
      </c>
    </row>
    <row r="466" spans="1:3" x14ac:dyDescent="0.25">
      <c r="A466" s="6" t="s">
        <v>1465</v>
      </c>
      <c r="B466" s="6">
        <v>9.1474884000000006E-2</v>
      </c>
      <c r="C466" s="6">
        <v>9.5575313999999995E-2</v>
      </c>
    </row>
    <row r="467" spans="1:3" x14ac:dyDescent="0.25">
      <c r="A467" s="6" t="s">
        <v>1466</v>
      </c>
      <c r="B467" s="6">
        <v>2.3405539999999999E-2</v>
      </c>
      <c r="C467" s="6">
        <v>5.1627929000000003E-2</v>
      </c>
    </row>
    <row r="468" spans="1:3" x14ac:dyDescent="0.25">
      <c r="A468" s="6" t="s">
        <v>1467</v>
      </c>
      <c r="B468" s="6">
        <v>0.11560271900000001</v>
      </c>
      <c r="C468" s="6">
        <v>0.39402977300000003</v>
      </c>
    </row>
    <row r="469" spans="1:3" x14ac:dyDescent="0.25">
      <c r="A469" s="6" t="s">
        <v>1468</v>
      </c>
      <c r="B469" s="6">
        <v>8.1183890000000002E-3</v>
      </c>
      <c r="C469" s="6">
        <v>0.77655837599999999</v>
      </c>
    </row>
    <row r="470" spans="1:3" x14ac:dyDescent="0.25">
      <c r="A470" s="6" t="s">
        <v>1469</v>
      </c>
      <c r="B470" s="6">
        <v>4.9409429999999997E-2</v>
      </c>
      <c r="C470" s="6">
        <v>0.45042552400000002</v>
      </c>
    </row>
    <row r="471" spans="1:3" x14ac:dyDescent="0.25">
      <c r="A471" s="6" t="s">
        <v>1470</v>
      </c>
      <c r="B471" s="6">
        <v>1.8680118999999999E-2</v>
      </c>
      <c r="C471" s="6">
        <v>0.54191900500000001</v>
      </c>
    </row>
    <row r="472" spans="1:3" x14ac:dyDescent="0.25">
      <c r="A472" s="6" t="s">
        <v>1471</v>
      </c>
      <c r="B472" s="6">
        <v>2.6482016000000001E-2</v>
      </c>
      <c r="C472" s="6">
        <v>1.906567044</v>
      </c>
    </row>
    <row r="473" spans="1:3" x14ac:dyDescent="0.25">
      <c r="A473" s="6" t="s">
        <v>1472</v>
      </c>
      <c r="B473" s="6">
        <v>3.2957868000000001E-2</v>
      </c>
      <c r="C473" s="6">
        <v>0.44126746100000003</v>
      </c>
    </row>
    <row r="474" spans="1:3" x14ac:dyDescent="0.25">
      <c r="A474" s="6" t="s">
        <v>1473</v>
      </c>
      <c r="B474" s="6">
        <v>2.7291896E-2</v>
      </c>
      <c r="C474" s="6">
        <v>0.48524114899999998</v>
      </c>
    </row>
    <row r="475" spans="1:3" x14ac:dyDescent="0.25">
      <c r="A475" s="6" t="s">
        <v>1474</v>
      </c>
      <c r="B475" s="6">
        <v>4.8544176000000001E-2</v>
      </c>
      <c r="C475" s="6">
        <v>1.675216013</v>
      </c>
    </row>
    <row r="476" spans="1:3" x14ac:dyDescent="0.25">
      <c r="A476" s="6" t="s">
        <v>1475</v>
      </c>
      <c r="B476" s="6">
        <v>4.2766687999999997E-2</v>
      </c>
      <c r="C476" s="6">
        <v>1.1911212449999999</v>
      </c>
    </row>
    <row r="477" spans="1:3" x14ac:dyDescent="0.25">
      <c r="A477" s="6" t="s">
        <v>1476</v>
      </c>
      <c r="B477" s="6">
        <v>6.5026793999999999E-2</v>
      </c>
      <c r="C477" s="6">
        <v>0.45860192700000002</v>
      </c>
    </row>
    <row r="478" spans="1:3" x14ac:dyDescent="0.25">
      <c r="A478" s="6" t="s">
        <v>1477</v>
      </c>
      <c r="B478" s="6">
        <v>3.7932809999999997E-2</v>
      </c>
      <c r="C478" s="6">
        <v>0.70451476899999999</v>
      </c>
    </row>
    <row r="479" spans="1:3" x14ac:dyDescent="0.25">
      <c r="A479" s="6" t="s">
        <v>1478</v>
      </c>
      <c r="B479" s="6">
        <v>5.8517604000000001E-2</v>
      </c>
      <c r="C479" s="6">
        <v>0.31123074499999998</v>
      </c>
    </row>
    <row r="480" spans="1:3" x14ac:dyDescent="0.25">
      <c r="A480" s="6" t="s">
        <v>1479</v>
      </c>
      <c r="B480" s="6">
        <v>0.549114836</v>
      </c>
      <c r="C480" s="6">
        <v>16.254326420000002</v>
      </c>
    </row>
    <row r="481" spans="1:3" x14ac:dyDescent="0.25">
      <c r="A481" s="6" t="s">
        <v>1480</v>
      </c>
      <c r="B481" s="6">
        <v>0.68894373799999997</v>
      </c>
      <c r="C481" s="6">
        <v>13.112582850000001</v>
      </c>
    </row>
    <row r="482" spans="1:3" x14ac:dyDescent="0.25">
      <c r="A482" s="6" t="s">
        <v>1481</v>
      </c>
      <c r="B482" s="6">
        <v>3.2101994000000002E-2</v>
      </c>
      <c r="C482" s="6">
        <v>0.36641806999999998</v>
      </c>
    </row>
    <row r="483" spans="1:3" x14ac:dyDescent="0.25">
      <c r="A483" s="6" t="s">
        <v>1482</v>
      </c>
      <c r="B483" s="6">
        <v>5.2008967000000003E-2</v>
      </c>
      <c r="C483" s="6">
        <v>0.98557507200000005</v>
      </c>
    </row>
    <row r="484" spans="1:3" x14ac:dyDescent="0.25">
      <c r="A484" s="6" t="s">
        <v>1483</v>
      </c>
      <c r="B484" s="6">
        <v>1.6796925000000001E-2</v>
      </c>
      <c r="C484" s="6">
        <v>5.5307700000000001E-2</v>
      </c>
    </row>
    <row r="485" spans="1:3" x14ac:dyDescent="0.25">
      <c r="A485" s="6" t="s">
        <v>1485</v>
      </c>
      <c r="B485" s="6">
        <v>1.1660168E-2</v>
      </c>
      <c r="C485" s="6">
        <v>0.879186782</v>
      </c>
    </row>
    <row r="486" spans="1:3" x14ac:dyDescent="0.25">
      <c r="A486" s="6" t="s">
        <v>1486</v>
      </c>
      <c r="B486" s="6">
        <v>0.12800608599999999</v>
      </c>
      <c r="C486" s="6">
        <v>0.33063867000000002</v>
      </c>
    </row>
    <row r="487" spans="1:3" x14ac:dyDescent="0.25">
      <c r="A487" s="6" t="s">
        <v>1487</v>
      </c>
      <c r="B487" s="6">
        <v>0.13241555399999999</v>
      </c>
      <c r="C487" s="6">
        <v>2.1441778280000001</v>
      </c>
    </row>
    <row r="488" spans="1:3" x14ac:dyDescent="0.25">
      <c r="A488" s="6" t="s">
        <v>1488</v>
      </c>
      <c r="B488" s="6">
        <v>1.6707046999999999E-2</v>
      </c>
      <c r="C488" s="6">
        <v>0.43338256600000002</v>
      </c>
    </row>
    <row r="489" spans="1:3" x14ac:dyDescent="0.25">
      <c r="A489" s="6" t="s">
        <v>1489</v>
      </c>
      <c r="B489" s="6">
        <v>1.2049687E-2</v>
      </c>
      <c r="C489" s="6">
        <v>0.23453801799999999</v>
      </c>
    </row>
    <row r="490" spans="1:3" x14ac:dyDescent="0.25">
      <c r="A490" s="6" t="s">
        <v>1490</v>
      </c>
      <c r="B490" s="6">
        <v>2.4165762E-2</v>
      </c>
      <c r="C490" s="6">
        <v>0.103165744</v>
      </c>
    </row>
    <row r="491" spans="1:3" x14ac:dyDescent="0.25">
      <c r="A491" s="6" t="s">
        <v>1491</v>
      </c>
      <c r="B491" s="6">
        <v>7.3066420000000003E-3</v>
      </c>
      <c r="C491" s="6">
        <v>0.31592469899999998</v>
      </c>
    </row>
    <row r="492" spans="1:3" x14ac:dyDescent="0.25">
      <c r="A492" s="6" t="s">
        <v>1492</v>
      </c>
      <c r="B492" s="6">
        <v>3.3614637000000003E-2</v>
      </c>
      <c r="C492" s="6">
        <v>0.80716454400000004</v>
      </c>
    </row>
    <row r="493" spans="1:3" x14ac:dyDescent="0.25">
      <c r="A493" s="6" t="s">
        <v>1493</v>
      </c>
      <c r="B493" s="6">
        <v>6.5483760000000002E-2</v>
      </c>
      <c r="C493" s="6">
        <v>0.146323487</v>
      </c>
    </row>
    <row r="494" spans="1:3" x14ac:dyDescent="0.25">
      <c r="A494" s="6" t="s">
        <v>1494</v>
      </c>
      <c r="B494" s="6">
        <v>3.4985463000000001E-2</v>
      </c>
      <c r="C494" s="6">
        <v>0.91506115799999999</v>
      </c>
    </row>
    <row r="495" spans="1:3" x14ac:dyDescent="0.25">
      <c r="A495" s="6" t="s">
        <v>1495</v>
      </c>
      <c r="B495" s="6">
        <v>6.7268969999999999E-3</v>
      </c>
      <c r="C495" s="6">
        <v>1.5303606000000001E-2</v>
      </c>
    </row>
    <row r="496" spans="1:3" x14ac:dyDescent="0.25">
      <c r="A496" s="6" t="s">
        <v>1496</v>
      </c>
      <c r="B496" s="6">
        <v>9.3264150000000004E-2</v>
      </c>
      <c r="C496" s="6">
        <v>0.57364401200000004</v>
      </c>
    </row>
    <row r="497" spans="1:3" x14ac:dyDescent="0.25">
      <c r="A497" s="6" t="s">
        <v>1497</v>
      </c>
      <c r="B497" s="6">
        <v>7.177218E-3</v>
      </c>
      <c r="C497" s="6">
        <v>0.349761761</v>
      </c>
    </row>
    <row r="498" spans="1:3" x14ac:dyDescent="0.25">
      <c r="A498" s="6" t="s">
        <v>1498</v>
      </c>
      <c r="B498" s="6">
        <v>2.5336414000000002E-2</v>
      </c>
      <c r="C498" s="6">
        <v>0.19293639000000001</v>
      </c>
    </row>
    <row r="499" spans="1:3" x14ac:dyDescent="0.25">
      <c r="A499" s="6" t="s">
        <v>1499</v>
      </c>
      <c r="B499" s="6">
        <v>3.5427106E-2</v>
      </c>
      <c r="C499" s="6">
        <v>0.11906293699999999</v>
      </c>
    </row>
    <row r="500" spans="1:3" x14ac:dyDescent="0.25">
      <c r="A500" s="6" t="s">
        <v>1500</v>
      </c>
      <c r="B500" s="6">
        <v>5.6920986999999999E-2</v>
      </c>
      <c r="C500" s="6">
        <v>0.25635678499999998</v>
      </c>
    </row>
    <row r="501" spans="1:3" x14ac:dyDescent="0.25">
      <c r="A501" s="6" t="s">
        <v>1501</v>
      </c>
      <c r="B501" s="6">
        <v>4.3394546999999999E-2</v>
      </c>
      <c r="C501" s="6">
        <v>0.38890528299999999</v>
      </c>
    </row>
    <row r="502" spans="1:3" x14ac:dyDescent="0.25">
      <c r="A502" s="6" t="s">
        <v>1502</v>
      </c>
      <c r="B502" s="6">
        <v>5.1144490000000001E-2</v>
      </c>
      <c r="C502" s="6">
        <v>0.10878697</v>
      </c>
    </row>
    <row r="503" spans="1:3" x14ac:dyDescent="0.25">
      <c r="A503" s="6" t="s">
        <v>1503</v>
      </c>
      <c r="B503" s="6">
        <v>1.9162412E-2</v>
      </c>
      <c r="C503" s="6">
        <v>6.6738235000000007E-2</v>
      </c>
    </row>
    <row r="504" spans="1:3" x14ac:dyDescent="0.25">
      <c r="A504" s="6" t="s">
        <v>1504</v>
      </c>
      <c r="B504" s="6">
        <v>3.0330855E-2</v>
      </c>
      <c r="C504" s="6">
        <v>2.0644029119999998</v>
      </c>
    </row>
    <row r="505" spans="1:3" x14ac:dyDescent="0.25">
      <c r="A505" s="6" t="s">
        <v>1505</v>
      </c>
      <c r="B505" s="6">
        <v>1.4688119999999999E-3</v>
      </c>
      <c r="C505" s="6">
        <v>4.4936853999999998E-2</v>
      </c>
    </row>
    <row r="506" spans="1:3" x14ac:dyDescent="0.25">
      <c r="A506" s="6" t="s">
        <v>1506</v>
      </c>
      <c r="B506" s="6">
        <v>1.0255871E-2</v>
      </c>
      <c r="C506" s="6">
        <v>0.40031725499999998</v>
      </c>
    </row>
    <row r="507" spans="1:3" x14ac:dyDescent="0.25">
      <c r="A507" s="6" t="s">
        <v>1507</v>
      </c>
      <c r="B507" s="6">
        <v>4.2866559999999998E-3</v>
      </c>
      <c r="C507" s="6">
        <v>4.752661E-3</v>
      </c>
    </row>
    <row r="508" spans="1:3" x14ac:dyDescent="0.25">
      <c r="A508" s="6" t="s">
        <v>1508</v>
      </c>
      <c r="B508" s="6">
        <v>0.13522556199999999</v>
      </c>
      <c r="C508" s="6">
        <v>0.86955005399999996</v>
      </c>
    </row>
    <row r="509" spans="1:3" x14ac:dyDescent="0.25">
      <c r="A509" s="6" t="s">
        <v>1509</v>
      </c>
      <c r="B509" s="6">
        <v>0.124960527</v>
      </c>
      <c r="C509" s="6">
        <v>1.355340709</v>
      </c>
    </row>
    <row r="510" spans="1:3" x14ac:dyDescent="0.25">
      <c r="A510" s="6" t="s">
        <v>1510</v>
      </c>
      <c r="B510" s="6">
        <v>8.2753380000000001E-3</v>
      </c>
      <c r="C510" s="6">
        <v>0.52888713899999995</v>
      </c>
    </row>
    <row r="511" spans="1:3" x14ac:dyDescent="0.25">
      <c r="A511" s="6" t="s">
        <v>1511</v>
      </c>
      <c r="B511" s="6">
        <v>3.1440969999999999E-2</v>
      </c>
      <c r="C511" s="6">
        <v>0.391021709</v>
      </c>
    </row>
    <row r="512" spans="1:3" x14ac:dyDescent="0.25">
      <c r="A512" s="6" t="s">
        <v>1512</v>
      </c>
      <c r="B512" s="6">
        <v>4.6157539999999997E-3</v>
      </c>
      <c r="C512" s="6">
        <v>0.39319111000000001</v>
      </c>
    </row>
    <row r="513" spans="1:3" x14ac:dyDescent="0.25">
      <c r="A513" s="6" t="s">
        <v>1513</v>
      </c>
      <c r="B513" s="6">
        <v>3.7930609999999999E-3</v>
      </c>
      <c r="C513" s="6">
        <v>6.2688077999999994E-2</v>
      </c>
    </row>
    <row r="514" spans="1:3" x14ac:dyDescent="0.25">
      <c r="A514" s="6" t="s">
        <v>1514</v>
      </c>
      <c r="B514" s="6">
        <v>4.8858462999999998E-2</v>
      </c>
      <c r="C514" s="6">
        <v>0.18236454299999999</v>
      </c>
    </row>
    <row r="515" spans="1:3" x14ac:dyDescent="0.25">
      <c r="A515" s="6" t="s">
        <v>1515</v>
      </c>
      <c r="B515" s="6">
        <v>9.342365E-3</v>
      </c>
      <c r="C515" s="6">
        <v>1.609539845</v>
      </c>
    </row>
    <row r="516" spans="1:3" x14ac:dyDescent="0.25">
      <c r="A516" s="6" t="s">
        <v>1516</v>
      </c>
      <c r="B516" s="6">
        <v>1.7655956E-2</v>
      </c>
      <c r="C516" s="6">
        <v>0.139100272</v>
      </c>
    </row>
    <row r="517" spans="1:3" x14ac:dyDescent="0.25">
      <c r="A517" s="6" t="s">
        <v>1517</v>
      </c>
      <c r="B517" s="6">
        <v>2.9191736999999999E-2</v>
      </c>
      <c r="C517" s="6">
        <v>0.34547704099999998</v>
      </c>
    </row>
    <row r="518" spans="1:3" x14ac:dyDescent="0.25">
      <c r="A518" s="6" t="s">
        <v>1518</v>
      </c>
      <c r="B518" s="6">
        <v>5.5265569999999997E-3</v>
      </c>
      <c r="C518" s="6">
        <v>0.393718715</v>
      </c>
    </row>
    <row r="519" spans="1:3" x14ac:dyDescent="0.25">
      <c r="A519" s="6" t="s">
        <v>1519</v>
      </c>
      <c r="B519" s="6">
        <v>1.9997101999999999E-2</v>
      </c>
      <c r="C519" s="6">
        <v>0.124512504</v>
      </c>
    </row>
    <row r="520" spans="1:3" x14ac:dyDescent="0.25">
      <c r="A520" s="6" t="s">
        <v>1520</v>
      </c>
      <c r="B520" s="6">
        <v>4.7063028E-2</v>
      </c>
      <c r="C520" s="6">
        <v>0.59950972700000005</v>
      </c>
    </row>
    <row r="521" spans="1:3" x14ac:dyDescent="0.25">
      <c r="A521" s="6" t="s">
        <v>1521</v>
      </c>
      <c r="B521" s="6">
        <v>3.6741240000000001E-2</v>
      </c>
      <c r="C521" s="6">
        <v>0.99297193299999997</v>
      </c>
    </row>
    <row r="522" spans="1:3" x14ac:dyDescent="0.25">
      <c r="A522" s="6" t="s">
        <v>1522</v>
      </c>
      <c r="B522" s="6">
        <v>1.8809320000000001E-2</v>
      </c>
      <c r="C522" s="6">
        <v>0.216168899</v>
      </c>
    </row>
    <row r="523" spans="1:3" x14ac:dyDescent="0.25">
      <c r="A523" s="6" t="s">
        <v>1523</v>
      </c>
      <c r="B523" s="6">
        <v>4.1100153E-2</v>
      </c>
      <c r="C523" s="6">
        <v>0.38452343100000003</v>
      </c>
    </row>
    <row r="524" spans="1:3" x14ac:dyDescent="0.25">
      <c r="A524" s="6" t="s">
        <v>1524</v>
      </c>
      <c r="B524" s="6">
        <v>9.5054730000000004E-3</v>
      </c>
      <c r="C524" s="6">
        <v>0.49955363400000002</v>
      </c>
    </row>
    <row r="525" spans="1:3" x14ac:dyDescent="0.25">
      <c r="A525" s="6" t="s">
        <v>1525</v>
      </c>
      <c r="B525" s="6">
        <v>2.7791564000000001E-2</v>
      </c>
      <c r="C525" s="6">
        <v>0.26060460400000002</v>
      </c>
    </row>
    <row r="526" spans="1:3" x14ac:dyDescent="0.25">
      <c r="A526" s="6" t="s">
        <v>1526</v>
      </c>
      <c r="B526" s="6">
        <v>0.194194646</v>
      </c>
      <c r="C526" s="6">
        <v>3.478035362</v>
      </c>
    </row>
    <row r="527" spans="1:3" x14ac:dyDescent="0.25">
      <c r="A527" s="6" t="s">
        <v>1527</v>
      </c>
      <c r="B527" s="6">
        <v>1.7488686999999999E-2</v>
      </c>
      <c r="C527" s="6">
        <v>0.53295206699999997</v>
      </c>
    </row>
    <row r="528" spans="1:3" x14ac:dyDescent="0.25">
      <c r="A528" s="6" t="s">
        <v>1528</v>
      </c>
      <c r="B528" s="6">
        <v>9.2187573999999994E-2</v>
      </c>
      <c r="C528" s="6">
        <v>0.206081388</v>
      </c>
    </row>
    <row r="529" spans="1:3" x14ac:dyDescent="0.25">
      <c r="A529" s="6" t="s">
        <v>1529</v>
      </c>
      <c r="B529" s="6">
        <v>2.3764897E-2</v>
      </c>
      <c r="C529" s="6">
        <v>0.32790092599999998</v>
      </c>
    </row>
    <row r="530" spans="1:3" x14ac:dyDescent="0.25">
      <c r="A530" s="6" t="s">
        <v>1530</v>
      </c>
      <c r="B530" s="6">
        <v>7.0815464999999994E-2</v>
      </c>
      <c r="C530" s="6">
        <v>1.995837E-2</v>
      </c>
    </row>
    <row r="531" spans="1:3" x14ac:dyDescent="0.25">
      <c r="A531" s="6" t="s">
        <v>1531</v>
      </c>
      <c r="B531" s="6">
        <v>3.6062587E-2</v>
      </c>
      <c r="C531" s="6">
        <v>0.81765244500000001</v>
      </c>
    </row>
    <row r="532" spans="1:3" x14ac:dyDescent="0.25">
      <c r="A532" s="6" t="s">
        <v>1532</v>
      </c>
      <c r="B532" s="6">
        <v>1.0496887999999999E-2</v>
      </c>
      <c r="C532" s="6">
        <v>0.226067817</v>
      </c>
    </row>
    <row r="533" spans="1:3" x14ac:dyDescent="0.25">
      <c r="A533" s="6" t="s">
        <v>1533</v>
      </c>
      <c r="B533" s="6">
        <v>1.8081337999999999E-2</v>
      </c>
      <c r="C533" s="6">
        <v>5.9406960000000002E-2</v>
      </c>
    </row>
    <row r="534" spans="1:3" x14ac:dyDescent="0.25">
      <c r="A534" s="6" t="s">
        <v>1534</v>
      </c>
      <c r="B534" s="6">
        <v>2.1901377999999999E-2</v>
      </c>
      <c r="C534" s="6">
        <v>0.56177918199999999</v>
      </c>
    </row>
    <row r="535" spans="1:3" x14ac:dyDescent="0.25">
      <c r="A535" s="6" t="s">
        <v>1535</v>
      </c>
      <c r="B535" s="6">
        <v>2.363285E-2</v>
      </c>
      <c r="C535" s="6">
        <v>0.484333246</v>
      </c>
    </row>
    <row r="536" spans="1:3" x14ac:dyDescent="0.25">
      <c r="A536" s="6" t="s">
        <v>1536</v>
      </c>
      <c r="B536" s="6">
        <v>4.3241228E-2</v>
      </c>
      <c r="C536" s="6">
        <v>0.35894823999999997</v>
      </c>
    </row>
    <row r="537" spans="1:3" x14ac:dyDescent="0.25">
      <c r="A537" s="6" t="s">
        <v>1537</v>
      </c>
      <c r="B537" s="6">
        <v>3.7445293999999997E-2</v>
      </c>
      <c r="C537" s="6">
        <v>0.89282965199999997</v>
      </c>
    </row>
    <row r="538" spans="1:3" x14ac:dyDescent="0.25">
      <c r="A538" s="6" t="s">
        <v>1538</v>
      </c>
      <c r="B538" s="6">
        <v>5.4662471999999997E-2</v>
      </c>
      <c r="C538" s="6">
        <v>0.42789898399999998</v>
      </c>
    </row>
    <row r="539" spans="1:3" x14ac:dyDescent="0.25">
      <c r="A539" s="6" t="s">
        <v>1539</v>
      </c>
      <c r="B539" s="6">
        <v>0.53283383900000003</v>
      </c>
      <c r="C539" s="6">
        <v>22.7184873</v>
      </c>
    </row>
    <row r="540" spans="1:3" x14ac:dyDescent="0.25">
      <c r="A540" s="6" t="s">
        <v>1540</v>
      </c>
      <c r="B540" s="6">
        <v>7.6899609999999993E-2</v>
      </c>
      <c r="C540" s="6">
        <v>0.77140034000000002</v>
      </c>
    </row>
    <row r="541" spans="1:3" x14ac:dyDescent="0.25">
      <c r="A541" s="6" t="s">
        <v>1541</v>
      </c>
      <c r="B541" s="6">
        <v>1.771704E-2</v>
      </c>
      <c r="C541" s="6">
        <v>5.3259140000000003E-2</v>
      </c>
    </row>
    <row r="542" spans="1:3" x14ac:dyDescent="0.25">
      <c r="A542" s="6" t="s">
        <v>1542</v>
      </c>
      <c r="B542" s="6">
        <v>2.3974036000000001E-2</v>
      </c>
      <c r="C542" s="6">
        <v>1.114989971</v>
      </c>
    </row>
    <row r="543" spans="1:3" x14ac:dyDescent="0.25">
      <c r="A543" s="6" t="s">
        <v>1543</v>
      </c>
      <c r="B543" s="6">
        <v>2.0205449E-2</v>
      </c>
      <c r="C543" s="6">
        <v>0.47103372599999999</v>
      </c>
    </row>
    <row r="544" spans="1:3" x14ac:dyDescent="0.25">
      <c r="A544" s="6" t="s">
        <v>1544</v>
      </c>
      <c r="B544" s="6">
        <v>3.9646252999999999E-2</v>
      </c>
      <c r="C544" s="6">
        <v>1.7780698000000001E-2</v>
      </c>
    </row>
    <row r="545" spans="1:3" x14ac:dyDescent="0.25">
      <c r="A545" s="6" t="s">
        <v>1545</v>
      </c>
      <c r="B545" s="6">
        <v>2.2190109999999999E-2</v>
      </c>
      <c r="C545" s="6">
        <v>5.9063956000000001E-2</v>
      </c>
    </row>
    <row r="546" spans="1:3" x14ac:dyDescent="0.25">
      <c r="A546" s="6" t="s">
        <v>1546</v>
      </c>
      <c r="B546" s="6">
        <v>1.5042967000000001E-2</v>
      </c>
      <c r="C546" s="6">
        <v>7.3309919000000001E-2</v>
      </c>
    </row>
    <row r="547" spans="1:3" x14ac:dyDescent="0.25">
      <c r="A547" s="6" t="s">
        <v>1547</v>
      </c>
      <c r="B547" s="6">
        <v>0.180618997</v>
      </c>
      <c r="C547" s="6">
        <v>0.55037043200000002</v>
      </c>
    </row>
    <row r="548" spans="1:3" x14ac:dyDescent="0.25">
      <c r="A548" s="6" t="s">
        <v>1548</v>
      </c>
      <c r="B548" s="6">
        <v>2.8630163E-2</v>
      </c>
      <c r="C548" s="6">
        <v>0.139830329</v>
      </c>
    </row>
    <row r="549" spans="1:3" x14ac:dyDescent="0.25">
      <c r="A549" s="6" t="s">
        <v>1549</v>
      </c>
      <c r="B549" s="6">
        <v>3.1706587000000001E-2</v>
      </c>
      <c r="C549" s="6">
        <v>2.3041592999999999E-2</v>
      </c>
    </row>
    <row r="550" spans="1:3" x14ac:dyDescent="0.25">
      <c r="A550" s="6" t="s">
        <v>1550</v>
      </c>
      <c r="B550" s="6">
        <v>4.5789218999999999E-2</v>
      </c>
      <c r="C550" s="6">
        <v>7.6792099999999997E-4</v>
      </c>
    </row>
    <row r="551" spans="1:3" x14ac:dyDescent="0.25">
      <c r="A551" s="6" t="s">
        <v>1551</v>
      </c>
      <c r="B551" s="6">
        <v>3.4910341999999997E-2</v>
      </c>
      <c r="C551" s="6">
        <v>0.22542327300000001</v>
      </c>
    </row>
    <row r="552" spans="1:3" x14ac:dyDescent="0.25">
      <c r="A552" s="6" t="s">
        <v>1552</v>
      </c>
      <c r="B552" s="6">
        <v>2.1818550999999999E-2</v>
      </c>
      <c r="C552" s="6">
        <v>5.0680129999999997E-3</v>
      </c>
    </row>
    <row r="553" spans="1:3" x14ac:dyDescent="0.25">
      <c r="A553" s="6" t="s">
        <v>1553</v>
      </c>
      <c r="B553" s="6">
        <v>2.7332127000000001E-2</v>
      </c>
      <c r="C553" s="6">
        <v>0.60179151399999997</v>
      </c>
    </row>
    <row r="554" spans="1:3" x14ac:dyDescent="0.25">
      <c r="A554" s="6" t="s">
        <v>1554</v>
      </c>
      <c r="B554" s="6">
        <v>0.18941632899999999</v>
      </c>
      <c r="C554" s="6">
        <v>0.65405855899999998</v>
      </c>
    </row>
    <row r="555" spans="1:3" x14ac:dyDescent="0.25">
      <c r="A555" s="6" t="s">
        <v>1555</v>
      </c>
      <c r="B555" s="6">
        <v>5.7494299999999998E-3</v>
      </c>
      <c r="C555" s="6">
        <v>1.9534391000000002E-2</v>
      </c>
    </row>
    <row r="556" spans="1:3" x14ac:dyDescent="0.25">
      <c r="A556" s="6" t="s">
        <v>1556</v>
      </c>
      <c r="B556" s="6">
        <v>1.8474055E-2</v>
      </c>
      <c r="C556" s="6">
        <v>0.12624005199999999</v>
      </c>
    </row>
    <row r="557" spans="1:3" x14ac:dyDescent="0.25">
      <c r="A557" s="6" t="s">
        <v>1557</v>
      </c>
      <c r="B557" s="6">
        <v>2.7994228999999999E-2</v>
      </c>
      <c r="C557" s="6">
        <v>0.49176759599999997</v>
      </c>
    </row>
    <row r="558" spans="1:3" x14ac:dyDescent="0.25">
      <c r="A558" s="6" t="s">
        <v>1558</v>
      </c>
      <c r="B558" s="6">
        <v>3.9946255999999999E-2</v>
      </c>
      <c r="C558" s="6">
        <v>1.825825E-2</v>
      </c>
    </row>
    <row r="559" spans="1:3" x14ac:dyDescent="0.25">
      <c r="A559" s="6" t="s">
        <v>1559</v>
      </c>
      <c r="B559" s="6">
        <v>1.5315352000000001E-2</v>
      </c>
      <c r="C559" s="6">
        <v>2.6852904E-2</v>
      </c>
    </row>
    <row r="560" spans="1:3" x14ac:dyDescent="0.25">
      <c r="A560" s="6" t="s">
        <v>1560</v>
      </c>
      <c r="B560" s="6">
        <v>7.4416198000000003E-2</v>
      </c>
      <c r="C560" s="6">
        <v>0.197787822</v>
      </c>
    </row>
    <row r="561" spans="1:3" x14ac:dyDescent="0.25">
      <c r="A561" s="6" t="s">
        <v>1561</v>
      </c>
      <c r="B561" s="6">
        <v>2.5678237E-2</v>
      </c>
      <c r="C561" s="6">
        <v>0.49498909899999999</v>
      </c>
    </row>
    <row r="562" spans="1:3" x14ac:dyDescent="0.25">
      <c r="A562" s="6" t="s">
        <v>1562</v>
      </c>
      <c r="B562" s="6">
        <v>3.2064291000000002E-2</v>
      </c>
      <c r="C562" s="6">
        <v>0.22416419200000001</v>
      </c>
    </row>
    <row r="563" spans="1:3" x14ac:dyDescent="0.25">
      <c r="A563" s="6" t="s">
        <v>1563</v>
      </c>
      <c r="B563" s="6">
        <v>1.2032348E-2</v>
      </c>
      <c r="C563" s="6">
        <v>0.354860801</v>
      </c>
    </row>
    <row r="564" spans="1:3" x14ac:dyDescent="0.25">
      <c r="A564" s="6" t="s">
        <v>1564</v>
      </c>
      <c r="B564" s="6">
        <v>1.7652920999999999E-2</v>
      </c>
      <c r="C564" s="6">
        <v>0.39211457799999999</v>
      </c>
    </row>
    <row r="565" spans="1:3" x14ac:dyDescent="0.25">
      <c r="A565" s="6" t="s">
        <v>1565</v>
      </c>
      <c r="B565" s="6">
        <v>4.0884744000000001E-2</v>
      </c>
      <c r="C565" s="6">
        <v>0.45729985099999998</v>
      </c>
    </row>
    <row r="566" spans="1:3" x14ac:dyDescent="0.25">
      <c r="A566" s="6" t="s">
        <v>1566</v>
      </c>
      <c r="B566" s="6">
        <v>8.1426269999999995E-3</v>
      </c>
      <c r="C566" s="6">
        <v>0.20628389499999999</v>
      </c>
    </row>
    <row r="567" spans="1:3" x14ac:dyDescent="0.25">
      <c r="A567" s="6" t="s">
        <v>1567</v>
      </c>
      <c r="B567" s="6">
        <v>4.2396946999999997E-2</v>
      </c>
      <c r="C567" s="6">
        <v>3.4486607720000002</v>
      </c>
    </row>
    <row r="568" spans="1:3" x14ac:dyDescent="0.25">
      <c r="A568" s="6" t="s">
        <v>1568</v>
      </c>
      <c r="B568" s="6">
        <v>2.8592189E-2</v>
      </c>
      <c r="C568" s="6">
        <v>0.56876820299999997</v>
      </c>
    </row>
    <row r="569" spans="1:3" x14ac:dyDescent="0.25">
      <c r="A569" s="6" t="s">
        <v>1569</v>
      </c>
      <c r="B569" s="6">
        <v>1.5710298000000001E-2</v>
      </c>
      <c r="C569" s="6">
        <v>2.0242592E-2</v>
      </c>
    </row>
    <row r="570" spans="1:3" x14ac:dyDescent="0.25">
      <c r="A570" s="6" t="s">
        <v>1570</v>
      </c>
      <c r="B570" s="6">
        <v>4.2261389000000003E-2</v>
      </c>
      <c r="C570" s="6">
        <v>0.13156701500000001</v>
      </c>
    </row>
    <row r="571" spans="1:3" x14ac:dyDescent="0.25">
      <c r="A571" s="6" t="s">
        <v>1571</v>
      </c>
      <c r="B571" s="6">
        <v>2.9215809999999998E-2</v>
      </c>
      <c r="C571" s="6">
        <v>8.7613130999999997E-2</v>
      </c>
    </row>
    <row r="572" spans="1:3" x14ac:dyDescent="0.25">
      <c r="A572" s="6" t="s">
        <v>1572</v>
      </c>
      <c r="B572" s="6">
        <v>3.6226938E-2</v>
      </c>
      <c r="C572" s="6">
        <v>0.41152395400000003</v>
      </c>
    </row>
    <row r="573" spans="1:3" x14ac:dyDescent="0.25">
      <c r="A573" s="6" t="s">
        <v>1573</v>
      </c>
      <c r="B573" s="6">
        <v>3.2610934000000001E-2</v>
      </c>
      <c r="C573" s="6">
        <v>1.1490909250000001</v>
      </c>
    </row>
    <row r="574" spans="1:3" x14ac:dyDescent="0.25">
      <c r="A574" s="6" t="s">
        <v>1574</v>
      </c>
      <c r="B574" s="6">
        <v>2.1445464000000001E-2</v>
      </c>
      <c r="C574" s="6">
        <v>8.6559091000000005E-2</v>
      </c>
    </row>
    <row r="575" spans="1:3" x14ac:dyDescent="0.25">
      <c r="A575" s="6" t="s">
        <v>1575</v>
      </c>
      <c r="B575" s="6">
        <v>5.2841280999999997E-2</v>
      </c>
      <c r="C575" s="6">
        <v>0.339660511</v>
      </c>
    </row>
    <row r="576" spans="1:3" x14ac:dyDescent="0.25">
      <c r="A576" s="6" t="s">
        <v>1576</v>
      </c>
      <c r="B576" s="6">
        <v>3.4084275999999997E-2</v>
      </c>
      <c r="C576" s="6">
        <v>0.104907214</v>
      </c>
    </row>
    <row r="577" spans="1:3" x14ac:dyDescent="0.25">
      <c r="A577" s="6" t="s">
        <v>1577</v>
      </c>
      <c r="B577" s="6">
        <v>1.6580384E-2</v>
      </c>
      <c r="C577" s="6">
        <v>0.32469643599999998</v>
      </c>
    </row>
    <row r="578" spans="1:3" x14ac:dyDescent="0.25">
      <c r="A578" s="6" t="s">
        <v>1578</v>
      </c>
      <c r="B578" s="6">
        <v>2.6723403999999999E-2</v>
      </c>
      <c r="C578" s="6">
        <v>0.29152285900000002</v>
      </c>
    </row>
    <row r="579" spans="1:3" x14ac:dyDescent="0.25">
      <c r="A579" s="6" t="s">
        <v>1579</v>
      </c>
      <c r="B579" s="6">
        <v>6.6934330000000004E-3</v>
      </c>
      <c r="C579" s="6">
        <v>0.61084875100000002</v>
      </c>
    </row>
    <row r="580" spans="1:3" x14ac:dyDescent="0.25">
      <c r="A580" s="6" t="s">
        <v>1580</v>
      </c>
      <c r="B580" s="6">
        <v>2.4126649999999999E-2</v>
      </c>
      <c r="C580" s="6">
        <v>2.5566459999999999E-2</v>
      </c>
    </row>
    <row r="581" spans="1:3" x14ac:dyDescent="0.25">
      <c r="A581" s="6" t="s">
        <v>1581</v>
      </c>
      <c r="B581" s="6">
        <v>3.0702759E-2</v>
      </c>
      <c r="C581" s="6">
        <v>0.123383047</v>
      </c>
    </row>
    <row r="582" spans="1:3" x14ac:dyDescent="0.25">
      <c r="A582" s="6" t="s">
        <v>1582</v>
      </c>
      <c r="B582" s="6">
        <v>6.9678394000000005E-2</v>
      </c>
      <c r="C582" s="6">
        <v>0.22007705</v>
      </c>
    </row>
    <row r="583" spans="1:3" x14ac:dyDescent="0.25">
      <c r="A583" s="6" t="s">
        <v>1583</v>
      </c>
      <c r="B583" s="6">
        <v>2.0654108000000001E-2</v>
      </c>
      <c r="C583" s="6">
        <v>0.17719452399999999</v>
      </c>
    </row>
    <row r="584" spans="1:3" x14ac:dyDescent="0.25">
      <c r="A584" s="6" t="s">
        <v>1584</v>
      </c>
      <c r="B584" s="6">
        <v>4.8515958999999997E-2</v>
      </c>
      <c r="C584" s="6">
        <v>4.8815493000000001E-2</v>
      </c>
    </row>
    <row r="585" spans="1:3" x14ac:dyDescent="0.25">
      <c r="A585" s="6" t="s">
        <v>1585</v>
      </c>
      <c r="B585" s="6">
        <v>1.9952352999999999E-2</v>
      </c>
      <c r="C585" s="6">
        <v>7.8021122999999998E-2</v>
      </c>
    </row>
    <row r="586" spans="1:3" x14ac:dyDescent="0.25">
      <c r="A586" s="6" t="s">
        <v>1586</v>
      </c>
      <c r="B586" s="6">
        <v>1.7795932E-2</v>
      </c>
      <c r="C586" s="6">
        <v>0.193166332</v>
      </c>
    </row>
    <row r="587" spans="1:3" x14ac:dyDescent="0.25">
      <c r="A587" s="6" t="s">
        <v>1587</v>
      </c>
      <c r="B587" s="6">
        <v>2.5866515E-2</v>
      </c>
      <c r="C587" s="6">
        <v>4.745779E-2</v>
      </c>
    </row>
    <row r="588" spans="1:3" x14ac:dyDescent="0.25">
      <c r="A588" s="6" t="s">
        <v>1588</v>
      </c>
      <c r="B588" s="6">
        <v>4.9291376999999997E-2</v>
      </c>
      <c r="C588" s="6">
        <v>0.42520903500000001</v>
      </c>
    </row>
    <row r="589" spans="1:3" x14ac:dyDescent="0.25">
      <c r="A589" s="6" t="s">
        <v>1589</v>
      </c>
      <c r="B589" s="6">
        <v>3.0280154E-2</v>
      </c>
      <c r="C589" s="6">
        <v>0.153120281</v>
      </c>
    </row>
    <row r="590" spans="1:3" x14ac:dyDescent="0.25">
      <c r="A590" s="6" t="s">
        <v>1590</v>
      </c>
      <c r="B590" s="6">
        <v>2.3989631000000001E-2</v>
      </c>
      <c r="C590" s="6">
        <v>9.2568660999999997E-2</v>
      </c>
    </row>
    <row r="591" spans="1:3" x14ac:dyDescent="0.25">
      <c r="A591" s="6" t="s">
        <v>1591</v>
      </c>
      <c r="B591" s="6">
        <v>2.1767670999999999E-2</v>
      </c>
      <c r="C591" s="6">
        <v>1.4556053760000001</v>
      </c>
    </row>
    <row r="592" spans="1:3" x14ac:dyDescent="0.25">
      <c r="A592" s="6" t="s">
        <v>1593</v>
      </c>
      <c r="B592" s="6">
        <v>9.3818799999999994E-2</v>
      </c>
      <c r="C592" s="6">
        <v>4.5559123269999997</v>
      </c>
    </row>
    <row r="593" spans="1:3" x14ac:dyDescent="0.25">
      <c r="A593" s="6" t="s">
        <v>1594</v>
      </c>
      <c r="B593" s="6">
        <v>3.1453975000000002E-2</v>
      </c>
      <c r="C593" s="6">
        <v>7.9489539999999994E-3</v>
      </c>
    </row>
    <row r="594" spans="1:3" x14ac:dyDescent="0.25">
      <c r="A594" s="6" t="s">
        <v>1595</v>
      </c>
      <c r="B594" s="6">
        <v>2.4870923E-2</v>
      </c>
      <c r="C594" s="6">
        <v>0.96439407099999996</v>
      </c>
    </row>
    <row r="595" spans="1:3" x14ac:dyDescent="0.25">
      <c r="A595" s="6" t="s">
        <v>1596</v>
      </c>
      <c r="B595" s="6">
        <v>6.3968235999999998E-2</v>
      </c>
      <c r="C595" s="6">
        <v>0.49840578299999999</v>
      </c>
    </row>
    <row r="596" spans="1:3" x14ac:dyDescent="0.25">
      <c r="A596" s="6" t="s">
        <v>1597</v>
      </c>
      <c r="B596" s="6">
        <v>0.110398103</v>
      </c>
      <c r="C596" s="6">
        <v>0.32685193000000001</v>
      </c>
    </row>
    <row r="597" spans="1:3" x14ac:dyDescent="0.25">
      <c r="A597" s="6" t="s">
        <v>1598</v>
      </c>
      <c r="B597" s="6">
        <v>4.3958682999999998E-2</v>
      </c>
      <c r="C597" s="6">
        <v>0.77507846800000002</v>
      </c>
    </row>
    <row r="598" spans="1:3" x14ac:dyDescent="0.25">
      <c r="A598" s="6" t="s">
        <v>1599</v>
      </c>
      <c r="B598" s="6">
        <v>9.0961153000000003E-2</v>
      </c>
      <c r="C598" s="6">
        <v>2.3907065950000002</v>
      </c>
    </row>
    <row r="599" spans="1:3" x14ac:dyDescent="0.25">
      <c r="A599" s="6" t="s">
        <v>1600</v>
      </c>
      <c r="B599" s="6">
        <v>1.1812339E-2</v>
      </c>
      <c r="C599" s="6">
        <v>6.1156476000000001E-2</v>
      </c>
    </row>
    <row r="600" spans="1:3" x14ac:dyDescent="0.25">
      <c r="A600" s="6" t="s">
        <v>1601</v>
      </c>
      <c r="B600" s="6">
        <v>8.4085529999999992E-3</v>
      </c>
      <c r="C600" s="6">
        <v>3.9617272000000002E-2</v>
      </c>
    </row>
    <row r="601" spans="1:3" x14ac:dyDescent="0.25">
      <c r="A601" s="6" t="s">
        <v>1602</v>
      </c>
      <c r="B601" s="6">
        <v>8.1507681999999998E-2</v>
      </c>
      <c r="C601" s="6">
        <v>1.5294685910000001</v>
      </c>
    </row>
    <row r="602" spans="1:3" x14ac:dyDescent="0.25">
      <c r="A602" s="6" t="s">
        <v>1603</v>
      </c>
      <c r="B602" s="6">
        <v>2.4520030000000002E-2</v>
      </c>
      <c r="C602" s="6">
        <v>8.3776659000000003E-2</v>
      </c>
    </row>
    <row r="603" spans="1:3" x14ac:dyDescent="0.25">
      <c r="A603" s="6" t="s">
        <v>1604</v>
      </c>
      <c r="B603" s="6">
        <v>7.9580433000000006E-2</v>
      </c>
      <c r="C603" s="6">
        <v>0.50358453400000003</v>
      </c>
    </row>
    <row r="604" spans="1:3" x14ac:dyDescent="0.25">
      <c r="A604" s="6" t="s">
        <v>1605</v>
      </c>
      <c r="B604" s="6">
        <v>5.3068009999999999E-3</v>
      </c>
      <c r="C604" s="6">
        <v>0.140735305</v>
      </c>
    </row>
    <row r="605" spans="1:3" x14ac:dyDescent="0.25">
      <c r="A605" s="6" t="s">
        <v>1606</v>
      </c>
      <c r="B605" s="6">
        <v>4.6594124000000001E-2</v>
      </c>
      <c r="C605" s="6">
        <v>0.28316650100000001</v>
      </c>
    </row>
    <row r="606" spans="1:3" x14ac:dyDescent="0.25">
      <c r="A606" s="6" t="s">
        <v>1607</v>
      </c>
      <c r="B606" s="6">
        <v>1.9894965000000001E-2</v>
      </c>
      <c r="C606" s="6">
        <v>0.15709019399999999</v>
      </c>
    </row>
    <row r="607" spans="1:3" x14ac:dyDescent="0.25">
      <c r="A607" s="6" t="s">
        <v>1608</v>
      </c>
      <c r="B607" s="6">
        <v>4.4903968000000002E-2</v>
      </c>
      <c r="C607" s="6">
        <v>7.22242E-4</v>
      </c>
    </row>
    <row r="608" spans="1:3" x14ac:dyDescent="0.25">
      <c r="A608" s="6" t="s">
        <v>1609</v>
      </c>
      <c r="B608" s="6">
        <v>7.7576099999999999E-3</v>
      </c>
      <c r="C608" s="6">
        <v>2.2168950999999999E-2</v>
      </c>
    </row>
    <row r="609" spans="1:3" x14ac:dyDescent="0.25">
      <c r="A609" s="6" t="s">
        <v>1610</v>
      </c>
      <c r="B609" s="6">
        <v>9.8921200000000008E-3</v>
      </c>
      <c r="C609" s="6">
        <v>2.9328932010000002</v>
      </c>
    </row>
    <row r="610" spans="1:3" x14ac:dyDescent="0.25">
      <c r="A610" s="6" t="s">
        <v>1611</v>
      </c>
      <c r="B610" s="6">
        <v>6.2939815999999996E-2</v>
      </c>
      <c r="C610" s="6">
        <v>1.1107966359999999</v>
      </c>
    </row>
    <row r="611" spans="1:3" x14ac:dyDescent="0.25">
      <c r="A611" s="6" t="s">
        <v>1612</v>
      </c>
      <c r="B611" s="6">
        <v>2.2133354000000001E-2</v>
      </c>
      <c r="C611" s="6">
        <v>0.45888620299999999</v>
      </c>
    </row>
    <row r="612" spans="1:3" x14ac:dyDescent="0.25">
      <c r="A612" s="6" t="s">
        <v>1613</v>
      </c>
      <c r="B612" s="6">
        <v>3.6528723999999999E-2</v>
      </c>
      <c r="C612" s="6">
        <v>0.38105006600000002</v>
      </c>
    </row>
    <row r="613" spans="1:3" x14ac:dyDescent="0.25">
      <c r="A613" s="6" t="s">
        <v>1614</v>
      </c>
      <c r="B613" s="6">
        <v>1.4728804E-2</v>
      </c>
      <c r="C613" s="6">
        <v>0.28721591600000002</v>
      </c>
    </row>
    <row r="614" spans="1:3" x14ac:dyDescent="0.25">
      <c r="A614" s="6" t="s">
        <v>1615</v>
      </c>
      <c r="B614" s="6">
        <v>0.14937785100000001</v>
      </c>
      <c r="C614" s="6">
        <v>0.22460283</v>
      </c>
    </row>
    <row r="615" spans="1:3" x14ac:dyDescent="0.25">
      <c r="A615" s="6" t="s">
        <v>1616</v>
      </c>
      <c r="B615" s="6">
        <v>3.0904719000000001E-2</v>
      </c>
      <c r="C615" s="6">
        <v>9.1911496999999995E-2</v>
      </c>
    </row>
    <row r="616" spans="1:3" x14ac:dyDescent="0.25">
      <c r="A616" s="6" t="s">
        <v>1617</v>
      </c>
      <c r="B616" s="6">
        <v>1.7298518999999998E-2</v>
      </c>
      <c r="C616" s="6">
        <v>0.249433287</v>
      </c>
    </row>
    <row r="617" spans="1:3" x14ac:dyDescent="0.25">
      <c r="A617" s="6" t="s">
        <v>1618</v>
      </c>
      <c r="B617" s="6">
        <v>6.7437233999999999E-2</v>
      </c>
      <c r="C617" s="6">
        <v>9.6476224999999999E-2</v>
      </c>
    </row>
    <row r="618" spans="1:3" x14ac:dyDescent="0.25">
      <c r="A618" s="6" t="s">
        <v>1619</v>
      </c>
      <c r="B618" s="6">
        <v>0.11984700199999999</v>
      </c>
      <c r="C618" s="6">
        <v>1.192616047</v>
      </c>
    </row>
    <row r="619" spans="1:3" x14ac:dyDescent="0.25">
      <c r="A619" s="6" t="s">
        <v>1620</v>
      </c>
      <c r="B619" s="6">
        <v>5.3308969999999997E-2</v>
      </c>
      <c r="C619" s="6">
        <v>1.1589327039999999</v>
      </c>
    </row>
    <row r="620" spans="1:3" x14ac:dyDescent="0.25">
      <c r="A620" s="6" t="s">
        <v>1621</v>
      </c>
      <c r="B620" s="6">
        <v>1.1386172E-2</v>
      </c>
      <c r="C620" s="6">
        <v>0.35566055800000002</v>
      </c>
    </row>
    <row r="621" spans="1:3" x14ac:dyDescent="0.25">
      <c r="A621" s="6" t="s">
        <v>1622</v>
      </c>
      <c r="B621" s="6">
        <v>1.6958477999999999E-2</v>
      </c>
      <c r="C621" s="6">
        <v>3.1934620000000002E-3</v>
      </c>
    </row>
    <row r="622" spans="1:3" x14ac:dyDescent="0.25">
      <c r="A622" s="6" t="s">
        <v>1623</v>
      </c>
      <c r="B622" s="6">
        <v>7.3755742999999999E-2</v>
      </c>
      <c r="C622" s="6">
        <v>0.64094597200000003</v>
      </c>
    </row>
    <row r="623" spans="1:3" x14ac:dyDescent="0.25">
      <c r="A623" s="6" t="s">
        <v>1624</v>
      </c>
      <c r="B623" s="6">
        <v>9.8379479999999991E-3</v>
      </c>
      <c r="C623" s="6">
        <v>0.61073620799999995</v>
      </c>
    </row>
    <row r="624" spans="1:3" x14ac:dyDescent="0.25">
      <c r="A624" s="6" t="s">
        <v>1625</v>
      </c>
      <c r="B624" s="6">
        <v>5.8076557000000001E-2</v>
      </c>
      <c r="C624" s="6">
        <v>1.3649172329999999</v>
      </c>
    </row>
    <row r="625" spans="1:3" x14ac:dyDescent="0.25">
      <c r="A625" s="6" t="s">
        <v>1626</v>
      </c>
      <c r="B625" s="6">
        <v>0.14132351700000001</v>
      </c>
      <c r="C625" s="6">
        <v>2.7177337999999999E-2</v>
      </c>
    </row>
    <row r="626" spans="1:3" x14ac:dyDescent="0.25">
      <c r="A626" s="6" t="s">
        <v>1627</v>
      </c>
      <c r="B626" s="6">
        <v>1.6359009000000001E-2</v>
      </c>
      <c r="C626" s="6">
        <v>0.32541411599999998</v>
      </c>
    </row>
    <row r="627" spans="1:3" x14ac:dyDescent="0.25">
      <c r="A627" s="6" t="s">
        <v>1628</v>
      </c>
      <c r="B627" s="6">
        <v>7.5723400000000003E-3</v>
      </c>
      <c r="C627" s="6">
        <v>9.4453466999999999E-2</v>
      </c>
    </row>
    <row r="628" spans="1:3" x14ac:dyDescent="0.25">
      <c r="A628" s="6" t="s">
        <v>1629</v>
      </c>
      <c r="B628" s="6">
        <v>7.6117755999999995E-2</v>
      </c>
      <c r="C628" s="6">
        <v>0.84925003600000004</v>
      </c>
    </row>
    <row r="629" spans="1:3" x14ac:dyDescent="0.25">
      <c r="A629" s="6" t="s">
        <v>1630</v>
      </c>
      <c r="B629" s="6">
        <v>1.7813144999999999E-2</v>
      </c>
      <c r="C629" s="6">
        <v>0.92733924300000004</v>
      </c>
    </row>
    <row r="630" spans="1:3" x14ac:dyDescent="0.25">
      <c r="A630" s="6" t="s">
        <v>1631</v>
      </c>
      <c r="B630" s="6">
        <v>4.0198193E-2</v>
      </c>
      <c r="C630" s="6">
        <v>2.0278772350000001</v>
      </c>
    </row>
    <row r="631" spans="1:3" x14ac:dyDescent="0.25">
      <c r="A631" s="6" t="s">
        <v>1632</v>
      </c>
      <c r="B631" s="6">
        <v>2.0362558999999999E-2</v>
      </c>
      <c r="C631" s="6">
        <v>0.96232777899999999</v>
      </c>
    </row>
    <row r="632" spans="1:3" x14ac:dyDescent="0.25">
      <c r="A632" s="6" t="s">
        <v>1633</v>
      </c>
      <c r="B632" s="6">
        <v>9.692305E-3</v>
      </c>
      <c r="C632" s="6">
        <v>0.342258279</v>
      </c>
    </row>
    <row r="633" spans="1:3" x14ac:dyDescent="0.25">
      <c r="A633" s="6" t="s">
        <v>1634</v>
      </c>
      <c r="B633" s="6">
        <v>5.2074616999999997E-2</v>
      </c>
      <c r="C633" s="6">
        <v>1.7773392999999998E-2</v>
      </c>
    </row>
    <row r="634" spans="1:3" x14ac:dyDescent="0.25">
      <c r="A634" s="6" t="s">
        <v>1635</v>
      </c>
      <c r="B634" s="6">
        <v>2.2406885000000001E-2</v>
      </c>
      <c r="C634" s="6">
        <v>0.66653643799999995</v>
      </c>
    </row>
    <row r="635" spans="1:3" x14ac:dyDescent="0.25">
      <c r="A635" s="6" t="s">
        <v>1636</v>
      </c>
      <c r="B635" s="6">
        <v>8.5105730000000004E-3</v>
      </c>
      <c r="C635" s="6">
        <v>1.157939915</v>
      </c>
    </row>
    <row r="636" spans="1:3" x14ac:dyDescent="0.25">
      <c r="A636" s="6" t="s">
        <v>1637</v>
      </c>
      <c r="B636" s="6">
        <v>0.12698846599999999</v>
      </c>
      <c r="C636" s="6">
        <v>2.258693289</v>
      </c>
    </row>
    <row r="637" spans="1:3" x14ac:dyDescent="0.25">
      <c r="A637" s="6" t="s">
        <v>1638</v>
      </c>
      <c r="B637" s="6">
        <v>2.2977978999999999E-2</v>
      </c>
      <c r="C637" s="6">
        <v>1.5102332E-2</v>
      </c>
    </row>
    <row r="638" spans="1:3" x14ac:dyDescent="0.25">
      <c r="A638" s="6" t="s">
        <v>1639</v>
      </c>
      <c r="B638" s="6">
        <v>9.5198439999999995E-3</v>
      </c>
      <c r="C638" s="6">
        <v>0.27252348900000001</v>
      </c>
    </row>
    <row r="639" spans="1:3" x14ac:dyDescent="0.25">
      <c r="A639" s="6" t="s">
        <v>1640</v>
      </c>
      <c r="B639" s="6">
        <v>4.6468350000000002E-3</v>
      </c>
      <c r="C639" s="6">
        <v>0.49999054999999998</v>
      </c>
    </row>
    <row r="640" spans="1:3" x14ac:dyDescent="0.25">
      <c r="A640" s="6" t="s">
        <v>1641</v>
      </c>
      <c r="B640" s="6">
        <v>7.1925660000000001E-3</v>
      </c>
      <c r="C640" s="6">
        <v>1.3464357E-2</v>
      </c>
    </row>
    <row r="641" spans="1:3" x14ac:dyDescent="0.25">
      <c r="A641" s="6" t="s">
        <v>1642</v>
      </c>
      <c r="B641" s="6">
        <v>3.514428E-3</v>
      </c>
      <c r="C641" s="6">
        <v>0.89438127899999997</v>
      </c>
    </row>
    <row r="642" spans="1:3" x14ac:dyDescent="0.25">
      <c r="A642" s="6" t="s">
        <v>1643</v>
      </c>
      <c r="B642" s="6">
        <v>0.122519062</v>
      </c>
      <c r="C642" s="6">
        <v>2.7164457149999999</v>
      </c>
    </row>
    <row r="643" spans="1:3" x14ac:dyDescent="0.25">
      <c r="A643" s="6" t="s">
        <v>1644</v>
      </c>
      <c r="B643" s="6">
        <v>4.0818680000000003E-2</v>
      </c>
      <c r="C643" s="6">
        <v>0.40634898600000002</v>
      </c>
    </row>
    <row r="644" spans="1:3" x14ac:dyDescent="0.25">
      <c r="A644" s="6" t="s">
        <v>1645</v>
      </c>
      <c r="B644" s="6">
        <v>1.8688554E-2</v>
      </c>
      <c r="C644" s="6">
        <v>0.133284187</v>
      </c>
    </row>
    <row r="645" spans="1:3" x14ac:dyDescent="0.25">
      <c r="A645" s="6" t="s">
        <v>1646</v>
      </c>
      <c r="B645" s="6">
        <v>2.7880783999999999E-2</v>
      </c>
      <c r="C645" s="6">
        <v>0.227385427</v>
      </c>
    </row>
    <row r="646" spans="1:3" x14ac:dyDescent="0.25">
      <c r="A646" s="6" t="s">
        <v>1647</v>
      </c>
      <c r="B646" s="6">
        <v>1.8213831999999999E-2</v>
      </c>
      <c r="C646" s="6">
        <v>0.33458870299999999</v>
      </c>
    </row>
    <row r="647" spans="1:3" x14ac:dyDescent="0.25">
      <c r="A647" s="6" t="s">
        <v>1648</v>
      </c>
      <c r="B647" s="6">
        <v>4.4813820999999997E-2</v>
      </c>
      <c r="C647" s="6">
        <v>0.17087677900000001</v>
      </c>
    </row>
    <row r="648" spans="1:3" x14ac:dyDescent="0.25">
      <c r="A648" s="6" t="s">
        <v>1649</v>
      </c>
      <c r="B648" s="6">
        <v>2.7869006000000002E-2</v>
      </c>
      <c r="C648" s="6">
        <v>0.97954296600000001</v>
      </c>
    </row>
    <row r="649" spans="1:3" x14ac:dyDescent="0.25">
      <c r="A649" s="6" t="s">
        <v>1650</v>
      </c>
      <c r="B649" s="6">
        <v>2.1024806E-2</v>
      </c>
      <c r="C649" s="6">
        <v>0.22989034699999999</v>
      </c>
    </row>
    <row r="650" spans="1:3" x14ac:dyDescent="0.25">
      <c r="A650" s="6" t="s">
        <v>1651</v>
      </c>
      <c r="B650" s="6">
        <v>3.3963584999999998E-2</v>
      </c>
      <c r="C650" s="6">
        <v>0.88401410700000005</v>
      </c>
    </row>
    <row r="651" spans="1:3" x14ac:dyDescent="0.25">
      <c r="A651" s="6" t="s">
        <v>1652</v>
      </c>
      <c r="B651" s="6">
        <v>3.7890143000000001E-2</v>
      </c>
      <c r="C651" s="6">
        <v>0.66323270899999998</v>
      </c>
    </row>
    <row r="652" spans="1:3" x14ac:dyDescent="0.25">
      <c r="A652" s="6" t="s">
        <v>1653</v>
      </c>
      <c r="B652" s="6">
        <v>2.583943E-2</v>
      </c>
      <c r="C652" s="6">
        <v>0.25016267599999997</v>
      </c>
    </row>
    <row r="653" spans="1:3" x14ac:dyDescent="0.25">
      <c r="A653" s="6" t="s">
        <v>1654</v>
      </c>
      <c r="B653" s="6">
        <v>5.5897760000000003E-3</v>
      </c>
      <c r="C653" s="6">
        <v>0.32328369699999998</v>
      </c>
    </row>
    <row r="654" spans="1:3" x14ac:dyDescent="0.25">
      <c r="A654" s="6" t="s">
        <v>1655</v>
      </c>
      <c r="B654" s="6">
        <v>2.4082644E-2</v>
      </c>
      <c r="C654" s="6">
        <v>0.40796850000000001</v>
      </c>
    </row>
    <row r="655" spans="1:3" x14ac:dyDescent="0.25">
      <c r="A655" s="6" t="s">
        <v>1656</v>
      </c>
      <c r="B655" s="6">
        <v>6.2221990000000003E-3</v>
      </c>
      <c r="C655" s="6">
        <v>0.24783106899999999</v>
      </c>
    </row>
    <row r="656" spans="1:3" x14ac:dyDescent="0.25">
      <c r="A656" s="6" t="s">
        <v>1657</v>
      </c>
      <c r="B656" s="6">
        <v>3.1767937000000003E-2</v>
      </c>
      <c r="C656" s="6">
        <v>0.45324139099999999</v>
      </c>
    </row>
    <row r="657" spans="1:3" x14ac:dyDescent="0.25">
      <c r="A657" s="6" t="s">
        <v>1658</v>
      </c>
      <c r="B657" s="6">
        <v>0.118661262</v>
      </c>
      <c r="C657" s="6">
        <v>0.26456860100000001</v>
      </c>
    </row>
    <row r="658" spans="1:3" x14ac:dyDescent="0.25">
      <c r="A658" s="6" t="s">
        <v>1659</v>
      </c>
      <c r="B658" s="6">
        <v>4.45482E-3</v>
      </c>
      <c r="C658" s="6">
        <v>8.0370187999999995E-2</v>
      </c>
    </row>
    <row r="659" spans="1:3" x14ac:dyDescent="0.25">
      <c r="A659" s="6" t="s">
        <v>1660</v>
      </c>
      <c r="B659" s="6">
        <v>7.0693816000000007E-2</v>
      </c>
      <c r="C659" s="6">
        <v>0.509056552</v>
      </c>
    </row>
    <row r="660" spans="1:3" x14ac:dyDescent="0.25">
      <c r="A660" s="6" t="s">
        <v>1661</v>
      </c>
      <c r="B660" s="6">
        <v>8.2877490000000005E-3</v>
      </c>
      <c r="C660" s="6">
        <v>0.28975899300000002</v>
      </c>
    </row>
    <row r="661" spans="1:3" x14ac:dyDescent="0.25">
      <c r="A661" s="6" t="s">
        <v>1662</v>
      </c>
      <c r="B661" s="6">
        <v>1.9833948000000001E-2</v>
      </c>
      <c r="C661" s="6">
        <v>0.13934285199999999</v>
      </c>
    </row>
    <row r="662" spans="1:3" x14ac:dyDescent="0.25">
      <c r="A662" s="6" t="s">
        <v>1663</v>
      </c>
      <c r="B662" s="6">
        <v>2.7082963000000002E-2</v>
      </c>
      <c r="C662" s="6">
        <v>6.1448869000000003E-2</v>
      </c>
    </row>
    <row r="663" spans="1:3" x14ac:dyDescent="0.25">
      <c r="A663" s="6" t="s">
        <v>1664</v>
      </c>
      <c r="B663" s="6">
        <v>1.4972441E-2</v>
      </c>
      <c r="C663" s="6">
        <v>0.18812485200000001</v>
      </c>
    </row>
    <row r="664" spans="1:3" x14ac:dyDescent="0.25">
      <c r="A664" s="6" t="s">
        <v>1665</v>
      </c>
      <c r="B664" s="6">
        <v>8.1140645999999997E-2</v>
      </c>
      <c r="C664" s="6">
        <v>1.117700312</v>
      </c>
    </row>
    <row r="665" spans="1:3" x14ac:dyDescent="0.25">
      <c r="A665" s="6" t="s">
        <v>1666</v>
      </c>
      <c r="B665" s="6">
        <v>2.3154567000000001E-2</v>
      </c>
      <c r="C665" s="6">
        <v>9.2261948999999996E-2</v>
      </c>
    </row>
    <row r="666" spans="1:3" x14ac:dyDescent="0.25">
      <c r="A666" s="6" t="s">
        <v>1667</v>
      </c>
      <c r="B666" s="6">
        <v>3.6209025999999998E-2</v>
      </c>
      <c r="C666" s="6">
        <v>0.16242822900000001</v>
      </c>
    </row>
    <row r="667" spans="1:3" x14ac:dyDescent="0.25">
      <c r="A667" s="6" t="s">
        <v>1668</v>
      </c>
      <c r="B667" s="6">
        <v>3.5737264999999997E-2</v>
      </c>
      <c r="C667" s="6">
        <v>1.7983436269999999</v>
      </c>
    </row>
    <row r="668" spans="1:3" x14ac:dyDescent="0.25">
      <c r="A668" s="6" t="s">
        <v>1669</v>
      </c>
      <c r="B668" s="6">
        <v>7.6663800000000004E-3</v>
      </c>
      <c r="C668" s="6">
        <v>0.243975046</v>
      </c>
    </row>
    <row r="669" spans="1:3" x14ac:dyDescent="0.25">
      <c r="A669" s="6" t="s">
        <v>1670</v>
      </c>
      <c r="B669" s="6">
        <v>1.9191638E-2</v>
      </c>
      <c r="C669" s="6">
        <v>0.23225125799999999</v>
      </c>
    </row>
    <row r="670" spans="1:3" x14ac:dyDescent="0.25">
      <c r="A670" s="6" t="s">
        <v>1671</v>
      </c>
      <c r="B670" s="6">
        <v>1.9118749000000001E-2</v>
      </c>
      <c r="C670" s="6">
        <v>0.15621879699999999</v>
      </c>
    </row>
    <row r="671" spans="1:3" x14ac:dyDescent="0.25">
      <c r="A671" s="6" t="s">
        <v>1672</v>
      </c>
      <c r="B671" s="6">
        <v>0.20822014799999999</v>
      </c>
      <c r="C671" s="6">
        <v>0.93586928700000005</v>
      </c>
    </row>
    <row r="672" spans="1:3" x14ac:dyDescent="0.25">
      <c r="A672" s="6" t="s">
        <v>1673</v>
      </c>
      <c r="B672" s="6">
        <v>8.5305309999999992E-3</v>
      </c>
      <c r="C672" s="6">
        <v>0.104733387</v>
      </c>
    </row>
    <row r="673" spans="1:3" x14ac:dyDescent="0.25">
      <c r="A673" s="6" t="s">
        <v>1675</v>
      </c>
      <c r="B673" s="6">
        <v>3.8665588000000001E-2</v>
      </c>
      <c r="C673" s="6">
        <v>0.28287447500000001</v>
      </c>
    </row>
    <row r="674" spans="1:3" x14ac:dyDescent="0.25">
      <c r="A674" s="6" t="s">
        <v>1676</v>
      </c>
      <c r="B674" s="6">
        <v>1.0197032999999999E-2</v>
      </c>
      <c r="C674" s="6">
        <v>0.12013979599999999</v>
      </c>
    </row>
    <row r="675" spans="1:3" x14ac:dyDescent="0.25">
      <c r="A675" s="6" t="s">
        <v>1677</v>
      </c>
      <c r="B675" s="6">
        <v>6.0388131999999997E-2</v>
      </c>
      <c r="C675" s="6">
        <v>0.60972589200000005</v>
      </c>
    </row>
    <row r="676" spans="1:3" x14ac:dyDescent="0.25">
      <c r="A676" s="6" t="s">
        <v>1678</v>
      </c>
      <c r="B676" s="6">
        <v>3.7295507999999998E-2</v>
      </c>
      <c r="C676" s="6">
        <v>1.3516961110000001</v>
      </c>
    </row>
    <row r="677" spans="1:3" x14ac:dyDescent="0.25">
      <c r="A677" s="6" t="s">
        <v>1679</v>
      </c>
      <c r="B677" s="6">
        <v>2.3252826000000001E-2</v>
      </c>
      <c r="C677" s="6">
        <v>0.18607441899999999</v>
      </c>
    </row>
    <row r="678" spans="1:3" x14ac:dyDescent="0.25">
      <c r="A678" s="6" t="s">
        <v>1680</v>
      </c>
      <c r="B678" s="6">
        <v>2.7823878999999999E-2</v>
      </c>
      <c r="C678" s="6">
        <v>1.0083281719999999</v>
      </c>
    </row>
    <row r="679" spans="1:3" x14ac:dyDescent="0.25">
      <c r="A679" s="6" t="s">
        <v>1681</v>
      </c>
      <c r="B679" s="6">
        <v>1.4652464E-2</v>
      </c>
      <c r="C679" s="6">
        <v>0.52990003399999996</v>
      </c>
    </row>
    <row r="680" spans="1:3" x14ac:dyDescent="0.25">
      <c r="A680" s="6" t="s">
        <v>1682</v>
      </c>
      <c r="B680" s="6">
        <v>2.4014197000000001E-2</v>
      </c>
      <c r="C680" s="6">
        <v>0.165407742</v>
      </c>
    </row>
    <row r="681" spans="1:3" x14ac:dyDescent="0.25">
      <c r="A681" s="6" t="s">
        <v>1683</v>
      </c>
      <c r="B681" s="6">
        <v>4.9568579999999998E-3</v>
      </c>
      <c r="C681" s="6">
        <v>0.186793286</v>
      </c>
    </row>
    <row r="682" spans="1:3" x14ac:dyDescent="0.25">
      <c r="A682" s="6" t="s">
        <v>1684</v>
      </c>
      <c r="B682" s="6">
        <v>1.1997791000000001E-2</v>
      </c>
      <c r="C682" s="6">
        <v>0.56722481400000002</v>
      </c>
    </row>
    <row r="683" spans="1:3" x14ac:dyDescent="0.25">
      <c r="A683" s="6" t="s">
        <v>1685</v>
      </c>
      <c r="B683" s="6">
        <v>1.6382253999999999E-2</v>
      </c>
      <c r="C683" s="6">
        <v>0.44979814099999998</v>
      </c>
    </row>
    <row r="684" spans="1:3" x14ac:dyDescent="0.25">
      <c r="A684" s="6" t="s">
        <v>1687</v>
      </c>
      <c r="B684" s="6">
        <v>3.5092338000000001E-2</v>
      </c>
      <c r="C684" s="6">
        <v>0.39238901799999998</v>
      </c>
    </row>
    <row r="685" spans="1:3" x14ac:dyDescent="0.25">
      <c r="A685" s="6" t="s">
        <v>1688</v>
      </c>
      <c r="B685" s="6">
        <v>1.7648662999999998E-2</v>
      </c>
      <c r="C685" s="6">
        <v>1.821078067</v>
      </c>
    </row>
    <row r="686" spans="1:3" x14ac:dyDescent="0.25">
      <c r="A686" s="6" t="s">
        <v>1689</v>
      </c>
      <c r="B686" s="6">
        <v>1.0517205999999999E-2</v>
      </c>
      <c r="C686" s="6">
        <v>0.40300545999999998</v>
      </c>
    </row>
    <row r="687" spans="1:3" x14ac:dyDescent="0.25">
      <c r="A687" s="6" t="s">
        <v>1690</v>
      </c>
      <c r="B687" s="6">
        <v>6.6039350999999996E-2</v>
      </c>
      <c r="C687" s="6">
        <v>3.9009495479999998</v>
      </c>
    </row>
    <row r="688" spans="1:3" x14ac:dyDescent="0.25">
      <c r="A688" s="6" t="s">
        <v>1691</v>
      </c>
      <c r="B688" s="6">
        <v>4.5872360000000001E-2</v>
      </c>
      <c r="C688" s="6">
        <v>0.20823283100000001</v>
      </c>
    </row>
    <row r="689" spans="1:3" x14ac:dyDescent="0.25">
      <c r="A689" s="6" t="s">
        <v>1692</v>
      </c>
      <c r="B689" s="6">
        <v>1.2001055E-2</v>
      </c>
      <c r="C689" s="6">
        <v>2.1942761000000002E-2</v>
      </c>
    </row>
    <row r="690" spans="1:3" x14ac:dyDescent="0.25">
      <c r="A690" s="6" t="s">
        <v>1693</v>
      </c>
      <c r="B690" s="6">
        <v>2.7681715999999999E-2</v>
      </c>
      <c r="C690" s="6">
        <v>8.2140402000000001E-2</v>
      </c>
    </row>
    <row r="691" spans="1:3" x14ac:dyDescent="0.25">
      <c r="A691" s="6" t="s">
        <v>1694</v>
      </c>
      <c r="B691" s="6">
        <v>3.8419548999999997E-2</v>
      </c>
      <c r="C691" s="6">
        <v>0.12690000300000001</v>
      </c>
    </row>
    <row r="692" spans="1:3" x14ac:dyDescent="0.25">
      <c r="A692" s="6" t="s">
        <v>1695</v>
      </c>
      <c r="B692" s="6">
        <v>1.0734743999999999E-2</v>
      </c>
      <c r="C692" s="6">
        <v>0.28650540200000002</v>
      </c>
    </row>
    <row r="693" spans="1:3" x14ac:dyDescent="0.25">
      <c r="A693" s="6" t="s">
        <v>1696</v>
      </c>
      <c r="B693" s="6">
        <v>3.2795576999999999E-2</v>
      </c>
      <c r="C693" s="6">
        <v>1.187622263</v>
      </c>
    </row>
    <row r="694" spans="1:3" x14ac:dyDescent="0.25">
      <c r="A694" s="6" t="s">
        <v>1697</v>
      </c>
      <c r="B694" s="6">
        <v>1.5465022E-2</v>
      </c>
      <c r="C694" s="6">
        <v>4.0131743999999997E-2</v>
      </c>
    </row>
    <row r="695" spans="1:3" x14ac:dyDescent="0.25">
      <c r="A695" s="6" t="s">
        <v>1698</v>
      </c>
      <c r="B695" s="6">
        <v>2.0982079000000001E-2</v>
      </c>
      <c r="C695" s="6">
        <v>1.8426576939999999</v>
      </c>
    </row>
    <row r="696" spans="1:3" x14ac:dyDescent="0.25">
      <c r="A696" s="6" t="s">
        <v>1699</v>
      </c>
      <c r="B696" s="6">
        <v>3.9184709999999998E-3</v>
      </c>
      <c r="C696" s="6">
        <v>0.14848019900000001</v>
      </c>
    </row>
    <row r="697" spans="1:3" x14ac:dyDescent="0.25">
      <c r="A697" s="6" t="s">
        <v>1700</v>
      </c>
      <c r="B697" s="6">
        <v>4.3116922000000002E-2</v>
      </c>
      <c r="C697" s="6">
        <v>9.2786199999999996E-3</v>
      </c>
    </row>
    <row r="698" spans="1:3" x14ac:dyDescent="0.25">
      <c r="A698" s="6" t="s">
        <v>1702</v>
      </c>
      <c r="B698" s="6">
        <v>1.8370761999999999E-2</v>
      </c>
      <c r="C698" s="6">
        <v>8.7158072000000003E-2</v>
      </c>
    </row>
    <row r="699" spans="1:3" x14ac:dyDescent="0.25">
      <c r="A699" s="6" t="s">
        <v>1703</v>
      </c>
      <c r="B699" s="6">
        <v>6.8266991999999999E-2</v>
      </c>
      <c r="C699" s="6">
        <v>0.322775586</v>
      </c>
    </row>
    <row r="700" spans="1:3" x14ac:dyDescent="0.25">
      <c r="A700" s="6" t="s">
        <v>1704</v>
      </c>
      <c r="B700" s="6">
        <v>6.3615783999999995E-2</v>
      </c>
      <c r="C700" s="6">
        <v>0.45421661400000002</v>
      </c>
    </row>
    <row r="701" spans="1:3" x14ac:dyDescent="0.25">
      <c r="A701" s="6" t="s">
        <v>1705</v>
      </c>
      <c r="B701" s="6">
        <v>2.1157225000000002E-2</v>
      </c>
      <c r="C701" s="6">
        <v>0.140285882</v>
      </c>
    </row>
    <row r="702" spans="1:3" x14ac:dyDescent="0.25">
      <c r="A702" s="6" t="s">
        <v>1706</v>
      </c>
      <c r="B702" s="6">
        <v>6.1928199999999999E-3</v>
      </c>
      <c r="C702" s="6">
        <v>0.133785035</v>
      </c>
    </row>
    <row r="703" spans="1:3" x14ac:dyDescent="0.25">
      <c r="A703" s="6" t="s">
        <v>1707</v>
      </c>
      <c r="B703" s="6">
        <v>2.0486832E-2</v>
      </c>
      <c r="C703" s="6">
        <v>0.49651963799999999</v>
      </c>
    </row>
    <row r="704" spans="1:3" x14ac:dyDescent="0.25">
      <c r="A704" s="6" t="s">
        <v>1708</v>
      </c>
      <c r="B704" s="6">
        <v>3.0613306999999999E-2</v>
      </c>
      <c r="C704" s="6">
        <v>7.5422460999999996E-2</v>
      </c>
    </row>
    <row r="705" spans="1:3" x14ac:dyDescent="0.25">
      <c r="A705" s="6" t="s">
        <v>1709</v>
      </c>
      <c r="B705" s="6">
        <v>7.8357019999999999E-3</v>
      </c>
      <c r="C705" s="6">
        <v>6.8240296000000006E-2</v>
      </c>
    </row>
    <row r="706" spans="1:3" x14ac:dyDescent="0.25">
      <c r="A706" s="6" t="s">
        <v>1710</v>
      </c>
      <c r="B706" s="6">
        <v>0.118810072</v>
      </c>
      <c r="C706" s="6">
        <v>0.99208273199999997</v>
      </c>
    </row>
    <row r="707" spans="1:3" x14ac:dyDescent="0.25">
      <c r="A707" s="6" t="s">
        <v>1711</v>
      </c>
      <c r="B707" s="6">
        <v>4.862346E-2</v>
      </c>
      <c r="C707" s="6">
        <v>2.0415259560000001</v>
      </c>
    </row>
    <row r="708" spans="1:3" x14ac:dyDescent="0.25">
      <c r="A708" s="6" t="s">
        <v>1712</v>
      </c>
      <c r="B708" s="6">
        <v>8.7260010000000006E-3</v>
      </c>
      <c r="C708" s="6">
        <v>0.115968348</v>
      </c>
    </row>
    <row r="709" spans="1:3" x14ac:dyDescent="0.25">
      <c r="A709" s="6" t="s">
        <v>1713</v>
      </c>
      <c r="B709" s="6">
        <v>2.0544519000000001E-2</v>
      </c>
      <c r="C709" s="6">
        <v>0.32803629099999998</v>
      </c>
    </row>
    <row r="710" spans="1:3" x14ac:dyDescent="0.25">
      <c r="A710" s="6" t="s">
        <v>1714</v>
      </c>
      <c r="B710" s="6">
        <v>3.9366979000000003E-2</v>
      </c>
      <c r="C710" s="6">
        <v>0.39290666600000002</v>
      </c>
    </row>
    <row r="711" spans="1:3" x14ac:dyDescent="0.25">
      <c r="A711" s="6" t="s">
        <v>1715</v>
      </c>
      <c r="B711" s="6">
        <v>6.8506774000000006E-2</v>
      </c>
      <c r="C711" s="6">
        <v>1.525442381</v>
      </c>
    </row>
    <row r="712" spans="1:3" x14ac:dyDescent="0.25">
      <c r="A712" s="6" t="s">
        <v>1716</v>
      </c>
      <c r="B712" s="6">
        <v>9.5026239999999994E-3</v>
      </c>
      <c r="C712" s="6">
        <v>4.4637970999999999E-2</v>
      </c>
    </row>
    <row r="713" spans="1:3" x14ac:dyDescent="0.25">
      <c r="A713" s="6" t="s">
        <v>1717</v>
      </c>
      <c r="B713" s="6">
        <v>0.200082132</v>
      </c>
      <c r="C713" s="6">
        <v>0.29247193399999999</v>
      </c>
    </row>
    <row r="714" spans="1:3" x14ac:dyDescent="0.25">
      <c r="A714" s="6" t="s">
        <v>1718</v>
      </c>
      <c r="B714" s="6">
        <v>1.3996164E-2</v>
      </c>
      <c r="C714" s="6">
        <v>0.73619696300000004</v>
      </c>
    </row>
    <row r="715" spans="1:3" x14ac:dyDescent="0.25">
      <c r="A715" s="6" t="s">
        <v>1719</v>
      </c>
      <c r="B715" s="6">
        <v>3.8784412999999997E-2</v>
      </c>
      <c r="C715" s="6">
        <v>1.0538228940000001</v>
      </c>
    </row>
    <row r="716" spans="1:3" x14ac:dyDescent="0.25">
      <c r="A716" s="6" t="s">
        <v>1720</v>
      </c>
      <c r="B716" s="6">
        <v>1.475661E-2</v>
      </c>
      <c r="C716" s="6">
        <v>0.21583872000000001</v>
      </c>
    </row>
    <row r="717" spans="1:3" x14ac:dyDescent="0.25">
      <c r="A717" s="6" t="s">
        <v>1721</v>
      </c>
      <c r="B717" s="6">
        <v>3.7875176000000003E-2</v>
      </c>
      <c r="C717" s="6">
        <v>0.32437201399999999</v>
      </c>
    </row>
    <row r="718" spans="1:3" x14ac:dyDescent="0.25">
      <c r="A718" s="6" t="s">
        <v>1722</v>
      </c>
      <c r="B718" s="6">
        <v>2.0013369E-2</v>
      </c>
      <c r="C718" s="6">
        <v>8.2708654000000006E-2</v>
      </c>
    </row>
    <row r="719" spans="1:3" x14ac:dyDescent="0.25">
      <c r="A719" s="6" t="s">
        <v>1723</v>
      </c>
      <c r="B719" s="6">
        <v>3.7423351000000001E-2</v>
      </c>
      <c r="C719" s="6">
        <v>0.40829829400000001</v>
      </c>
    </row>
    <row r="720" spans="1:3" x14ac:dyDescent="0.25">
      <c r="A720" s="6" t="s">
        <v>1724</v>
      </c>
      <c r="B720" s="6">
        <v>4.4066668000000003E-2</v>
      </c>
      <c r="C720" s="6">
        <v>1.145554293</v>
      </c>
    </row>
    <row r="721" spans="1:3" x14ac:dyDescent="0.25">
      <c r="A721" s="6" t="s">
        <v>1725</v>
      </c>
      <c r="B721" s="6">
        <v>7.4795516000000006E-2</v>
      </c>
      <c r="C721" s="6">
        <v>2.4022219999999999E-3</v>
      </c>
    </row>
    <row r="722" spans="1:3" x14ac:dyDescent="0.25">
      <c r="A722" s="6" t="s">
        <v>1726</v>
      </c>
      <c r="B722" s="6">
        <v>2.0195177000000002E-2</v>
      </c>
      <c r="C722" s="6">
        <v>0.478343666</v>
      </c>
    </row>
    <row r="723" spans="1:3" x14ac:dyDescent="0.25">
      <c r="A723" s="6" t="s">
        <v>1727</v>
      </c>
      <c r="B723" s="6">
        <v>0.122516793</v>
      </c>
      <c r="C723" s="6">
        <v>1.833914628</v>
      </c>
    </row>
    <row r="724" spans="1:3" x14ac:dyDescent="0.25">
      <c r="A724" s="6" t="s">
        <v>1728</v>
      </c>
      <c r="B724" s="6">
        <v>0.160437888</v>
      </c>
      <c r="C724" s="6">
        <v>4.0127775290000001</v>
      </c>
    </row>
    <row r="725" spans="1:3" x14ac:dyDescent="0.25">
      <c r="A725" s="6" t="s">
        <v>1729</v>
      </c>
      <c r="B725" s="6">
        <v>1.7239977E-2</v>
      </c>
      <c r="C725" s="6">
        <v>0.39575368799999999</v>
      </c>
    </row>
    <row r="726" spans="1:3" x14ac:dyDescent="0.25">
      <c r="A726" s="6" t="s">
        <v>1730</v>
      </c>
      <c r="B726" s="6">
        <v>3.5038996000000003E-2</v>
      </c>
      <c r="C726" s="6">
        <v>0.252828577</v>
      </c>
    </row>
    <row r="727" spans="1:3" x14ac:dyDescent="0.25">
      <c r="A727" s="6" t="s">
        <v>1731</v>
      </c>
      <c r="B727" s="6">
        <v>8.9738349999999995E-3</v>
      </c>
      <c r="C727" s="6">
        <v>0.112422138</v>
      </c>
    </row>
    <row r="728" spans="1:3" x14ac:dyDescent="0.25">
      <c r="A728" s="6" t="s">
        <v>1732</v>
      </c>
      <c r="B728" s="6">
        <v>8.8792639999999996E-3</v>
      </c>
      <c r="C728" s="6">
        <v>0.33401947900000001</v>
      </c>
    </row>
    <row r="729" spans="1:3" x14ac:dyDescent="0.25">
      <c r="A729" s="6" t="s">
        <v>1733</v>
      </c>
      <c r="B729" s="6">
        <v>6.3244232999999997E-2</v>
      </c>
      <c r="C729" s="6">
        <v>1.5390285E-2</v>
      </c>
    </row>
    <row r="730" spans="1:3" x14ac:dyDescent="0.25">
      <c r="A730" s="6" t="s">
        <v>1734</v>
      </c>
      <c r="B730" s="6">
        <v>3.4039231000000003E-2</v>
      </c>
      <c r="C730" s="6">
        <v>0.30497375199999999</v>
      </c>
    </row>
    <row r="731" spans="1:3" x14ac:dyDescent="0.25">
      <c r="A731" s="6" t="s">
        <v>1735</v>
      </c>
      <c r="B731" s="6">
        <v>3.0398106000000001E-2</v>
      </c>
      <c r="C731" s="6">
        <v>0.26801902799999999</v>
      </c>
    </row>
    <row r="732" spans="1:3" x14ac:dyDescent="0.25">
      <c r="A732" s="6" t="s">
        <v>1736</v>
      </c>
      <c r="B732" s="6">
        <v>6.0065765E-2</v>
      </c>
      <c r="C732" s="6">
        <v>0.20888020400000001</v>
      </c>
    </row>
    <row r="733" spans="1:3" x14ac:dyDescent="0.25">
      <c r="A733" s="6" t="s">
        <v>1737</v>
      </c>
      <c r="B733" s="6">
        <v>1.5129181E-2</v>
      </c>
      <c r="C733" s="6">
        <v>0.42476025499999998</v>
      </c>
    </row>
    <row r="734" spans="1:3" x14ac:dyDescent="0.25">
      <c r="A734" s="6" t="s">
        <v>1738</v>
      </c>
      <c r="B734" s="6">
        <v>4.0388000000000004E-3</v>
      </c>
      <c r="C734" s="6">
        <v>0.34121515099999999</v>
      </c>
    </row>
    <row r="735" spans="1:3" x14ac:dyDescent="0.25">
      <c r="A735" s="6" t="s">
        <v>1739</v>
      </c>
      <c r="B735" s="6">
        <v>1.3106177E-2</v>
      </c>
      <c r="C735" s="6">
        <v>0.15283211399999999</v>
      </c>
    </row>
    <row r="736" spans="1:3" x14ac:dyDescent="0.25">
      <c r="A736" s="6" t="s">
        <v>1740</v>
      </c>
      <c r="B736" s="6">
        <v>3.0671227999999998E-2</v>
      </c>
      <c r="C736" s="6">
        <v>0.29783559900000001</v>
      </c>
    </row>
    <row r="737" spans="1:3" x14ac:dyDescent="0.25">
      <c r="A737" s="6" t="s">
        <v>1741</v>
      </c>
      <c r="B737" s="6">
        <v>1.8434921999999999E-2</v>
      </c>
      <c r="C737" s="6">
        <v>4.3515802999999999E-2</v>
      </c>
    </row>
    <row r="738" spans="1:3" x14ac:dyDescent="0.25">
      <c r="A738" s="6" t="s">
        <v>1742</v>
      </c>
      <c r="B738" s="6">
        <v>6.4818636999999998E-2</v>
      </c>
      <c r="C738" s="6">
        <v>1.3833873649999999</v>
      </c>
    </row>
    <row r="739" spans="1:3" x14ac:dyDescent="0.25">
      <c r="A739" s="6" t="s">
        <v>1745</v>
      </c>
      <c r="B739" s="6">
        <v>2.9767689E-2</v>
      </c>
      <c r="C739" s="6">
        <v>0.95582058000000003</v>
      </c>
    </row>
    <row r="740" spans="1:3" x14ac:dyDescent="0.25">
      <c r="A740" s="6" t="s">
        <v>1746</v>
      </c>
      <c r="B740" s="6">
        <v>0.109720335</v>
      </c>
      <c r="C740" s="6">
        <v>1.5585349209999999</v>
      </c>
    </row>
    <row r="741" spans="1:3" x14ac:dyDescent="0.25">
      <c r="A741" s="6" t="s">
        <v>1747</v>
      </c>
      <c r="B741" s="6">
        <v>5.7233041999999998E-2</v>
      </c>
      <c r="C741" s="6">
        <v>2.8488517359999999</v>
      </c>
    </row>
    <row r="742" spans="1:3" x14ac:dyDescent="0.25">
      <c r="A742" s="6" t="s">
        <v>1748</v>
      </c>
      <c r="B742" s="6">
        <v>3.2928618E-2</v>
      </c>
      <c r="C742" s="6">
        <v>6.0429383210000003</v>
      </c>
    </row>
    <row r="743" spans="1:3" x14ac:dyDescent="0.25">
      <c r="A743" s="6" t="s">
        <v>1750</v>
      </c>
      <c r="B743" s="6">
        <v>9.9507804000000005E-2</v>
      </c>
      <c r="C743" s="6">
        <v>0.76315061200000001</v>
      </c>
    </row>
    <row r="744" spans="1:3" x14ac:dyDescent="0.25">
      <c r="A744" s="6" t="s">
        <v>1751</v>
      </c>
      <c r="B744" s="6">
        <v>4.9814101E-2</v>
      </c>
      <c r="C744" s="6">
        <v>6.5368720000000005E-2</v>
      </c>
    </row>
    <row r="745" spans="1:3" x14ac:dyDescent="0.25">
      <c r="A745" s="6" t="s">
        <v>1752</v>
      </c>
      <c r="B745" s="6">
        <v>4.0369196000000003E-2</v>
      </c>
      <c r="C745" s="6">
        <v>0.37837289099999999</v>
      </c>
    </row>
    <row r="746" spans="1:3" x14ac:dyDescent="0.25">
      <c r="A746" s="6" t="s">
        <v>1753</v>
      </c>
      <c r="B746" s="6">
        <v>1.2198476999999999E-2</v>
      </c>
      <c r="C746" s="6">
        <v>0.42300413199999998</v>
      </c>
    </row>
    <row r="747" spans="1:3" x14ac:dyDescent="0.25">
      <c r="A747" s="6" t="s">
        <v>1754</v>
      </c>
      <c r="B747" s="6">
        <v>0.106300175</v>
      </c>
      <c r="C747" s="6">
        <v>0.162531325</v>
      </c>
    </row>
    <row r="748" spans="1:3" x14ac:dyDescent="0.25">
      <c r="A748" s="6" t="s">
        <v>1755</v>
      </c>
      <c r="B748" s="6">
        <v>2.3271880000000002E-2</v>
      </c>
      <c r="C748" s="6">
        <v>0.87384427799999997</v>
      </c>
    </row>
    <row r="749" spans="1:3" x14ac:dyDescent="0.25">
      <c r="A749" s="6" t="s">
        <v>1756</v>
      </c>
      <c r="B749" s="6">
        <v>1.4050616E-2</v>
      </c>
      <c r="C749" s="6">
        <v>0.32480093799999998</v>
      </c>
    </row>
    <row r="750" spans="1:3" x14ac:dyDescent="0.25">
      <c r="A750" s="6" t="s">
        <v>1757</v>
      </c>
      <c r="B750" s="6">
        <v>2.0489831E-2</v>
      </c>
      <c r="C750" s="6">
        <v>0.496981014</v>
      </c>
    </row>
    <row r="751" spans="1:3" x14ac:dyDescent="0.25">
      <c r="A751" s="6" t="s">
        <v>1758</v>
      </c>
      <c r="B751" s="6">
        <v>2.1393921E-2</v>
      </c>
      <c r="C751" s="6">
        <v>0.52709005099999995</v>
      </c>
    </row>
    <row r="752" spans="1:3" x14ac:dyDescent="0.25">
      <c r="A752" s="6" t="s">
        <v>1759</v>
      </c>
      <c r="B752" s="6">
        <v>4.9785964000000002E-2</v>
      </c>
      <c r="C752" s="6">
        <v>0.78541232900000002</v>
      </c>
    </row>
    <row r="753" spans="1:3" x14ac:dyDescent="0.25">
      <c r="A753" s="6" t="s">
        <v>1760</v>
      </c>
      <c r="B753" s="6">
        <v>8.4374903000000001E-2</v>
      </c>
      <c r="C753" s="6">
        <v>4.1984533999999997E-2</v>
      </c>
    </row>
    <row r="754" spans="1:3" x14ac:dyDescent="0.25">
      <c r="A754" s="6" t="s">
        <v>1762</v>
      </c>
      <c r="B754" s="6">
        <v>6.5289459999999999E-3</v>
      </c>
      <c r="C754" s="6">
        <v>0.25527870600000002</v>
      </c>
    </row>
    <row r="755" spans="1:3" x14ac:dyDescent="0.25">
      <c r="A755" s="6" t="s">
        <v>1763</v>
      </c>
      <c r="B755" s="6">
        <v>7.1964450000000001E-3</v>
      </c>
      <c r="C755" s="6">
        <v>9.223452E-2</v>
      </c>
    </row>
    <row r="756" spans="1:3" x14ac:dyDescent="0.25">
      <c r="A756" s="6" t="s">
        <v>1764</v>
      </c>
      <c r="B756" s="6">
        <v>2.7842882999999999E-2</v>
      </c>
      <c r="C756" s="6">
        <v>9.3357624E-2</v>
      </c>
    </row>
    <row r="757" spans="1:3" x14ac:dyDescent="0.25">
      <c r="A757" s="6" t="s">
        <v>1765</v>
      </c>
      <c r="B757" s="6">
        <v>2.1563259000000001E-2</v>
      </c>
      <c r="C757" s="6">
        <v>0.32284793699999997</v>
      </c>
    </row>
    <row r="758" spans="1:3" x14ac:dyDescent="0.25">
      <c r="A758" s="6" t="s">
        <v>1767</v>
      </c>
      <c r="B758" s="6">
        <v>2.3623000000000002E-2</v>
      </c>
      <c r="C758" s="6">
        <v>3.1183170999999999E-2</v>
      </c>
    </row>
    <row r="759" spans="1:3" x14ac:dyDescent="0.25">
      <c r="A759" s="6" t="s">
        <v>1768</v>
      </c>
      <c r="B759" s="6">
        <v>1.3045095E-2</v>
      </c>
      <c r="C759" s="6">
        <v>0.26819189799999998</v>
      </c>
    </row>
    <row r="760" spans="1:3" x14ac:dyDescent="0.25">
      <c r="A760" s="6" t="s">
        <v>1769</v>
      </c>
      <c r="B760" s="6">
        <v>1.9732105E-2</v>
      </c>
      <c r="C760" s="6">
        <v>0.42648381299999999</v>
      </c>
    </row>
    <row r="761" spans="1:3" x14ac:dyDescent="0.25">
      <c r="A761" s="6" t="s">
        <v>1770</v>
      </c>
      <c r="B761" s="6">
        <v>0.129717474</v>
      </c>
      <c r="C761" s="6">
        <v>8.1043826999999999E-2</v>
      </c>
    </row>
    <row r="762" spans="1:3" x14ac:dyDescent="0.25">
      <c r="A762" s="6" t="s">
        <v>1771</v>
      </c>
      <c r="B762" s="6">
        <v>7.8175272000000004E-2</v>
      </c>
      <c r="C762" s="6">
        <v>0.34890376099999998</v>
      </c>
    </row>
    <row r="763" spans="1:3" x14ac:dyDescent="0.25">
      <c r="A763" s="6" t="s">
        <v>1772</v>
      </c>
      <c r="B763" s="6">
        <v>3.3485534999999997E-2</v>
      </c>
      <c r="C763" s="6">
        <v>0.28060604900000002</v>
      </c>
    </row>
    <row r="764" spans="1:3" x14ac:dyDescent="0.25">
      <c r="A764" s="6" t="s">
        <v>1773</v>
      </c>
      <c r="B764" s="6">
        <v>1.5729501E-2</v>
      </c>
      <c r="C764" s="6">
        <v>0.18540815999999999</v>
      </c>
    </row>
    <row r="765" spans="1:3" x14ac:dyDescent="0.25">
      <c r="A765" s="6" t="s">
        <v>1774</v>
      </c>
      <c r="B765" s="6">
        <v>8.0244679999999999E-3</v>
      </c>
      <c r="C765" s="6">
        <v>4.7915566E-2</v>
      </c>
    </row>
    <row r="766" spans="1:3" x14ac:dyDescent="0.25">
      <c r="A766" s="6" t="s">
        <v>1775</v>
      </c>
      <c r="B766" s="6">
        <v>3.2073892E-2</v>
      </c>
      <c r="C766" s="6">
        <v>0.16997649400000001</v>
      </c>
    </row>
    <row r="767" spans="1:3" x14ac:dyDescent="0.25">
      <c r="A767" s="6" t="s">
        <v>1776</v>
      </c>
      <c r="B767" s="6">
        <v>3.9313503E-2</v>
      </c>
      <c r="C767" s="6">
        <v>0.25619241999999998</v>
      </c>
    </row>
    <row r="768" spans="1:3" x14ac:dyDescent="0.25">
      <c r="A768" s="6" t="s">
        <v>1777</v>
      </c>
      <c r="B768" s="6">
        <v>4.5586381000000002E-2</v>
      </c>
      <c r="C768" s="6">
        <v>1.2538736690000001</v>
      </c>
    </row>
    <row r="769" spans="1:3" x14ac:dyDescent="0.25">
      <c r="A769" s="6" t="s">
        <v>1778</v>
      </c>
      <c r="B769" s="6">
        <v>1.5608708000000001E-2</v>
      </c>
      <c r="C769" s="6">
        <v>0.49924221200000002</v>
      </c>
    </row>
    <row r="770" spans="1:3" x14ac:dyDescent="0.25">
      <c r="A770" s="6" t="s">
        <v>1779</v>
      </c>
      <c r="B770" s="6">
        <v>4.0796196999999999E-2</v>
      </c>
      <c r="C770" s="6">
        <v>0.31439994199999999</v>
      </c>
    </row>
    <row r="771" spans="1:3" x14ac:dyDescent="0.25">
      <c r="A771" s="6" t="s">
        <v>1780</v>
      </c>
      <c r="B771" s="6">
        <v>2.0702399999999999E-2</v>
      </c>
      <c r="C771" s="6">
        <v>6.9084415999999996E-2</v>
      </c>
    </row>
    <row r="772" spans="1:3" x14ac:dyDescent="0.25">
      <c r="A772" s="6" t="s">
        <v>1781</v>
      </c>
      <c r="B772" s="6">
        <v>5.2124908999999997E-2</v>
      </c>
      <c r="C772" s="6">
        <v>0.41082068700000002</v>
      </c>
    </row>
    <row r="773" spans="1:3" x14ac:dyDescent="0.25">
      <c r="A773" s="6" t="s">
        <v>1782</v>
      </c>
      <c r="B773" s="6">
        <v>1.0080217000000001E-2</v>
      </c>
      <c r="C773" s="6">
        <v>0.23233436499999999</v>
      </c>
    </row>
    <row r="774" spans="1:3" x14ac:dyDescent="0.25">
      <c r="A774" s="6" t="s">
        <v>1783</v>
      </c>
      <c r="B774" s="6">
        <v>1.451067E-2</v>
      </c>
      <c r="C774" s="6">
        <v>0.54104033100000004</v>
      </c>
    </row>
    <row r="775" spans="1:3" x14ac:dyDescent="0.25">
      <c r="A775" s="6" t="s">
        <v>1784</v>
      </c>
      <c r="B775" s="6">
        <v>0.13634891699999999</v>
      </c>
      <c r="C775" s="6">
        <v>4.315660662</v>
      </c>
    </row>
    <row r="776" spans="1:3" x14ac:dyDescent="0.25">
      <c r="A776" s="6" t="s">
        <v>1785</v>
      </c>
      <c r="B776" s="6">
        <v>1.5924282000000001E-2</v>
      </c>
      <c r="C776" s="6">
        <v>4.3920894000000002E-2</v>
      </c>
    </row>
    <row r="777" spans="1:3" x14ac:dyDescent="0.25">
      <c r="A777" s="6" t="s">
        <v>1786</v>
      </c>
      <c r="B777" s="6">
        <v>6.6400720000000003E-3</v>
      </c>
      <c r="C777" s="6">
        <v>0.21557304099999999</v>
      </c>
    </row>
    <row r="778" spans="1:3" x14ac:dyDescent="0.25">
      <c r="A778" s="6" t="s">
        <v>1787</v>
      </c>
      <c r="B778" s="6">
        <v>1.0443289E-2</v>
      </c>
      <c r="C778" s="6">
        <v>0.11443200100000001</v>
      </c>
    </row>
    <row r="779" spans="1:3" x14ac:dyDescent="0.25">
      <c r="A779" s="6" t="s">
        <v>1788</v>
      </c>
      <c r="B779" s="6">
        <v>1.8753097999999999E-2</v>
      </c>
      <c r="C779" s="6">
        <v>0.90726630500000005</v>
      </c>
    </row>
    <row r="780" spans="1:3" x14ac:dyDescent="0.25">
      <c r="A780" s="6" t="s">
        <v>1789</v>
      </c>
      <c r="B780" s="6">
        <v>2.6739773000000001E-2</v>
      </c>
      <c r="C780" s="6">
        <v>0.39876330799999998</v>
      </c>
    </row>
    <row r="781" spans="1:3" x14ac:dyDescent="0.25">
      <c r="A781" s="6" t="s">
        <v>1790</v>
      </c>
      <c r="B781" s="6">
        <v>4.5443039999999999E-3</v>
      </c>
      <c r="C781" s="6">
        <v>0.41331494400000002</v>
      </c>
    </row>
    <row r="782" spans="1:3" x14ac:dyDescent="0.25">
      <c r="A782" s="6" t="s">
        <v>1791</v>
      </c>
      <c r="B782" s="6">
        <v>3.0097280000000001E-2</v>
      </c>
      <c r="C782" s="6">
        <v>3.4792903640000001</v>
      </c>
    </row>
    <row r="783" spans="1:3" x14ac:dyDescent="0.25">
      <c r="A783" s="6" t="s">
        <v>1792</v>
      </c>
      <c r="B783" s="6">
        <v>4.4076838E-2</v>
      </c>
      <c r="C783" s="6">
        <v>0.75964339199999997</v>
      </c>
    </row>
    <row r="784" spans="1:3" x14ac:dyDescent="0.25">
      <c r="A784" s="6" t="s">
        <v>1794</v>
      </c>
      <c r="B784" s="6">
        <v>0.659671224</v>
      </c>
      <c r="C784" s="6">
        <v>1.3505682510000001</v>
      </c>
    </row>
    <row r="785" spans="1:3" x14ac:dyDescent="0.25">
      <c r="A785" s="6" t="s">
        <v>1795</v>
      </c>
      <c r="B785" s="6">
        <v>8.1789878999999996E-2</v>
      </c>
      <c r="C785" s="6">
        <v>0.75761526300000004</v>
      </c>
    </row>
    <row r="786" spans="1:3" x14ac:dyDescent="0.25">
      <c r="A786" s="6" t="s">
        <v>1796</v>
      </c>
      <c r="B786" s="6">
        <v>3.5921962000000002E-2</v>
      </c>
      <c r="C786" s="6">
        <v>0.102120288</v>
      </c>
    </row>
    <row r="787" spans="1:3" x14ac:dyDescent="0.25">
      <c r="A787" s="6" t="s">
        <v>1797</v>
      </c>
      <c r="B787" s="6">
        <v>8.5776751999999998E-2</v>
      </c>
      <c r="C787" s="6">
        <v>0.55877681199999996</v>
      </c>
    </row>
    <row r="788" spans="1:3" x14ac:dyDescent="0.25">
      <c r="A788" s="6" t="s">
        <v>1798</v>
      </c>
      <c r="B788" s="6">
        <v>3.0143380000000001E-2</v>
      </c>
      <c r="C788" s="6">
        <v>0.301282367</v>
      </c>
    </row>
    <row r="789" spans="1:3" x14ac:dyDescent="0.25">
      <c r="A789" s="6" t="s">
        <v>1799</v>
      </c>
      <c r="B789" s="6">
        <v>2.5412153E-2</v>
      </c>
      <c r="C789" s="6">
        <v>0.52221670899999995</v>
      </c>
    </row>
    <row r="790" spans="1:3" x14ac:dyDescent="0.25">
      <c r="A790" s="6" t="s">
        <v>1800</v>
      </c>
      <c r="B790" s="6">
        <v>5.8804847E-2</v>
      </c>
      <c r="C790" s="6">
        <v>1.8753526999999999E-2</v>
      </c>
    </row>
    <row r="791" spans="1:3" x14ac:dyDescent="0.25">
      <c r="A791" s="6" t="s">
        <v>1801</v>
      </c>
      <c r="B791" s="6">
        <v>0.65476415300000002</v>
      </c>
      <c r="C791" s="6">
        <v>0.42544187900000002</v>
      </c>
    </row>
    <row r="792" spans="1:3" x14ac:dyDescent="0.25">
      <c r="A792" s="6" t="s">
        <v>1802</v>
      </c>
      <c r="B792" s="6">
        <v>0.12436604599999999</v>
      </c>
      <c r="C792" s="6">
        <v>0.75754835799999998</v>
      </c>
    </row>
    <row r="793" spans="1:3" x14ac:dyDescent="0.25">
      <c r="A793" s="6" t="s">
        <v>1803</v>
      </c>
      <c r="B793" s="6">
        <v>6.9754407000000004E-2</v>
      </c>
      <c r="C793" s="6">
        <v>1.475306523</v>
      </c>
    </row>
    <row r="794" spans="1:3" x14ac:dyDescent="0.25">
      <c r="A794" s="6" t="s">
        <v>1804</v>
      </c>
      <c r="B794" s="6">
        <v>3.7354007000000002E-2</v>
      </c>
      <c r="C794" s="6">
        <v>0.132462055</v>
      </c>
    </row>
    <row r="795" spans="1:3" x14ac:dyDescent="0.25">
      <c r="A795" s="6" t="s">
        <v>1805</v>
      </c>
      <c r="B795" s="6">
        <v>4.1905420000000002E-3</v>
      </c>
      <c r="C795" s="6">
        <v>0.115485221</v>
      </c>
    </row>
    <row r="796" spans="1:3" x14ac:dyDescent="0.25">
      <c r="A796" s="6" t="s">
        <v>1806</v>
      </c>
      <c r="B796" s="6">
        <v>7.5200083000000001E-2</v>
      </c>
      <c r="C796" s="6">
        <v>9.5535067270000003</v>
      </c>
    </row>
    <row r="797" spans="1:3" x14ac:dyDescent="0.25">
      <c r="A797" s="6" t="s">
        <v>1807</v>
      </c>
      <c r="B797" s="6">
        <v>2.9105115000000001E-2</v>
      </c>
      <c r="C797" s="6">
        <v>1.0791888169999999</v>
      </c>
    </row>
    <row r="798" spans="1:3" x14ac:dyDescent="0.25">
      <c r="A798" s="6" t="s">
        <v>1808</v>
      </c>
      <c r="B798" s="6">
        <v>4.2391318999999997E-2</v>
      </c>
      <c r="C798" s="6">
        <v>0.62578003199999999</v>
      </c>
    </row>
    <row r="799" spans="1:3" x14ac:dyDescent="0.25">
      <c r="A799" s="6" t="s">
        <v>1809</v>
      </c>
      <c r="B799" s="6">
        <v>1.1917469999999999E-2</v>
      </c>
      <c r="C799" s="6">
        <v>2.7167993000000001E-2</v>
      </c>
    </row>
    <row r="800" spans="1:3" x14ac:dyDescent="0.25">
      <c r="A800" s="6" t="s">
        <v>1810</v>
      </c>
      <c r="B800" s="6">
        <v>2.0712841999999999E-2</v>
      </c>
      <c r="C800" s="6">
        <v>0.43525644200000002</v>
      </c>
    </row>
    <row r="801" spans="1:3" x14ac:dyDescent="0.25">
      <c r="A801" s="6" t="s">
        <v>1811</v>
      </c>
      <c r="B801" s="6">
        <v>0.33682075099999997</v>
      </c>
      <c r="C801" s="6">
        <v>0.45369936</v>
      </c>
    </row>
    <row r="802" spans="1:3" x14ac:dyDescent="0.25">
      <c r="A802" s="6" t="s">
        <v>1812</v>
      </c>
      <c r="B802" s="6">
        <v>1.4590535999999999E-2</v>
      </c>
      <c r="C802" s="6">
        <v>7.5903835000000003E-2</v>
      </c>
    </row>
    <row r="803" spans="1:3" x14ac:dyDescent="0.25">
      <c r="A803" s="6" t="s">
        <v>1813</v>
      </c>
      <c r="B803" s="6">
        <v>0.25619378999999998</v>
      </c>
      <c r="C803" s="6">
        <v>1.2673734400000001</v>
      </c>
    </row>
    <row r="804" spans="1:3" x14ac:dyDescent="0.25">
      <c r="A804" s="6" t="s">
        <v>1814</v>
      </c>
      <c r="B804" s="6">
        <v>1.9554847E-2</v>
      </c>
      <c r="C804" s="6">
        <v>3.8420991839999998</v>
      </c>
    </row>
    <row r="805" spans="1:3" x14ac:dyDescent="0.25">
      <c r="A805" s="6" t="s">
        <v>1815</v>
      </c>
      <c r="B805" s="6">
        <v>3.5670832999999999E-2</v>
      </c>
      <c r="C805" s="6">
        <v>0.307662828</v>
      </c>
    </row>
    <row r="806" spans="1:3" x14ac:dyDescent="0.25">
      <c r="A806" s="6" t="s">
        <v>1816</v>
      </c>
      <c r="B806" s="6">
        <v>6.6643156999999995E-2</v>
      </c>
      <c r="C806" s="6">
        <v>0.34971150600000001</v>
      </c>
    </row>
    <row r="807" spans="1:3" x14ac:dyDescent="0.25">
      <c r="A807" s="6" t="s">
        <v>1817</v>
      </c>
      <c r="B807" s="6">
        <v>2.8767272E-2</v>
      </c>
      <c r="C807" s="6">
        <v>0.11669336800000001</v>
      </c>
    </row>
    <row r="808" spans="1:3" x14ac:dyDescent="0.25">
      <c r="A808" s="6" t="s">
        <v>1818</v>
      </c>
      <c r="B808" s="6">
        <v>3.4036990000000003E-2</v>
      </c>
      <c r="C808" s="6">
        <v>0.65650328099999999</v>
      </c>
    </row>
    <row r="809" spans="1:3" x14ac:dyDescent="0.25">
      <c r="A809" s="6" t="s">
        <v>1819</v>
      </c>
      <c r="B809" s="6">
        <v>0.110885022</v>
      </c>
      <c r="C809" s="6">
        <v>3.8681339609999998</v>
      </c>
    </row>
    <row r="810" spans="1:3" x14ac:dyDescent="0.25">
      <c r="A810" s="6" t="s">
        <v>1820</v>
      </c>
      <c r="B810" s="6">
        <v>1.6163315000000001E-2</v>
      </c>
      <c r="C810" s="6">
        <v>0.16852893699999999</v>
      </c>
    </row>
    <row r="811" spans="1:3" x14ac:dyDescent="0.25">
      <c r="A811" s="6" t="s">
        <v>1821</v>
      </c>
      <c r="B811" s="6">
        <v>2.8361007000000001E-2</v>
      </c>
      <c r="C811" s="6">
        <v>7.5722952999999996E-2</v>
      </c>
    </row>
    <row r="812" spans="1:3" x14ac:dyDescent="0.25">
      <c r="A812" s="6" t="s">
        <v>1822</v>
      </c>
      <c r="B812" s="6">
        <v>1.145697E-2</v>
      </c>
      <c r="C812" s="6">
        <v>0.28794262700000001</v>
      </c>
    </row>
    <row r="813" spans="1:3" x14ac:dyDescent="0.25">
      <c r="A813" s="6" t="s">
        <v>1823</v>
      </c>
      <c r="B813" s="6">
        <v>6.8165046000000007E-2</v>
      </c>
      <c r="C813" s="6">
        <v>0.924836926</v>
      </c>
    </row>
    <row r="814" spans="1:3" x14ac:dyDescent="0.25">
      <c r="A814" s="6" t="s">
        <v>1824</v>
      </c>
      <c r="B814" s="6">
        <v>5.907626E-3</v>
      </c>
      <c r="C814" s="6">
        <v>1.2073745E-2</v>
      </c>
    </row>
    <row r="815" spans="1:3" x14ac:dyDescent="0.25">
      <c r="A815" s="6" t="s">
        <v>1825</v>
      </c>
      <c r="B815" s="6">
        <v>6.9827094000000006E-2</v>
      </c>
      <c r="C815" s="6">
        <v>0.96391612299999996</v>
      </c>
    </row>
    <row r="816" spans="1:3" x14ac:dyDescent="0.25">
      <c r="A816" s="6" t="s">
        <v>1826</v>
      </c>
      <c r="B816" s="6">
        <v>3.6404985000000001E-2</v>
      </c>
      <c r="C816" s="6">
        <v>0.16773391600000001</v>
      </c>
    </row>
    <row r="817" spans="1:3" x14ac:dyDescent="0.25">
      <c r="A817" s="6" t="s">
        <v>1827</v>
      </c>
      <c r="B817" s="6">
        <v>3.2355311999999997E-2</v>
      </c>
      <c r="C817" s="6">
        <v>0.43608568800000003</v>
      </c>
    </row>
    <row r="818" spans="1:3" x14ac:dyDescent="0.25">
      <c r="A818" s="6" t="s">
        <v>1828</v>
      </c>
      <c r="B818" s="6">
        <v>0.38424380600000002</v>
      </c>
      <c r="C818" s="6">
        <v>0.28031455900000002</v>
      </c>
    </row>
    <row r="819" spans="1:3" x14ac:dyDescent="0.25">
      <c r="A819" s="6" t="s">
        <v>1830</v>
      </c>
      <c r="B819" s="6">
        <v>3.8311982000000001E-2</v>
      </c>
      <c r="C819" s="6">
        <v>0.16266564999999999</v>
      </c>
    </row>
    <row r="820" spans="1:3" x14ac:dyDescent="0.25">
      <c r="A820" s="6" t="s">
        <v>1831</v>
      </c>
      <c r="B820" s="6">
        <v>1.9924445999999998E-2</v>
      </c>
      <c r="C820" s="6">
        <v>7.5080403000000004E-2</v>
      </c>
    </row>
    <row r="821" spans="1:3" x14ac:dyDescent="0.25">
      <c r="A821" s="6" t="s">
        <v>1832</v>
      </c>
      <c r="B821" s="6">
        <v>3.0429182999999999E-2</v>
      </c>
      <c r="C821" s="6">
        <v>0.906923225</v>
      </c>
    </row>
    <row r="822" spans="1:3" x14ac:dyDescent="0.25">
      <c r="A822" s="6" t="s">
        <v>1833</v>
      </c>
      <c r="B822" s="6">
        <v>2.4558883E-2</v>
      </c>
      <c r="C822" s="6">
        <v>0.62366693299999998</v>
      </c>
    </row>
    <row r="823" spans="1:3" x14ac:dyDescent="0.25">
      <c r="A823" s="6" t="s">
        <v>1834</v>
      </c>
      <c r="B823" s="6">
        <v>2.3012138000000001E-2</v>
      </c>
      <c r="C823" s="6">
        <v>0.32108060999999999</v>
      </c>
    </row>
    <row r="824" spans="1:3" x14ac:dyDescent="0.25">
      <c r="A824" s="6" t="s">
        <v>1835</v>
      </c>
      <c r="B824" s="6">
        <v>2.6286802000000001E-2</v>
      </c>
      <c r="C824" s="6">
        <v>0.212283996</v>
      </c>
    </row>
    <row r="825" spans="1:3" x14ac:dyDescent="0.25">
      <c r="A825" s="6" t="s">
        <v>1836</v>
      </c>
      <c r="B825" s="6">
        <v>1.1264145999999999E-2</v>
      </c>
      <c r="C825" s="6">
        <v>0.23270671600000001</v>
      </c>
    </row>
    <row r="826" spans="1:3" x14ac:dyDescent="0.25">
      <c r="A826" s="6" t="s">
        <v>1837</v>
      </c>
      <c r="B826" s="6">
        <v>0.137569578</v>
      </c>
      <c r="C826" s="6">
        <v>8.3541077000000005E-2</v>
      </c>
    </row>
    <row r="827" spans="1:3" x14ac:dyDescent="0.25">
      <c r="A827" s="6" t="s">
        <v>1838</v>
      </c>
      <c r="B827" s="6">
        <v>6.9251349999999998E-3</v>
      </c>
      <c r="C827" s="6">
        <v>0.26856342300000002</v>
      </c>
    </row>
    <row r="828" spans="1:3" x14ac:dyDescent="0.25">
      <c r="A828" s="6" t="s">
        <v>1839</v>
      </c>
      <c r="B828" s="6">
        <v>3.4963222000000002E-2</v>
      </c>
      <c r="C828" s="6">
        <v>0.90518892100000004</v>
      </c>
    </row>
    <row r="829" spans="1:3" x14ac:dyDescent="0.25">
      <c r="A829" s="6" t="s">
        <v>1840</v>
      </c>
      <c r="B829" s="6">
        <v>6.0517234000000003E-2</v>
      </c>
      <c r="C829" s="6">
        <v>1.399426606</v>
      </c>
    </row>
    <row r="830" spans="1:3" x14ac:dyDescent="0.25">
      <c r="A830" s="6" t="s">
        <v>1841</v>
      </c>
      <c r="B830" s="6">
        <v>1.2732855E-2</v>
      </c>
      <c r="C830" s="6">
        <v>6.8173647000000004E-2</v>
      </c>
    </row>
    <row r="831" spans="1:3" x14ac:dyDescent="0.25">
      <c r="A831" s="6" t="s">
        <v>1842</v>
      </c>
      <c r="B831" s="6">
        <v>4.1151457000000002E-2</v>
      </c>
      <c r="C831" s="6">
        <v>2.6397186669999999</v>
      </c>
    </row>
    <row r="832" spans="1:3" x14ac:dyDescent="0.25">
      <c r="A832" s="6" t="s">
        <v>1843</v>
      </c>
      <c r="B832" s="6">
        <v>3.4091219999999998E-2</v>
      </c>
      <c r="C832" s="6">
        <v>0.56847862699999996</v>
      </c>
    </row>
    <row r="833" spans="1:3" x14ac:dyDescent="0.25">
      <c r="A833" s="6" t="s">
        <v>1844</v>
      </c>
      <c r="B833" s="6">
        <v>1.4357788E-2</v>
      </c>
      <c r="C833" s="6">
        <v>6.6765978000000004E-2</v>
      </c>
    </row>
    <row r="834" spans="1:3" x14ac:dyDescent="0.25">
      <c r="A834" s="6" t="s">
        <v>1845</v>
      </c>
      <c r="B834" s="6">
        <v>1.3751876999999999E-2</v>
      </c>
      <c r="C834" s="6">
        <v>0.43329013300000002</v>
      </c>
    </row>
    <row r="835" spans="1:3" x14ac:dyDescent="0.25">
      <c r="A835" s="6" t="s">
        <v>1846</v>
      </c>
      <c r="B835" s="6">
        <v>2.2992027000000002E-2</v>
      </c>
      <c r="C835" s="6">
        <v>0.92883715899999997</v>
      </c>
    </row>
    <row r="836" spans="1:3" x14ac:dyDescent="0.25">
      <c r="A836" s="6" t="s">
        <v>1847</v>
      </c>
      <c r="B836" s="6">
        <v>3.6809235000000003E-2</v>
      </c>
      <c r="C836" s="6">
        <v>0.27961590200000003</v>
      </c>
    </row>
    <row r="837" spans="1:3" x14ac:dyDescent="0.25">
      <c r="A837" s="6" t="s">
        <v>1848</v>
      </c>
      <c r="B837" s="6">
        <v>7.5736057999999995E-2</v>
      </c>
      <c r="C837" s="6">
        <v>0.47070783700000002</v>
      </c>
    </row>
    <row r="838" spans="1:3" x14ac:dyDescent="0.25">
      <c r="A838" s="6" t="s">
        <v>1849</v>
      </c>
      <c r="B838" s="6">
        <v>0.33008997000000001</v>
      </c>
      <c r="C838" s="6">
        <v>0.85047532699999995</v>
      </c>
    </row>
    <row r="839" spans="1:3" x14ac:dyDescent="0.25">
      <c r="A839" s="6" t="s">
        <v>1850</v>
      </c>
      <c r="B839" s="6">
        <v>4.5916354E-2</v>
      </c>
      <c r="C839" s="6">
        <v>0.19263441100000001</v>
      </c>
    </row>
    <row r="840" spans="1:3" x14ac:dyDescent="0.25">
      <c r="A840" s="6" t="s">
        <v>1851</v>
      </c>
      <c r="B840" s="6">
        <v>4.9936390000000002E-3</v>
      </c>
      <c r="C840" s="6">
        <v>0.31476498600000002</v>
      </c>
    </row>
    <row r="841" spans="1:3" x14ac:dyDescent="0.25">
      <c r="A841" s="6" t="s">
        <v>1852</v>
      </c>
      <c r="B841" s="6">
        <v>2.0573957E-2</v>
      </c>
      <c r="C841" s="6">
        <v>0.430046186</v>
      </c>
    </row>
    <row r="842" spans="1:3" x14ac:dyDescent="0.25">
      <c r="A842" s="6" t="s">
        <v>1853</v>
      </c>
      <c r="B842" s="6">
        <v>2.5624185000000001E-2</v>
      </c>
      <c r="C842" s="6">
        <v>0.57074834799999996</v>
      </c>
    </row>
    <row r="843" spans="1:3" x14ac:dyDescent="0.25">
      <c r="A843" s="6" t="s">
        <v>1854</v>
      </c>
      <c r="B843" s="6">
        <v>3.1783771000000002E-2</v>
      </c>
      <c r="C843" s="6">
        <v>0.896743701</v>
      </c>
    </row>
    <row r="844" spans="1:3" x14ac:dyDescent="0.25">
      <c r="A844" s="6" t="s">
        <v>1855</v>
      </c>
      <c r="B844" s="6">
        <v>9.4721473E-2</v>
      </c>
      <c r="C844" s="6">
        <v>0.87217845100000002</v>
      </c>
    </row>
    <row r="845" spans="1:3" x14ac:dyDescent="0.25">
      <c r="A845" s="6" t="s">
        <v>1856</v>
      </c>
      <c r="B845" s="6">
        <v>5.3315731999999998E-2</v>
      </c>
      <c r="C845" s="6">
        <v>0.99497741299999998</v>
      </c>
    </row>
    <row r="846" spans="1:3" x14ac:dyDescent="0.25">
      <c r="A846" s="6" t="s">
        <v>1857</v>
      </c>
      <c r="B846" s="6">
        <v>4.5609584000000002E-2</v>
      </c>
      <c r="C846" s="6">
        <v>1.048822736</v>
      </c>
    </row>
    <row r="847" spans="1:3" x14ac:dyDescent="0.25">
      <c r="A847" s="6" t="s">
        <v>1858</v>
      </c>
      <c r="B847" s="6">
        <v>5.2070719000000001E-2</v>
      </c>
      <c r="C847" s="6">
        <v>0.875667168</v>
      </c>
    </row>
    <row r="848" spans="1:3" x14ac:dyDescent="0.25">
      <c r="A848" s="6" t="s">
        <v>1859</v>
      </c>
      <c r="B848" s="6">
        <v>0.164333696</v>
      </c>
      <c r="C848" s="6">
        <v>2.6649787869999999</v>
      </c>
    </row>
    <row r="849" spans="1:3" x14ac:dyDescent="0.25">
      <c r="A849" s="6" t="s">
        <v>1860</v>
      </c>
      <c r="B849" s="6">
        <v>9.6363770000000001E-2</v>
      </c>
      <c r="C849" s="6">
        <v>6.1647683869999996</v>
      </c>
    </row>
    <row r="850" spans="1:3" x14ac:dyDescent="0.25">
      <c r="A850" s="6" t="s">
        <v>1861</v>
      </c>
      <c r="B850" s="6">
        <v>9.6578975999999997E-2</v>
      </c>
      <c r="C850" s="6">
        <v>5.9453152249999999</v>
      </c>
    </row>
    <row r="851" spans="1:3" x14ac:dyDescent="0.25">
      <c r="A851" s="6" t="s">
        <v>1862</v>
      </c>
      <c r="B851" s="6">
        <v>2.5678230999999999E-2</v>
      </c>
      <c r="C851" s="6">
        <v>0.34828009199999999</v>
      </c>
    </row>
    <row r="852" spans="1:3" x14ac:dyDescent="0.25">
      <c r="A852" s="6" t="s">
        <v>1863</v>
      </c>
      <c r="B852" s="6">
        <v>2.6413536000000001E-2</v>
      </c>
      <c r="C852" s="6">
        <v>0.13513556500000001</v>
      </c>
    </row>
    <row r="853" spans="1:3" x14ac:dyDescent="0.25">
      <c r="A853" s="6" t="s">
        <v>1864</v>
      </c>
      <c r="B853" s="6">
        <v>3.9263579999999996E-3</v>
      </c>
      <c r="C853" s="6">
        <v>0.152030683</v>
      </c>
    </row>
    <row r="854" spans="1:3" x14ac:dyDescent="0.25">
      <c r="A854" s="6" t="s">
        <v>1865</v>
      </c>
      <c r="B854" s="6">
        <v>1.5398027E-2</v>
      </c>
      <c r="C854" s="6">
        <v>0.48001073599999999</v>
      </c>
    </row>
    <row r="855" spans="1:3" x14ac:dyDescent="0.25">
      <c r="A855" s="6" t="s">
        <v>1866</v>
      </c>
      <c r="B855" s="6">
        <v>3.1934886000000003E-2</v>
      </c>
      <c r="C855" s="6">
        <v>0.132402824</v>
      </c>
    </row>
    <row r="856" spans="1:3" x14ac:dyDescent="0.25">
      <c r="A856" s="6" t="s">
        <v>1867</v>
      </c>
      <c r="B856" s="6">
        <v>1.4389674E-2</v>
      </c>
      <c r="C856" s="6">
        <v>3.1190820000000001E-2</v>
      </c>
    </row>
    <row r="857" spans="1:3" x14ac:dyDescent="0.25">
      <c r="A857" s="6" t="s">
        <v>1868</v>
      </c>
      <c r="B857" s="6">
        <v>7.7532490000000003E-3</v>
      </c>
      <c r="C857" s="6">
        <v>0.31735968199999998</v>
      </c>
    </row>
    <row r="858" spans="1:3" x14ac:dyDescent="0.25">
      <c r="A858" s="6" t="s">
        <v>1869</v>
      </c>
      <c r="B858" s="6">
        <v>3.6520631999999997E-2</v>
      </c>
      <c r="C858" s="6">
        <v>0.76411610900000004</v>
      </c>
    </row>
    <row r="859" spans="1:3" x14ac:dyDescent="0.25">
      <c r="A859" s="6" t="s">
        <v>1870</v>
      </c>
      <c r="B859" s="6">
        <v>3.4244392999999998E-2</v>
      </c>
      <c r="C859" s="6">
        <v>0.11624886</v>
      </c>
    </row>
    <row r="860" spans="1:3" x14ac:dyDescent="0.25">
      <c r="A860" s="6" t="s">
        <v>1871</v>
      </c>
      <c r="B860" s="6">
        <v>3.0009181999999999E-2</v>
      </c>
      <c r="C860" s="6">
        <v>0.89071668000000004</v>
      </c>
    </row>
    <row r="861" spans="1:3" x14ac:dyDescent="0.25">
      <c r="A861" s="6" t="s">
        <v>1872</v>
      </c>
      <c r="B861" s="6">
        <v>1.6903962000000002E-2</v>
      </c>
      <c r="C861" s="6">
        <v>0.181771033</v>
      </c>
    </row>
    <row r="862" spans="1:3" x14ac:dyDescent="0.25">
      <c r="A862" s="6" t="s">
        <v>1873</v>
      </c>
      <c r="B862" s="6">
        <v>1.6088791000000002E-2</v>
      </c>
      <c r="C862" s="6">
        <v>1.4322716230000001</v>
      </c>
    </row>
    <row r="863" spans="1:3" x14ac:dyDescent="0.25">
      <c r="A863" s="6" t="s">
        <v>1874</v>
      </c>
      <c r="B863" s="6">
        <v>2.5576319E-2</v>
      </c>
      <c r="C863" s="6">
        <v>0.39549775599999998</v>
      </c>
    </row>
    <row r="864" spans="1:3" x14ac:dyDescent="0.25">
      <c r="A864" s="6" t="s">
        <v>1875</v>
      </c>
      <c r="B864" s="6">
        <v>1.0843177000000001E-2</v>
      </c>
      <c r="C864" s="6">
        <v>9.184428E-2</v>
      </c>
    </row>
    <row r="865" spans="1:3" x14ac:dyDescent="0.25">
      <c r="A865" s="6" t="s">
        <v>1876</v>
      </c>
      <c r="B865" s="6">
        <v>2.4405719999999999E-2</v>
      </c>
      <c r="C865" s="6">
        <v>0.208997079</v>
      </c>
    </row>
    <row r="866" spans="1:3" x14ac:dyDescent="0.25">
      <c r="A866" s="6" t="s">
        <v>1877</v>
      </c>
      <c r="B866" s="6">
        <v>1.5482401999999999E-2</v>
      </c>
      <c r="C866" s="6">
        <v>0.45500943599999999</v>
      </c>
    </row>
    <row r="867" spans="1:3" x14ac:dyDescent="0.25">
      <c r="A867" s="6" t="s">
        <v>1878</v>
      </c>
      <c r="B867" s="6">
        <v>3.1472459999999998E-3</v>
      </c>
      <c r="C867" s="6">
        <v>0.54330162699999995</v>
      </c>
    </row>
    <row r="868" spans="1:3" x14ac:dyDescent="0.25">
      <c r="A868" s="6" t="s">
        <v>1879</v>
      </c>
      <c r="B868" s="6">
        <v>2.1757117999999999E-2</v>
      </c>
      <c r="C868" s="6">
        <v>0.19195373600000001</v>
      </c>
    </row>
    <row r="869" spans="1:3" x14ac:dyDescent="0.25">
      <c r="A869" s="6" t="s">
        <v>1880</v>
      </c>
      <c r="B869" s="6">
        <v>8.8660473000000004E-2</v>
      </c>
      <c r="C869" s="6">
        <v>0.89776595199999998</v>
      </c>
    </row>
    <row r="870" spans="1:3" x14ac:dyDescent="0.25">
      <c r="A870" s="6" t="s">
        <v>1881</v>
      </c>
      <c r="B870" s="6">
        <v>2.1079624000000002E-2</v>
      </c>
      <c r="C870" s="6">
        <v>0.22516493200000001</v>
      </c>
    </row>
    <row r="871" spans="1:3" x14ac:dyDescent="0.25">
      <c r="A871" s="6" t="s">
        <v>1882</v>
      </c>
      <c r="B871" s="6">
        <v>4.9071591999999997E-2</v>
      </c>
      <c r="C871" s="6">
        <v>0.40880756299999998</v>
      </c>
    </row>
    <row r="872" spans="1:3" x14ac:dyDescent="0.25">
      <c r="A872" s="6" t="s">
        <v>1883</v>
      </c>
      <c r="B872" s="6">
        <v>1.035881E-2</v>
      </c>
      <c r="C872" s="6">
        <v>1.5748274999999999E-2</v>
      </c>
    </row>
    <row r="873" spans="1:3" x14ac:dyDescent="0.25">
      <c r="A873" s="6" t="s">
        <v>1884</v>
      </c>
      <c r="B873" s="6">
        <v>1.9980510999999999E-2</v>
      </c>
      <c r="C873" s="6">
        <v>6.1392627999999998E-2</v>
      </c>
    </row>
    <row r="874" spans="1:3" x14ac:dyDescent="0.25">
      <c r="A874" s="6" t="s">
        <v>1885</v>
      </c>
      <c r="B874" s="6">
        <v>6.8064010000000001E-3</v>
      </c>
      <c r="C874" s="6">
        <v>0.63321688799999998</v>
      </c>
    </row>
    <row r="875" spans="1:3" x14ac:dyDescent="0.25">
      <c r="A875" s="6" t="s">
        <v>1886</v>
      </c>
      <c r="B875" s="6">
        <v>3.2621747999999999E-2</v>
      </c>
      <c r="C875" s="6">
        <v>0.34670300799999998</v>
      </c>
    </row>
    <row r="876" spans="1:3" x14ac:dyDescent="0.25">
      <c r="A876" s="6" t="s">
        <v>1887</v>
      </c>
      <c r="B876" s="6">
        <v>0.19651892900000001</v>
      </c>
      <c r="C876" s="6">
        <v>1.612185322</v>
      </c>
    </row>
    <row r="877" spans="1:3" x14ac:dyDescent="0.25">
      <c r="A877" s="6" t="s">
        <v>1888</v>
      </c>
      <c r="B877" s="6">
        <v>4.7738933999999997E-2</v>
      </c>
      <c r="C877" s="6">
        <v>4.0315702030000002</v>
      </c>
    </row>
    <row r="878" spans="1:3" x14ac:dyDescent="0.25">
      <c r="A878" s="6" t="s">
        <v>1889</v>
      </c>
      <c r="B878" s="6">
        <v>0.16537241699999999</v>
      </c>
      <c r="C878" s="6">
        <v>1.8366092759999999</v>
      </c>
    </row>
    <row r="879" spans="1:3" x14ac:dyDescent="0.25">
      <c r="A879" s="6" t="s">
        <v>1890</v>
      </c>
      <c r="B879" s="6">
        <v>3.0407782000000001E-2</v>
      </c>
      <c r="C879" s="6">
        <v>1.1512541780000001</v>
      </c>
    </row>
    <row r="880" spans="1:3" x14ac:dyDescent="0.25">
      <c r="A880" s="6" t="s">
        <v>1891</v>
      </c>
      <c r="B880" s="6">
        <v>1.8547468000000001E-2</v>
      </c>
      <c r="C880" s="6">
        <v>0.16854448899999999</v>
      </c>
    </row>
    <row r="881" spans="1:3" x14ac:dyDescent="0.25">
      <c r="A881" s="6" t="s">
        <v>1892</v>
      </c>
      <c r="B881" s="6">
        <v>4.4973525E-2</v>
      </c>
      <c r="C881" s="6">
        <v>0.34494811800000003</v>
      </c>
    </row>
    <row r="882" spans="1:3" x14ac:dyDescent="0.25">
      <c r="A882" s="6" t="s">
        <v>1893</v>
      </c>
      <c r="B882" s="6">
        <v>5.3122610000000001E-2</v>
      </c>
      <c r="C882" s="6">
        <v>8.4451079999999998E-2</v>
      </c>
    </row>
    <row r="883" spans="1:3" x14ac:dyDescent="0.25">
      <c r="A883" s="6" t="s">
        <v>1894</v>
      </c>
      <c r="B883" s="6">
        <v>5.0880662E-2</v>
      </c>
      <c r="C883" s="6">
        <v>0.73046424300000001</v>
      </c>
    </row>
    <row r="884" spans="1:3" x14ac:dyDescent="0.25">
      <c r="A884" s="6" t="s">
        <v>1895</v>
      </c>
      <c r="B884" s="6">
        <v>2.7748579999999998E-2</v>
      </c>
      <c r="C884" s="6">
        <v>4.1724228000000002E-2</v>
      </c>
    </row>
    <row r="885" spans="1:3" x14ac:dyDescent="0.25">
      <c r="A885" s="6" t="s">
        <v>1896</v>
      </c>
      <c r="B885" s="6">
        <v>0.109314221</v>
      </c>
      <c r="C885" s="6">
        <v>0.82002813200000002</v>
      </c>
    </row>
    <row r="886" spans="1:3" x14ac:dyDescent="0.25">
      <c r="A886" s="6" t="s">
        <v>1897</v>
      </c>
      <c r="B886" s="6">
        <v>1.9527322999999999E-2</v>
      </c>
      <c r="C886" s="6">
        <v>0.116112649</v>
      </c>
    </row>
    <row r="887" spans="1:3" x14ac:dyDescent="0.25">
      <c r="A887" s="6" t="s">
        <v>1898</v>
      </c>
      <c r="B887" s="6">
        <v>3.2208689999999999E-3</v>
      </c>
      <c r="C887" s="6">
        <v>8.3413213999999999E-2</v>
      </c>
    </row>
    <row r="888" spans="1:3" x14ac:dyDescent="0.25">
      <c r="A888" s="6" t="s">
        <v>1899</v>
      </c>
      <c r="B888" s="6">
        <v>3.0352364E-2</v>
      </c>
      <c r="C888" s="6">
        <v>0.35934184699999999</v>
      </c>
    </row>
    <row r="889" spans="1:3" x14ac:dyDescent="0.25">
      <c r="A889" s="6" t="s">
        <v>1900</v>
      </c>
      <c r="B889" s="6">
        <v>2.5382150999999999E-2</v>
      </c>
      <c r="C889" s="6">
        <v>0.43467145600000001</v>
      </c>
    </row>
    <row r="890" spans="1:3" x14ac:dyDescent="0.25">
      <c r="A890" s="6" t="s">
        <v>1901</v>
      </c>
      <c r="B890" s="6">
        <v>1.6753038000000001E-2</v>
      </c>
      <c r="C890" s="6">
        <v>0.28271206399999999</v>
      </c>
    </row>
    <row r="891" spans="1:3" x14ac:dyDescent="0.25">
      <c r="A891" s="6" t="s">
        <v>1902</v>
      </c>
      <c r="B891" s="6">
        <v>6.1555683E-2</v>
      </c>
      <c r="C891" s="6">
        <v>0.432817322</v>
      </c>
    </row>
    <row r="892" spans="1:3" x14ac:dyDescent="0.25">
      <c r="A892" s="6" t="s">
        <v>1903</v>
      </c>
      <c r="B892" s="6">
        <v>2.2364508000000002E-2</v>
      </c>
      <c r="C892" s="6">
        <v>8.5451003999999997E-2</v>
      </c>
    </row>
    <row r="893" spans="1:3" x14ac:dyDescent="0.25">
      <c r="A893" s="6" t="s">
        <v>1904</v>
      </c>
      <c r="B893" s="6">
        <v>3.1340936999999999E-2</v>
      </c>
      <c r="C893" s="6">
        <v>1.1310126E-2</v>
      </c>
    </row>
    <row r="894" spans="1:3" x14ac:dyDescent="0.25">
      <c r="A894" s="6" t="s">
        <v>1905</v>
      </c>
      <c r="B894" s="6">
        <v>1.2125044E-2</v>
      </c>
      <c r="C894" s="6">
        <v>8.9789122999999998E-2</v>
      </c>
    </row>
    <row r="895" spans="1:3" x14ac:dyDescent="0.25">
      <c r="A895" s="6" t="s">
        <v>1906</v>
      </c>
      <c r="B895" s="6">
        <v>1.4906699000000001E-2</v>
      </c>
      <c r="C895" s="6">
        <v>2.4451500000000001E-2</v>
      </c>
    </row>
    <row r="896" spans="1:3" x14ac:dyDescent="0.25">
      <c r="A896" s="6" t="s">
        <v>1907</v>
      </c>
      <c r="B896" s="6">
        <v>6.5545860999999997E-2</v>
      </c>
      <c r="C896" s="6">
        <v>1.415778956</v>
      </c>
    </row>
    <row r="897" spans="1:3" x14ac:dyDescent="0.25">
      <c r="A897" s="6" t="s">
        <v>1908</v>
      </c>
      <c r="B897" s="6">
        <v>7.6444390000000001E-2</v>
      </c>
      <c r="C897" s="6">
        <v>1.3864718549999999</v>
      </c>
    </row>
    <row r="898" spans="1:3" x14ac:dyDescent="0.25">
      <c r="A898" s="6" t="s">
        <v>1909</v>
      </c>
      <c r="B898" s="6">
        <v>1.2557916000000001E-2</v>
      </c>
      <c r="C898" s="6">
        <v>1.0062537979999999</v>
      </c>
    </row>
    <row r="899" spans="1:3" x14ac:dyDescent="0.25">
      <c r="A899" s="6" t="s">
        <v>1910</v>
      </c>
      <c r="B899" s="6">
        <v>2.5756567000000001E-2</v>
      </c>
      <c r="C899" s="6">
        <v>0.169654</v>
      </c>
    </row>
    <row r="900" spans="1:3" x14ac:dyDescent="0.25">
      <c r="A900" s="6" t="s">
        <v>1911</v>
      </c>
      <c r="B900" s="6">
        <v>1.8509429000000001E-2</v>
      </c>
      <c r="C900" s="6">
        <v>0.39905243800000001</v>
      </c>
    </row>
    <row r="901" spans="1:3" x14ac:dyDescent="0.25">
      <c r="A901" s="6" t="s">
        <v>1913</v>
      </c>
      <c r="B901" s="6">
        <v>2.8062578000000001E-2</v>
      </c>
      <c r="C901" s="6">
        <v>0.469120168</v>
      </c>
    </row>
    <row r="902" spans="1:3" x14ac:dyDescent="0.25">
      <c r="A902" s="6" t="s">
        <v>1914</v>
      </c>
      <c r="B902" s="6">
        <v>7.9107733E-2</v>
      </c>
      <c r="C902" s="6">
        <v>0.186289174</v>
      </c>
    </row>
    <row r="903" spans="1:3" x14ac:dyDescent="0.25">
      <c r="A903" s="6" t="s">
        <v>1915</v>
      </c>
      <c r="B903" s="6">
        <v>1.4008257E-2</v>
      </c>
      <c r="C903" s="6">
        <v>0.23120417500000001</v>
      </c>
    </row>
    <row r="904" spans="1:3" x14ac:dyDescent="0.25">
      <c r="A904" s="6" t="s">
        <v>1916</v>
      </c>
      <c r="B904" s="6">
        <v>1.3952767E-2</v>
      </c>
      <c r="C904" s="6">
        <v>0.15685739200000001</v>
      </c>
    </row>
    <row r="905" spans="1:3" x14ac:dyDescent="0.25">
      <c r="A905" s="6" t="s">
        <v>1917</v>
      </c>
      <c r="B905" s="6">
        <v>1.8173996000000001E-2</v>
      </c>
      <c r="C905" s="6">
        <v>0.266915984</v>
      </c>
    </row>
    <row r="906" spans="1:3" x14ac:dyDescent="0.25">
      <c r="A906" s="6" t="s">
        <v>1918</v>
      </c>
      <c r="B906" s="6">
        <v>2.6429227999999999E-2</v>
      </c>
      <c r="C906" s="6">
        <v>1.228930549</v>
      </c>
    </row>
    <row r="907" spans="1:3" x14ac:dyDescent="0.25">
      <c r="A907" s="6" t="s">
        <v>1919</v>
      </c>
      <c r="B907" s="6">
        <v>6.913242E-3</v>
      </c>
      <c r="C907" s="6">
        <v>0.19887043300000001</v>
      </c>
    </row>
    <row r="908" spans="1:3" x14ac:dyDescent="0.25">
      <c r="A908" s="6" t="s">
        <v>1920</v>
      </c>
      <c r="B908" s="6">
        <v>2.1418771E-2</v>
      </c>
      <c r="C908" s="6">
        <v>2.6662814999999999E-2</v>
      </c>
    </row>
    <row r="909" spans="1:3" x14ac:dyDescent="0.25">
      <c r="A909" s="6" t="s">
        <v>1921</v>
      </c>
      <c r="B909" s="6">
        <v>1.0425373E-2</v>
      </c>
      <c r="C909" s="6">
        <v>0.37712485099999998</v>
      </c>
    </row>
    <row r="910" spans="1:3" x14ac:dyDescent="0.25">
      <c r="A910" s="6" t="s">
        <v>1922</v>
      </c>
      <c r="B910" s="6">
        <v>2.0275886E-2</v>
      </c>
      <c r="C910" s="6">
        <v>0.27635396800000001</v>
      </c>
    </row>
    <row r="911" spans="1:3" x14ac:dyDescent="0.25">
      <c r="A911" s="6" t="s">
        <v>1923</v>
      </c>
      <c r="B911" s="6">
        <v>8.1337590000000008E-3</v>
      </c>
      <c r="C911" s="6">
        <v>9.7959848000000002E-2</v>
      </c>
    </row>
    <row r="912" spans="1:3" x14ac:dyDescent="0.25">
      <c r="A912" s="6" t="s">
        <v>1924</v>
      </c>
      <c r="B912" s="6">
        <v>1.5505257E-2</v>
      </c>
      <c r="C912" s="6">
        <v>7.2285379999999996E-2</v>
      </c>
    </row>
    <row r="913" spans="1:3" x14ac:dyDescent="0.25">
      <c r="A913" s="6" t="s">
        <v>1925</v>
      </c>
      <c r="B913" s="6">
        <v>4.6768684999999997E-2</v>
      </c>
      <c r="C913" s="6">
        <v>1.7284555340000001</v>
      </c>
    </row>
    <row r="914" spans="1:3" x14ac:dyDescent="0.25">
      <c r="A914" s="6" t="s">
        <v>1926</v>
      </c>
      <c r="B914" s="6">
        <v>6.3268519999999995E-2</v>
      </c>
      <c r="C914" s="6">
        <v>2.76224655</v>
      </c>
    </row>
    <row r="915" spans="1:3" x14ac:dyDescent="0.25">
      <c r="A915" s="6" t="s">
        <v>1927</v>
      </c>
      <c r="B915" s="6">
        <v>3.7754279000000002E-2</v>
      </c>
      <c r="C915" s="6">
        <v>0.20824206000000001</v>
      </c>
    </row>
    <row r="916" spans="1:3" x14ac:dyDescent="0.25">
      <c r="A916" s="6" t="s">
        <v>1928</v>
      </c>
      <c r="B916" s="6">
        <v>3.4423863999999998E-2</v>
      </c>
      <c r="C916" s="6">
        <v>1.7922001139999999</v>
      </c>
    </row>
    <row r="917" spans="1:3" x14ac:dyDescent="0.25">
      <c r="A917" s="6" t="s">
        <v>1929</v>
      </c>
      <c r="B917" s="6">
        <v>3.5725510000000002E-2</v>
      </c>
      <c r="C917" s="6">
        <v>2.709899794</v>
      </c>
    </row>
    <row r="918" spans="1:3" x14ac:dyDescent="0.25">
      <c r="A918" s="6" t="s">
        <v>1930</v>
      </c>
      <c r="B918" s="6">
        <v>6.7642069999999999E-2</v>
      </c>
      <c r="C918" s="6">
        <v>0.86963204400000005</v>
      </c>
    </row>
    <row r="919" spans="1:3" x14ac:dyDescent="0.25">
      <c r="A919" s="6" t="s">
        <v>1931</v>
      </c>
      <c r="B919" s="6">
        <v>0.30750588200000001</v>
      </c>
      <c r="C919" s="6">
        <v>0.37527303000000001</v>
      </c>
    </row>
    <row r="920" spans="1:3" x14ac:dyDescent="0.25">
      <c r="A920" s="6" t="s">
        <v>1932</v>
      </c>
      <c r="B920" s="6">
        <v>6.1506270000000002E-2</v>
      </c>
      <c r="C920" s="6">
        <v>0.619174275</v>
      </c>
    </row>
    <row r="921" spans="1:3" x14ac:dyDescent="0.25">
      <c r="A921" s="6" t="s">
        <v>1933</v>
      </c>
      <c r="B921" s="6">
        <v>0.40160632899999998</v>
      </c>
      <c r="C921" s="6">
        <v>1.9363239000000001E-2</v>
      </c>
    </row>
    <row r="922" spans="1:3" x14ac:dyDescent="0.25">
      <c r="A922" s="6" t="s">
        <v>1934</v>
      </c>
      <c r="B922" s="6">
        <v>1.2953756E-2</v>
      </c>
      <c r="C922" s="6">
        <v>7.8179029999999993E-3</v>
      </c>
    </row>
    <row r="923" spans="1:3" x14ac:dyDescent="0.25">
      <c r="A923" s="6" t="s">
        <v>1935</v>
      </c>
      <c r="B923" s="6">
        <v>4.2489712999999998E-2</v>
      </c>
      <c r="C923" s="6">
        <v>6.8414167999999997E-2</v>
      </c>
    </row>
    <row r="924" spans="1:3" x14ac:dyDescent="0.25">
      <c r="A924" s="6" t="s">
        <v>1936</v>
      </c>
      <c r="B924" s="6">
        <v>0.33922859799999999</v>
      </c>
      <c r="C924" s="6">
        <v>0.474534764</v>
      </c>
    </row>
    <row r="925" spans="1:3" x14ac:dyDescent="0.25">
      <c r="A925" s="6" t="s">
        <v>1937</v>
      </c>
      <c r="B925" s="6">
        <v>7.4446929999999996E-3</v>
      </c>
      <c r="C925" s="6">
        <v>0.25036277600000001</v>
      </c>
    </row>
    <row r="926" spans="1:3" x14ac:dyDescent="0.25">
      <c r="A926" s="6" t="s">
        <v>1938</v>
      </c>
      <c r="B926" s="6">
        <v>3.1367120999999998E-2</v>
      </c>
      <c r="C926" s="6">
        <v>0.41757920700000001</v>
      </c>
    </row>
    <row r="927" spans="1:3" x14ac:dyDescent="0.25">
      <c r="A927" s="6" t="s">
        <v>1939</v>
      </c>
      <c r="B927" s="6">
        <v>1.9209332999999999E-2</v>
      </c>
      <c r="C927" s="6">
        <v>0.39747886900000001</v>
      </c>
    </row>
    <row r="928" spans="1:3" x14ac:dyDescent="0.25">
      <c r="A928" s="6" t="s">
        <v>1940</v>
      </c>
      <c r="B928" s="6">
        <v>0.11676460399999999</v>
      </c>
      <c r="C928" s="6">
        <v>0.67953533200000005</v>
      </c>
    </row>
    <row r="929" spans="1:3" x14ac:dyDescent="0.25">
      <c r="A929" s="6" t="s">
        <v>1941</v>
      </c>
      <c r="B929" s="6">
        <v>2.751719E-2</v>
      </c>
      <c r="C929" s="6">
        <v>0.57315246099999995</v>
      </c>
    </row>
    <row r="930" spans="1:3" x14ac:dyDescent="0.25">
      <c r="A930" s="6" t="s">
        <v>1942</v>
      </c>
      <c r="B930" s="6">
        <v>0.10129986000000001</v>
      </c>
      <c r="C930" s="6">
        <v>0.56810945999999996</v>
      </c>
    </row>
    <row r="931" spans="1:3" x14ac:dyDescent="0.25">
      <c r="A931" s="6" t="s">
        <v>1944</v>
      </c>
      <c r="B931" s="6">
        <v>4.3266728999999997E-2</v>
      </c>
      <c r="C931" s="6">
        <v>3.8674251310000001</v>
      </c>
    </row>
    <row r="932" spans="1:3" x14ac:dyDescent="0.25">
      <c r="A932" s="6" t="s">
        <v>1945</v>
      </c>
      <c r="B932" s="6">
        <v>6.3093079999999996E-3</v>
      </c>
      <c r="C932" s="6">
        <v>0.118375144</v>
      </c>
    </row>
    <row r="933" spans="1:3" x14ac:dyDescent="0.25">
      <c r="A933" s="6" t="s">
        <v>1946</v>
      </c>
      <c r="B933" s="6">
        <v>0.13650980800000001</v>
      </c>
      <c r="C933" s="6">
        <v>0.72649224800000001</v>
      </c>
    </row>
    <row r="934" spans="1:3" x14ac:dyDescent="0.25">
      <c r="A934" s="6" t="s">
        <v>1947</v>
      </c>
      <c r="B934" s="6">
        <v>8.4147530000000005E-3</v>
      </c>
      <c r="C934" s="6">
        <v>4.0860075169999996</v>
      </c>
    </row>
    <row r="935" spans="1:3" x14ac:dyDescent="0.25">
      <c r="A935" s="6" t="s">
        <v>1948</v>
      </c>
      <c r="B935" s="6">
        <v>0.24241368099999999</v>
      </c>
      <c r="C935" s="6">
        <v>0.56741299599999995</v>
      </c>
    </row>
    <row r="936" spans="1:3" x14ac:dyDescent="0.25">
      <c r="A936" s="6" t="s">
        <v>1949</v>
      </c>
      <c r="B936" s="6">
        <v>1.3270934999999999E-2</v>
      </c>
      <c r="C936" s="6">
        <v>0.56250225899999995</v>
      </c>
    </row>
    <row r="937" spans="1:3" x14ac:dyDescent="0.25">
      <c r="A937" s="6" t="s">
        <v>1950</v>
      </c>
      <c r="B937" s="6">
        <v>4.887242E-3</v>
      </c>
      <c r="C937" s="6">
        <v>0.28340193800000002</v>
      </c>
    </row>
    <row r="938" spans="1:3" x14ac:dyDescent="0.25">
      <c r="A938" s="6" t="s">
        <v>1951</v>
      </c>
      <c r="B938" s="6">
        <v>1.5431161000000001E-2</v>
      </c>
      <c r="C938" s="6">
        <v>0.16050297699999999</v>
      </c>
    </row>
    <row r="939" spans="1:3" x14ac:dyDescent="0.25">
      <c r="A939" s="6" t="s">
        <v>1952</v>
      </c>
      <c r="B939" s="6">
        <v>0.12935281800000001</v>
      </c>
      <c r="C939" s="6">
        <v>1.8175884490000001</v>
      </c>
    </row>
    <row r="940" spans="1:3" x14ac:dyDescent="0.25">
      <c r="A940" s="6" t="s">
        <v>1954</v>
      </c>
      <c r="B940" s="6">
        <v>6.1944489999999998E-2</v>
      </c>
      <c r="C940" s="6">
        <v>1.094440785</v>
      </c>
    </row>
    <row r="941" spans="1:3" x14ac:dyDescent="0.25">
      <c r="A941" s="6" t="s">
        <v>1955</v>
      </c>
      <c r="B941" s="6">
        <v>1.3162485E-2</v>
      </c>
      <c r="C941" s="6">
        <v>0.30994929399999999</v>
      </c>
    </row>
    <row r="942" spans="1:3" x14ac:dyDescent="0.25">
      <c r="A942" s="6" t="s">
        <v>1957</v>
      </c>
      <c r="B942" s="6">
        <v>5.2376374000000003E-2</v>
      </c>
      <c r="C942" s="6">
        <v>0.26608046499999999</v>
      </c>
    </row>
    <row r="943" spans="1:3" x14ac:dyDescent="0.25">
      <c r="A943" s="6" t="s">
        <v>1958</v>
      </c>
      <c r="B943" s="6">
        <v>0.28059258999999998</v>
      </c>
      <c r="C943" s="6">
        <v>0.69001075300000003</v>
      </c>
    </row>
    <row r="944" spans="1:3" x14ac:dyDescent="0.25">
      <c r="A944" s="6" t="s">
        <v>1959</v>
      </c>
      <c r="B944" s="6">
        <v>5.4519511999999999E-2</v>
      </c>
      <c r="C944" s="6">
        <v>1.960778605</v>
      </c>
    </row>
    <row r="945" spans="1:3" x14ac:dyDescent="0.25">
      <c r="A945" s="6" t="s">
        <v>1960</v>
      </c>
      <c r="B945" s="6">
        <v>4.1650186999999998E-2</v>
      </c>
      <c r="C945" s="6">
        <v>0.42245770900000001</v>
      </c>
    </row>
    <row r="946" spans="1:3" x14ac:dyDescent="0.25">
      <c r="A946" s="6" t="s">
        <v>1961</v>
      </c>
      <c r="B946" s="6">
        <v>4.5704236000000002E-2</v>
      </c>
      <c r="C946" s="6">
        <v>7.6862332000000005E-2</v>
      </c>
    </row>
    <row r="947" spans="1:3" x14ac:dyDescent="0.25">
      <c r="A947" s="6" t="s">
        <v>1962</v>
      </c>
      <c r="B947" s="6">
        <v>4.6573769000000001E-2</v>
      </c>
      <c r="C947" s="6">
        <v>1.4152153009999999</v>
      </c>
    </row>
    <row r="948" spans="1:3" x14ac:dyDescent="0.25">
      <c r="A948" s="6" t="s">
        <v>1963</v>
      </c>
      <c r="B948" s="6">
        <v>2.0443073999999999E-2</v>
      </c>
      <c r="C948" s="6">
        <v>1.8547611610000001</v>
      </c>
    </row>
    <row r="949" spans="1:3" x14ac:dyDescent="0.25">
      <c r="A949" s="6" t="s">
        <v>1964</v>
      </c>
      <c r="B949" s="6">
        <v>0.59789404999999995</v>
      </c>
      <c r="C949" s="6">
        <v>2.8349849210000002</v>
      </c>
    </row>
    <row r="950" spans="1:3" x14ac:dyDescent="0.25">
      <c r="A950" s="6" t="s">
        <v>1965</v>
      </c>
      <c r="B950" s="6">
        <v>7.4865692999999997E-2</v>
      </c>
      <c r="C950" s="6">
        <v>1.3197663959999999</v>
      </c>
    </row>
    <row r="951" spans="1:3" x14ac:dyDescent="0.25">
      <c r="A951" s="6" t="s">
        <v>1966</v>
      </c>
      <c r="B951" s="6">
        <v>0.97337553499999996</v>
      </c>
      <c r="C951" s="6">
        <v>5.590171292</v>
      </c>
    </row>
    <row r="952" spans="1:3" x14ac:dyDescent="0.25">
      <c r="A952" s="6" t="s">
        <v>1967</v>
      </c>
      <c r="B952" s="6">
        <v>4.3604055000000003E-2</v>
      </c>
      <c r="C952" s="6">
        <v>0.25420770399999998</v>
      </c>
    </row>
    <row r="953" spans="1:3" x14ac:dyDescent="0.25">
      <c r="A953" s="6" t="s">
        <v>1968</v>
      </c>
      <c r="B953" s="6">
        <v>5.1543751999999998E-2</v>
      </c>
      <c r="C953" s="6">
        <v>0.86886563699999997</v>
      </c>
    </row>
    <row r="954" spans="1:3" x14ac:dyDescent="0.25">
      <c r="A954" s="6" t="s">
        <v>1969</v>
      </c>
      <c r="B954" s="6">
        <v>8.3731970000000006E-3</v>
      </c>
      <c r="C954" s="6">
        <v>0.59283191800000001</v>
      </c>
    </row>
    <row r="955" spans="1:3" x14ac:dyDescent="0.25">
      <c r="A955" s="6" t="s">
        <v>1970</v>
      </c>
      <c r="B955" s="6">
        <v>5.6467902E-2</v>
      </c>
      <c r="C955" s="6">
        <v>10.40995674</v>
      </c>
    </row>
    <row r="956" spans="1:3" x14ac:dyDescent="0.25">
      <c r="A956" s="6" t="s">
        <v>1971</v>
      </c>
      <c r="B956" s="6">
        <v>3.7149421000000002E-2</v>
      </c>
      <c r="C956" s="6">
        <v>1.132566993</v>
      </c>
    </row>
    <row r="957" spans="1:3" x14ac:dyDescent="0.25">
      <c r="A957" s="6" t="s">
        <v>1972</v>
      </c>
      <c r="B957" s="6">
        <v>6.0512719999999999E-3</v>
      </c>
      <c r="C957" s="6">
        <v>0.11856333500000001</v>
      </c>
    </row>
    <row r="958" spans="1:3" x14ac:dyDescent="0.25">
      <c r="A958" s="6" t="s">
        <v>1973</v>
      </c>
      <c r="B958" s="6">
        <v>3.9407863000000001E-2</v>
      </c>
      <c r="C958" s="6">
        <v>0.13690312499999999</v>
      </c>
    </row>
    <row r="959" spans="1:3" x14ac:dyDescent="0.25">
      <c r="A959" s="6" t="s">
        <v>1974</v>
      </c>
      <c r="B959" s="6">
        <v>0.47225058600000003</v>
      </c>
      <c r="C959" s="6">
        <v>1.888204142</v>
      </c>
    </row>
    <row r="960" spans="1:3" x14ac:dyDescent="0.25">
      <c r="A960" s="6" t="s">
        <v>1975</v>
      </c>
      <c r="B960" s="6">
        <v>6.5151257000000004E-2</v>
      </c>
      <c r="C960" s="6">
        <v>0.37547682199999999</v>
      </c>
    </row>
    <row r="961" spans="1:3" x14ac:dyDescent="0.25">
      <c r="A961" s="6" t="s">
        <v>1976</v>
      </c>
      <c r="B961" s="6">
        <v>6.4440099000000001E-2</v>
      </c>
      <c r="C961" s="6">
        <v>1.11209125</v>
      </c>
    </row>
    <row r="962" spans="1:3" x14ac:dyDescent="0.25">
      <c r="A962" s="6" t="s">
        <v>1977</v>
      </c>
      <c r="B962" s="6">
        <v>1.8057146999999999E-2</v>
      </c>
      <c r="C962" s="6">
        <v>0.336586263</v>
      </c>
    </row>
    <row r="963" spans="1:3" x14ac:dyDescent="0.25">
      <c r="A963" s="6" t="s">
        <v>1978</v>
      </c>
      <c r="B963" s="6">
        <v>8.1731269999999995E-2</v>
      </c>
      <c r="C963" s="6">
        <v>0.78553596199999998</v>
      </c>
    </row>
    <row r="964" spans="1:3" x14ac:dyDescent="0.25">
      <c r="A964" s="6" t="s">
        <v>1979</v>
      </c>
      <c r="B964" s="6">
        <v>0.175743286</v>
      </c>
      <c r="C964" s="6">
        <v>5.3061827999999998E-2</v>
      </c>
    </row>
    <row r="965" spans="1:3" x14ac:dyDescent="0.25">
      <c r="A965" s="6" t="s">
        <v>1980</v>
      </c>
      <c r="B965" s="6">
        <v>8.0614909999999998E-2</v>
      </c>
      <c r="C965" s="6">
        <v>0.86291310600000004</v>
      </c>
    </row>
    <row r="966" spans="1:3" x14ac:dyDescent="0.25">
      <c r="A966" s="6" t="s">
        <v>1981</v>
      </c>
      <c r="B966" s="6">
        <v>1.6893231000000002E-2</v>
      </c>
      <c r="C966" s="6">
        <v>0.55791523399999998</v>
      </c>
    </row>
    <row r="967" spans="1:3" x14ac:dyDescent="0.25">
      <c r="A967" s="6" t="s">
        <v>1982</v>
      </c>
      <c r="B967" s="6">
        <v>5.7011679000000003E-2</v>
      </c>
      <c r="C967" s="6">
        <v>4.2280445289999999</v>
      </c>
    </row>
    <row r="968" spans="1:3" x14ac:dyDescent="0.25">
      <c r="A968" s="6" t="s">
        <v>1983</v>
      </c>
      <c r="B968" s="6">
        <v>0.16384148200000001</v>
      </c>
      <c r="C968" s="6">
        <v>2.1958180280000001</v>
      </c>
    </row>
    <row r="969" spans="1:3" x14ac:dyDescent="0.25">
      <c r="A969" s="6" t="s">
        <v>1984</v>
      </c>
      <c r="B969" s="6">
        <v>2.3364309999999999E-2</v>
      </c>
      <c r="C969" s="6">
        <v>0.98952044800000005</v>
      </c>
    </row>
    <row r="970" spans="1:3" x14ac:dyDescent="0.25">
      <c r="A970" s="6" t="s">
        <v>1985</v>
      </c>
      <c r="B970" s="6">
        <v>7.0790840000000002E-3</v>
      </c>
      <c r="C970" s="6">
        <v>1.7162383830000001</v>
      </c>
    </row>
    <row r="971" spans="1:3" x14ac:dyDescent="0.25">
      <c r="A971" s="6" t="s">
        <v>1987</v>
      </c>
      <c r="B971" s="6">
        <v>4.5954149999999999E-2</v>
      </c>
      <c r="C971" s="6">
        <v>3.5026087659999998</v>
      </c>
    </row>
    <row r="972" spans="1:3" x14ac:dyDescent="0.25">
      <c r="A972" s="6" t="s">
        <v>1988</v>
      </c>
      <c r="B972" s="6">
        <v>6.4125534999999997E-2</v>
      </c>
      <c r="C972" s="6">
        <v>0.59765175699999995</v>
      </c>
    </row>
    <row r="973" spans="1:3" x14ac:dyDescent="0.25">
      <c r="A973" s="6" t="s">
        <v>1989</v>
      </c>
      <c r="B973" s="6">
        <v>0.27767710699999998</v>
      </c>
      <c r="C973" s="6">
        <v>2.4699289900000001</v>
      </c>
    </row>
    <row r="974" spans="1:3" x14ac:dyDescent="0.25">
      <c r="A974" s="6" t="s">
        <v>1990</v>
      </c>
      <c r="B974" s="6">
        <v>4.9990167000000002E-2</v>
      </c>
      <c r="C974" s="6">
        <v>0.58359391400000005</v>
      </c>
    </row>
    <row r="975" spans="1:3" x14ac:dyDescent="0.25">
      <c r="A975" s="6" t="s">
        <v>1991</v>
      </c>
      <c r="B975" s="6">
        <v>3.9544856000000003E-2</v>
      </c>
      <c r="C975" s="6">
        <v>0.86405720799999997</v>
      </c>
    </row>
    <row r="976" spans="1:3" x14ac:dyDescent="0.25">
      <c r="A976" s="6" t="s">
        <v>1992</v>
      </c>
      <c r="B976" s="6">
        <v>1.114383978</v>
      </c>
      <c r="C976" s="6">
        <v>9.0769918230000002</v>
      </c>
    </row>
    <row r="977" spans="1:3" x14ac:dyDescent="0.25">
      <c r="A977" s="6" t="s">
        <v>1993</v>
      </c>
      <c r="B977" s="6">
        <v>1.6150115999999999E-2</v>
      </c>
      <c r="C977" s="6">
        <v>0.22229459500000001</v>
      </c>
    </row>
    <row r="978" spans="1:3" x14ac:dyDescent="0.25">
      <c r="A978" s="6" t="s">
        <v>1994</v>
      </c>
      <c r="B978" s="6">
        <v>0.222837488</v>
      </c>
      <c r="C978" s="6">
        <v>3.0755300600000002</v>
      </c>
    </row>
    <row r="979" spans="1:3" x14ac:dyDescent="0.25">
      <c r="A979" s="6" t="s">
        <v>1995</v>
      </c>
      <c r="B979" s="6">
        <v>7.4455868999999994E-2</v>
      </c>
      <c r="C979" s="6">
        <v>1.2113541459999999</v>
      </c>
    </row>
    <row r="980" spans="1:3" x14ac:dyDescent="0.25">
      <c r="A980" s="6" t="s">
        <v>1996</v>
      </c>
      <c r="B980" s="6">
        <v>9.4449566999999998E-2</v>
      </c>
      <c r="C980" s="6">
        <v>0.81707725799999997</v>
      </c>
    </row>
    <row r="981" spans="1:3" x14ac:dyDescent="0.25">
      <c r="A981" s="6" t="s">
        <v>1997</v>
      </c>
      <c r="B981" s="6">
        <v>0.17237996899999999</v>
      </c>
      <c r="C981" s="6">
        <v>2.4183419989999999</v>
      </c>
    </row>
    <row r="982" spans="1:3" x14ac:dyDescent="0.25">
      <c r="A982" s="6" t="s">
        <v>1998</v>
      </c>
      <c r="B982" s="6">
        <v>3.0301327999999999E-2</v>
      </c>
      <c r="C982" s="6">
        <v>0.204564204</v>
      </c>
    </row>
    <row r="983" spans="1:3" x14ac:dyDescent="0.25">
      <c r="A983" s="6" t="s">
        <v>1999</v>
      </c>
      <c r="B983" s="6">
        <v>3.1273885000000001E-2</v>
      </c>
      <c r="C983" s="6">
        <v>0.94735616499999997</v>
      </c>
    </row>
    <row r="984" spans="1:3" x14ac:dyDescent="0.25">
      <c r="A984" s="6" t="s">
        <v>2000</v>
      </c>
      <c r="B984" s="6">
        <v>1.6350234000000002E-2</v>
      </c>
      <c r="C984" s="6">
        <v>0.48152664499999998</v>
      </c>
    </row>
    <row r="985" spans="1:3" x14ac:dyDescent="0.25">
      <c r="A985" s="6" t="s">
        <v>2001</v>
      </c>
      <c r="B985" s="6">
        <v>0.26332213599999998</v>
      </c>
      <c r="C985" s="6">
        <v>0.63785577400000004</v>
      </c>
    </row>
    <row r="986" spans="1:3" x14ac:dyDescent="0.25">
      <c r="A986" s="6" t="s">
        <v>2002</v>
      </c>
      <c r="B986" s="6">
        <v>5.0047765000000001E-2</v>
      </c>
      <c r="C986" s="6">
        <v>2.831141825</v>
      </c>
    </row>
    <row r="987" spans="1:3" x14ac:dyDescent="0.25">
      <c r="A987" s="6" t="s">
        <v>2003</v>
      </c>
      <c r="B987" s="6">
        <v>6.7348301999999999E-2</v>
      </c>
      <c r="C987" s="6">
        <v>0.20126756700000001</v>
      </c>
    </row>
    <row r="988" spans="1:3" x14ac:dyDescent="0.25">
      <c r="A988" s="6" t="s">
        <v>2004</v>
      </c>
      <c r="B988" s="6">
        <v>2.7688819E-2</v>
      </c>
      <c r="C988" s="6">
        <v>0.234080072</v>
      </c>
    </row>
    <row r="989" spans="1:3" x14ac:dyDescent="0.25">
      <c r="A989" s="6" t="s">
        <v>2005</v>
      </c>
      <c r="B989" s="6">
        <v>2.4786678999999999E-2</v>
      </c>
      <c r="C989" s="6">
        <v>1.885317817</v>
      </c>
    </row>
    <row r="990" spans="1:3" x14ac:dyDescent="0.25">
      <c r="A990" s="6" t="s">
        <v>2006</v>
      </c>
      <c r="B990" s="6">
        <v>5.4537618000000003E-2</v>
      </c>
      <c r="C990" s="6">
        <v>2.311604794</v>
      </c>
    </row>
    <row r="991" spans="1:3" x14ac:dyDescent="0.25">
      <c r="A991" s="6" t="s">
        <v>2007</v>
      </c>
      <c r="B991" s="6">
        <v>3.1973973000000003E-2</v>
      </c>
      <c r="C991" s="6">
        <v>0.70407551999999995</v>
      </c>
    </row>
    <row r="992" spans="1:3" x14ac:dyDescent="0.25">
      <c r="A992" s="6" t="s">
        <v>2008</v>
      </c>
      <c r="B992" s="6">
        <v>1.7743735E-2</v>
      </c>
      <c r="C992" s="6">
        <v>0.32124196100000002</v>
      </c>
    </row>
    <row r="993" spans="1:3" x14ac:dyDescent="0.25">
      <c r="A993" s="6" t="s">
        <v>2009</v>
      </c>
      <c r="B993" s="6">
        <v>1.7018439E-2</v>
      </c>
      <c r="C993" s="6">
        <v>0.87650903899999999</v>
      </c>
    </row>
    <row r="994" spans="1:3" x14ac:dyDescent="0.25">
      <c r="A994" s="6" t="s">
        <v>2010</v>
      </c>
      <c r="B994" s="6">
        <v>2.9093503E-2</v>
      </c>
      <c r="C994" s="6">
        <v>4.6890812100000003</v>
      </c>
    </row>
    <row r="995" spans="1:3" x14ac:dyDescent="0.25">
      <c r="A995" s="6" t="s">
        <v>2011</v>
      </c>
      <c r="B995" s="6">
        <v>3.3226613000000002E-2</v>
      </c>
      <c r="C995" s="6">
        <v>9.1509984000000003E-2</v>
      </c>
    </row>
    <row r="996" spans="1:3" x14ac:dyDescent="0.25">
      <c r="A996" s="6" t="s">
        <v>2012</v>
      </c>
      <c r="B996" s="6">
        <v>1.5235926E-2</v>
      </c>
      <c r="C996" s="6">
        <v>0.198978658</v>
      </c>
    </row>
  </sheetData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E9737-EB5A-4458-AD59-0A32A1192587}">
  <dimension ref="A1:C996"/>
  <sheetViews>
    <sheetView workbookViewId="0">
      <selection sqref="A1:C1048576"/>
    </sheetView>
  </sheetViews>
  <sheetFormatPr defaultRowHeight="14.4" x14ac:dyDescent="0.25"/>
  <cols>
    <col min="1" max="1" width="13.77734375" style="6" customWidth="1"/>
    <col min="2" max="2" width="15.44140625" style="6" customWidth="1"/>
    <col min="3" max="3" width="17.88671875" style="6" customWidth="1"/>
  </cols>
  <sheetData>
    <row r="1" spans="1:3" x14ac:dyDescent="0.25">
      <c r="A1" s="6" t="s">
        <v>748</v>
      </c>
      <c r="B1" s="6" t="s">
        <v>2088</v>
      </c>
      <c r="C1" s="7" t="s">
        <v>2087</v>
      </c>
    </row>
    <row r="2" spans="1:3" x14ac:dyDescent="0.25">
      <c r="A2" s="6" t="s">
        <v>1003</v>
      </c>
      <c r="B2" s="6">
        <v>1.0903684E-2</v>
      </c>
      <c r="C2" s="6">
        <v>4.1590339999999998E-3</v>
      </c>
    </row>
    <row r="3" spans="1:3" x14ac:dyDescent="0.25">
      <c r="A3" s="6" t="s">
        <v>1004</v>
      </c>
      <c r="B3" s="6">
        <v>2.5446858999999999E-2</v>
      </c>
      <c r="C3" s="6">
        <v>0.25473832099999999</v>
      </c>
    </row>
    <row r="4" spans="1:3" x14ac:dyDescent="0.25">
      <c r="A4" s="6" t="s">
        <v>1005</v>
      </c>
      <c r="B4" s="6">
        <v>4.5292958000000001E-2</v>
      </c>
      <c r="C4" s="6">
        <v>0.31845035199999999</v>
      </c>
    </row>
    <row r="5" spans="1:3" x14ac:dyDescent="0.25">
      <c r="A5" s="6" t="s">
        <v>1006</v>
      </c>
      <c r="B5" s="6">
        <v>2.8652217000000001E-2</v>
      </c>
      <c r="C5" s="6">
        <v>0.64303822899999996</v>
      </c>
    </row>
    <row r="6" spans="1:3" x14ac:dyDescent="0.25">
      <c r="A6" s="6" t="s">
        <v>1007</v>
      </c>
      <c r="B6" s="6">
        <v>1.8593719000000002E-2</v>
      </c>
      <c r="C6" s="6">
        <v>0.41311920299999999</v>
      </c>
    </row>
    <row r="7" spans="1:3" x14ac:dyDescent="0.25">
      <c r="A7" s="6" t="s">
        <v>1008</v>
      </c>
      <c r="B7" s="6">
        <v>2.9970994000000001E-2</v>
      </c>
      <c r="C7" s="6">
        <v>0.53279245500000005</v>
      </c>
    </row>
    <row r="8" spans="1:3" x14ac:dyDescent="0.25">
      <c r="A8" s="6" t="s">
        <v>1009</v>
      </c>
      <c r="B8" s="6">
        <v>2.1252775000000002E-2</v>
      </c>
      <c r="C8" s="6">
        <v>0.40927203299999998</v>
      </c>
    </row>
    <row r="9" spans="1:3" x14ac:dyDescent="0.25">
      <c r="A9" s="6" t="s">
        <v>1010</v>
      </c>
      <c r="B9" s="6">
        <v>3.0323842E-2</v>
      </c>
      <c r="C9" s="6">
        <v>0.42669881199999998</v>
      </c>
    </row>
    <row r="10" spans="1:3" x14ac:dyDescent="0.25">
      <c r="A10" s="6" t="s">
        <v>1011</v>
      </c>
      <c r="B10" s="6">
        <v>1.9117945000000001E-2</v>
      </c>
      <c r="C10" s="6">
        <v>1.788028183</v>
      </c>
    </row>
    <row r="11" spans="1:3" x14ac:dyDescent="0.25">
      <c r="A11" s="6" t="s">
        <v>1012</v>
      </c>
      <c r="B11" s="6">
        <v>0.109354744</v>
      </c>
      <c r="C11" s="6">
        <v>0.124053792</v>
      </c>
    </row>
    <row r="12" spans="1:3" x14ac:dyDescent="0.25">
      <c r="A12" s="6" t="s">
        <v>1013</v>
      </c>
      <c r="B12" s="6">
        <v>2.4081574000000001E-2</v>
      </c>
      <c r="C12" s="6">
        <v>0.46600444499999999</v>
      </c>
    </row>
    <row r="13" spans="1:3" x14ac:dyDescent="0.25">
      <c r="A13" s="6" t="s">
        <v>1014</v>
      </c>
      <c r="B13" s="6">
        <v>1.3229417E-2</v>
      </c>
      <c r="C13" s="6">
        <v>0.76635785400000001</v>
      </c>
    </row>
    <row r="14" spans="1:3" x14ac:dyDescent="0.25">
      <c r="A14" s="6" t="s">
        <v>1015</v>
      </c>
      <c r="B14" s="6">
        <v>3.5075783999999999E-2</v>
      </c>
      <c r="C14" s="6">
        <v>0.20043619600000001</v>
      </c>
    </row>
    <row r="15" spans="1:3" x14ac:dyDescent="0.25">
      <c r="A15" s="6" t="s">
        <v>1016</v>
      </c>
      <c r="B15" s="6">
        <v>7.1951772999999997E-2</v>
      </c>
      <c r="C15" s="6">
        <v>0.59388595300000002</v>
      </c>
    </row>
    <row r="16" spans="1:3" x14ac:dyDescent="0.25">
      <c r="A16" s="6" t="s">
        <v>1017</v>
      </c>
      <c r="B16" s="6">
        <v>5.8086459E-2</v>
      </c>
      <c r="C16" s="6">
        <v>0.79322716999999998</v>
      </c>
    </row>
    <row r="17" spans="1:3" x14ac:dyDescent="0.25">
      <c r="A17" s="6" t="s">
        <v>1018</v>
      </c>
      <c r="B17" s="6">
        <v>0.24165879700000001</v>
      </c>
      <c r="C17" s="6">
        <v>0.29480447500000001</v>
      </c>
    </row>
    <row r="18" spans="1:3" x14ac:dyDescent="0.25">
      <c r="A18" s="6" t="s">
        <v>1019</v>
      </c>
      <c r="B18" s="6">
        <v>5.2613913999999998E-2</v>
      </c>
      <c r="C18" s="6">
        <v>0.56051579200000001</v>
      </c>
    </row>
    <row r="19" spans="1:3" x14ac:dyDescent="0.25">
      <c r="A19" s="6" t="s">
        <v>1020</v>
      </c>
      <c r="B19" s="6">
        <v>3.2865827E-2</v>
      </c>
      <c r="C19" s="6">
        <v>1.023843343</v>
      </c>
    </row>
    <row r="20" spans="1:3" x14ac:dyDescent="0.25">
      <c r="A20" s="6" t="s">
        <v>1021</v>
      </c>
      <c r="B20" s="6">
        <v>4.5625172999999998E-2</v>
      </c>
      <c r="C20" s="6">
        <v>0.90421464399999996</v>
      </c>
    </row>
    <row r="21" spans="1:3" x14ac:dyDescent="0.25">
      <c r="A21" s="6" t="s">
        <v>1022</v>
      </c>
      <c r="B21" s="6">
        <v>2.5043432000000001E-2</v>
      </c>
      <c r="C21" s="6">
        <v>0.21739988199999999</v>
      </c>
    </row>
    <row r="22" spans="1:3" x14ac:dyDescent="0.25">
      <c r="A22" s="6" t="s">
        <v>1023</v>
      </c>
      <c r="B22" s="6">
        <v>0.41399836099999998</v>
      </c>
      <c r="C22" s="6">
        <v>0.69137601800000004</v>
      </c>
    </row>
    <row r="23" spans="1:3" x14ac:dyDescent="0.25">
      <c r="A23" s="6" t="s">
        <v>1024</v>
      </c>
      <c r="B23" s="6">
        <v>1.6485238999999999E-2</v>
      </c>
      <c r="C23" s="6">
        <v>0.82107224099999998</v>
      </c>
    </row>
    <row r="24" spans="1:3" x14ac:dyDescent="0.25">
      <c r="A24" s="6" t="s">
        <v>1025</v>
      </c>
      <c r="B24" s="6">
        <v>9.1616159999999992E-3</v>
      </c>
      <c r="C24" s="6">
        <v>0.55217764499999999</v>
      </c>
    </row>
    <row r="25" spans="1:3" x14ac:dyDescent="0.25">
      <c r="A25" s="6" t="s">
        <v>1026</v>
      </c>
      <c r="B25" s="6">
        <v>3.3882909000000003E-2</v>
      </c>
      <c r="C25" s="6">
        <v>0.31944242099999998</v>
      </c>
    </row>
    <row r="26" spans="1:3" x14ac:dyDescent="0.25">
      <c r="A26" s="6" t="s">
        <v>1027</v>
      </c>
      <c r="B26" s="6">
        <v>1.3311913999999999E-2</v>
      </c>
      <c r="C26" s="6">
        <v>1.051584251</v>
      </c>
    </row>
    <row r="27" spans="1:3" x14ac:dyDescent="0.25">
      <c r="A27" s="6" t="s">
        <v>1028</v>
      </c>
      <c r="B27" s="6">
        <v>2.1197846999999999E-2</v>
      </c>
      <c r="C27" s="6">
        <v>1.147078257</v>
      </c>
    </row>
    <row r="28" spans="1:3" x14ac:dyDescent="0.25">
      <c r="A28" s="6" t="s">
        <v>1029</v>
      </c>
      <c r="B28" s="6">
        <v>2.6002264000000001E-2</v>
      </c>
      <c r="C28" s="6">
        <v>0.41212776200000001</v>
      </c>
    </row>
    <row r="29" spans="1:3" x14ac:dyDescent="0.25">
      <c r="A29" s="6" t="s">
        <v>1030</v>
      </c>
      <c r="B29" s="6">
        <v>1.9137521000000001E-2</v>
      </c>
      <c r="C29" s="6">
        <v>0.48252135499999999</v>
      </c>
    </row>
    <row r="30" spans="1:3" x14ac:dyDescent="0.25">
      <c r="A30" s="6" t="s">
        <v>1031</v>
      </c>
      <c r="B30" s="6">
        <v>2.8122174999999999E-2</v>
      </c>
      <c r="C30" s="6">
        <v>0.10920036800000001</v>
      </c>
    </row>
    <row r="31" spans="1:3" x14ac:dyDescent="0.25">
      <c r="A31" s="6" t="s">
        <v>1032</v>
      </c>
      <c r="B31" s="6">
        <v>8.6213687999999997E-2</v>
      </c>
      <c r="C31" s="6">
        <v>0.72944297499999999</v>
      </c>
    </row>
    <row r="32" spans="1:3" x14ac:dyDescent="0.25">
      <c r="A32" s="6" t="s">
        <v>1033</v>
      </c>
      <c r="B32" s="6">
        <v>3.6801939999999999E-3</v>
      </c>
      <c r="C32" s="6">
        <v>0.43529109500000002</v>
      </c>
    </row>
    <row r="33" spans="1:3" x14ac:dyDescent="0.25">
      <c r="A33" s="6" t="s">
        <v>1034</v>
      </c>
      <c r="B33" s="6">
        <v>3.5264860000000001E-3</v>
      </c>
      <c r="C33" s="6">
        <v>0.427854656</v>
      </c>
    </row>
    <row r="34" spans="1:3" x14ac:dyDescent="0.25">
      <c r="A34" s="6" t="s">
        <v>1035</v>
      </c>
      <c r="B34" s="6">
        <v>2.7537830999999999E-2</v>
      </c>
      <c r="C34" s="6">
        <v>0.65336867200000004</v>
      </c>
    </row>
    <row r="35" spans="1:3" x14ac:dyDescent="0.25">
      <c r="A35" s="6" t="s">
        <v>1036</v>
      </c>
      <c r="B35" s="6">
        <v>1.7427758000000002E-2</v>
      </c>
      <c r="C35" s="6">
        <v>0.34353946800000001</v>
      </c>
    </row>
    <row r="36" spans="1:3" x14ac:dyDescent="0.25">
      <c r="A36" s="6" t="s">
        <v>1037</v>
      </c>
      <c r="B36" s="6">
        <v>1.0155559999999999E-2</v>
      </c>
      <c r="C36" s="6">
        <v>1.002800315</v>
      </c>
    </row>
    <row r="37" spans="1:3" x14ac:dyDescent="0.25">
      <c r="A37" s="6" t="s">
        <v>1038</v>
      </c>
      <c r="B37" s="6">
        <v>2.291984E-2</v>
      </c>
      <c r="C37" s="6">
        <v>0.309466513</v>
      </c>
    </row>
    <row r="38" spans="1:3" x14ac:dyDescent="0.25">
      <c r="A38" s="6" t="s">
        <v>1039</v>
      </c>
      <c r="B38" s="6">
        <v>1.4143136000000001E-2</v>
      </c>
      <c r="C38" s="6">
        <v>0.736231839</v>
      </c>
    </row>
    <row r="39" spans="1:3" x14ac:dyDescent="0.25">
      <c r="A39" s="6" t="s">
        <v>1040</v>
      </c>
      <c r="B39" s="6">
        <v>6.5627759999999993E-2</v>
      </c>
      <c r="C39" s="6">
        <v>9.2021451000000004E-2</v>
      </c>
    </row>
    <row r="40" spans="1:3" x14ac:dyDescent="0.25">
      <c r="A40" s="6" t="s">
        <v>1041</v>
      </c>
      <c r="B40" s="6">
        <v>0.32761648100000001</v>
      </c>
      <c r="C40" s="6">
        <v>1.0283958179999999</v>
      </c>
    </row>
    <row r="41" spans="1:3" x14ac:dyDescent="0.25">
      <c r="A41" s="6" t="s">
        <v>1042</v>
      </c>
      <c r="B41" s="6">
        <v>2.7879325999999999E-2</v>
      </c>
      <c r="C41" s="6">
        <v>0.31896427100000002</v>
      </c>
    </row>
    <row r="42" spans="1:3" x14ac:dyDescent="0.25">
      <c r="A42" s="6" t="s">
        <v>1043</v>
      </c>
      <c r="B42" s="6">
        <v>3.5680470999999998E-2</v>
      </c>
      <c r="C42" s="6">
        <v>0.52307193699999999</v>
      </c>
    </row>
    <row r="43" spans="1:3" x14ac:dyDescent="0.25">
      <c r="A43" s="6" t="s">
        <v>1044</v>
      </c>
      <c r="B43" s="6">
        <v>2.9888027000000001E-2</v>
      </c>
      <c r="C43" s="6">
        <v>1.22273151</v>
      </c>
    </row>
    <row r="44" spans="1:3" x14ac:dyDescent="0.25">
      <c r="A44" s="6" t="s">
        <v>1045</v>
      </c>
      <c r="B44" s="6">
        <v>0.133098091</v>
      </c>
      <c r="C44" s="6">
        <v>0.42368683800000001</v>
      </c>
    </row>
    <row r="45" spans="1:3" x14ac:dyDescent="0.25">
      <c r="A45" s="6" t="s">
        <v>1046</v>
      </c>
      <c r="B45" s="6">
        <v>1.7583636E-2</v>
      </c>
      <c r="C45" s="6">
        <v>0.60469015500000001</v>
      </c>
    </row>
    <row r="46" spans="1:3" x14ac:dyDescent="0.25">
      <c r="A46" s="6" t="s">
        <v>1047</v>
      </c>
      <c r="B46" s="6">
        <v>6.9494990000000006E-2</v>
      </c>
      <c r="C46" s="6">
        <v>0.86455886900000001</v>
      </c>
    </row>
    <row r="47" spans="1:3" x14ac:dyDescent="0.25">
      <c r="A47" s="6" t="s">
        <v>1048</v>
      </c>
      <c r="B47" s="6">
        <v>2.3499252000000002E-2</v>
      </c>
      <c r="C47" s="6">
        <v>0.76195911599999999</v>
      </c>
    </row>
    <row r="48" spans="1:3" x14ac:dyDescent="0.25">
      <c r="A48" s="6" t="s">
        <v>1049</v>
      </c>
      <c r="B48" s="6">
        <v>6.3024845999999995E-2</v>
      </c>
      <c r="C48" s="6">
        <v>1.2376351329999999</v>
      </c>
    </row>
    <row r="49" spans="1:3" x14ac:dyDescent="0.25">
      <c r="A49" s="6" t="s">
        <v>1050</v>
      </c>
      <c r="B49" s="6">
        <v>2.3516288E-2</v>
      </c>
      <c r="C49" s="6">
        <v>2.4923036079999998</v>
      </c>
    </row>
    <row r="50" spans="1:3" x14ac:dyDescent="0.25">
      <c r="A50" s="6" t="s">
        <v>1051</v>
      </c>
      <c r="B50" s="6">
        <v>8.358525E-2</v>
      </c>
      <c r="C50" s="6">
        <v>0.53335531700000005</v>
      </c>
    </row>
    <row r="51" spans="1:3" x14ac:dyDescent="0.25">
      <c r="A51" s="6" t="s">
        <v>1052</v>
      </c>
      <c r="B51" s="6">
        <v>6.4625585999999999E-2</v>
      </c>
      <c r="C51" s="6">
        <v>1.60496543</v>
      </c>
    </row>
    <row r="52" spans="1:3" x14ac:dyDescent="0.25">
      <c r="A52" s="6" t="s">
        <v>1053</v>
      </c>
      <c r="B52" s="6">
        <v>4.2189324E-2</v>
      </c>
      <c r="C52" s="6">
        <v>0.77995063899999995</v>
      </c>
    </row>
    <row r="53" spans="1:3" x14ac:dyDescent="0.25">
      <c r="A53" s="6" t="s">
        <v>1054</v>
      </c>
      <c r="B53" s="6">
        <v>0.10064521799999999</v>
      </c>
      <c r="C53" s="6">
        <v>0.43153930600000001</v>
      </c>
    </row>
    <row r="54" spans="1:3" x14ac:dyDescent="0.25">
      <c r="A54" s="6" t="s">
        <v>1055</v>
      </c>
      <c r="B54" s="6">
        <v>1.84192E-2</v>
      </c>
      <c r="C54" s="6">
        <v>0.19549153699999999</v>
      </c>
    </row>
    <row r="55" spans="1:3" x14ac:dyDescent="0.25">
      <c r="A55" s="6" t="s">
        <v>1056</v>
      </c>
      <c r="B55" s="6">
        <v>0.651316173</v>
      </c>
      <c r="C55" s="6">
        <v>0.51446396500000002</v>
      </c>
    </row>
    <row r="56" spans="1:3" x14ac:dyDescent="0.25">
      <c r="A56" s="6" t="s">
        <v>1057</v>
      </c>
      <c r="B56" s="6">
        <v>0.61606566900000004</v>
      </c>
      <c r="C56" s="6">
        <v>0.87665884699999996</v>
      </c>
    </row>
    <row r="57" spans="1:3" x14ac:dyDescent="0.25">
      <c r="A57" s="6" t="s">
        <v>1058</v>
      </c>
      <c r="B57" s="6">
        <v>1.8758973000000002E-2</v>
      </c>
      <c r="C57" s="6">
        <v>1.1378911089999999</v>
      </c>
    </row>
    <row r="58" spans="1:3" x14ac:dyDescent="0.25">
      <c r="A58" s="6" t="s">
        <v>1059</v>
      </c>
      <c r="B58" s="6">
        <v>2.9002617000000001E-2</v>
      </c>
      <c r="C58" s="6">
        <v>0.24997061700000001</v>
      </c>
    </row>
    <row r="59" spans="1:3" x14ac:dyDescent="0.25">
      <c r="A59" s="6" t="s">
        <v>1060</v>
      </c>
      <c r="B59" s="6">
        <v>0.25799198200000001</v>
      </c>
      <c r="C59" s="6">
        <v>0.62370888800000002</v>
      </c>
    </row>
    <row r="60" spans="1:3" x14ac:dyDescent="0.25">
      <c r="A60" s="6" t="s">
        <v>1061</v>
      </c>
      <c r="B60" s="6">
        <v>3.7390677999999997E-2</v>
      </c>
      <c r="C60" s="6">
        <v>0.889027393</v>
      </c>
    </row>
    <row r="61" spans="1:3" x14ac:dyDescent="0.25">
      <c r="A61" s="6" t="s">
        <v>1062</v>
      </c>
      <c r="B61" s="6">
        <v>2.8734059999999999E-2</v>
      </c>
      <c r="C61" s="6">
        <v>0.86313696600000001</v>
      </c>
    </row>
    <row r="62" spans="1:3" x14ac:dyDescent="0.25">
      <c r="A62" s="6" t="s">
        <v>1063</v>
      </c>
      <c r="B62" s="6">
        <v>1.8214272E-2</v>
      </c>
      <c r="C62" s="6">
        <v>0.76589413500000003</v>
      </c>
    </row>
    <row r="63" spans="1:3" x14ac:dyDescent="0.25">
      <c r="A63" s="6" t="s">
        <v>1064</v>
      </c>
      <c r="B63" s="6">
        <v>0.409404188</v>
      </c>
      <c r="C63" s="6">
        <v>0.39457109000000001</v>
      </c>
    </row>
    <row r="64" spans="1:3" x14ac:dyDescent="0.25">
      <c r="A64" s="6" t="s">
        <v>1065</v>
      </c>
      <c r="B64" s="6">
        <v>2.5205900999999999E-2</v>
      </c>
      <c r="C64" s="6">
        <v>0.71917779199999998</v>
      </c>
    </row>
    <row r="65" spans="1:3" x14ac:dyDescent="0.25">
      <c r="A65" s="6" t="s">
        <v>1066</v>
      </c>
      <c r="B65" s="6">
        <v>4.1321385000000002E-2</v>
      </c>
      <c r="C65" s="6">
        <v>0.40615024700000002</v>
      </c>
    </row>
    <row r="66" spans="1:3" x14ac:dyDescent="0.25">
      <c r="A66" s="6" t="s">
        <v>1067</v>
      </c>
      <c r="B66" s="6">
        <v>4.5989446000000003E-2</v>
      </c>
      <c r="C66" s="6">
        <v>0.271321745</v>
      </c>
    </row>
    <row r="67" spans="1:3" x14ac:dyDescent="0.25">
      <c r="A67" s="6" t="s">
        <v>1068</v>
      </c>
      <c r="B67" s="6">
        <v>2.2283865999999999E-2</v>
      </c>
      <c r="C67" s="6">
        <v>0.257520631</v>
      </c>
    </row>
    <row r="68" spans="1:3" x14ac:dyDescent="0.25">
      <c r="A68" s="6" t="s">
        <v>1069</v>
      </c>
      <c r="B68" s="6">
        <v>2.1705110999999999E-2</v>
      </c>
      <c r="C68" s="6">
        <v>0.213351288</v>
      </c>
    </row>
    <row r="69" spans="1:3" x14ac:dyDescent="0.25">
      <c r="A69" s="6" t="s">
        <v>1070</v>
      </c>
      <c r="B69" s="6">
        <v>1.6889011999999998E-2</v>
      </c>
      <c r="C69" s="6">
        <v>0.99776153400000001</v>
      </c>
    </row>
    <row r="70" spans="1:3" x14ac:dyDescent="0.25">
      <c r="A70" s="6" t="s">
        <v>1071</v>
      </c>
      <c r="B70" s="6">
        <v>1.8563309E-2</v>
      </c>
      <c r="C70" s="6">
        <v>0.38170682500000003</v>
      </c>
    </row>
    <row r="71" spans="1:3" x14ac:dyDescent="0.25">
      <c r="A71" s="6" t="s">
        <v>1072</v>
      </c>
      <c r="B71" s="6">
        <v>4.4710870999999999E-2</v>
      </c>
      <c r="C71" s="6">
        <v>0.23571268400000001</v>
      </c>
    </row>
    <row r="72" spans="1:3" x14ac:dyDescent="0.25">
      <c r="A72" s="6" t="s">
        <v>1073</v>
      </c>
      <c r="B72" s="6">
        <v>1.7246381000000002E-2</v>
      </c>
      <c r="C72" s="6">
        <v>0.488148099</v>
      </c>
    </row>
    <row r="73" spans="1:3" x14ac:dyDescent="0.25">
      <c r="A73" s="6" t="s">
        <v>1074</v>
      </c>
      <c r="B73" s="6">
        <v>3.0101717E-2</v>
      </c>
      <c r="C73" s="6">
        <v>1.211903465</v>
      </c>
    </row>
    <row r="74" spans="1:3" x14ac:dyDescent="0.25">
      <c r="A74" s="6" t="s">
        <v>1075</v>
      </c>
      <c r="B74" s="6">
        <v>1.2336534999999999E-2</v>
      </c>
      <c r="C74" s="6">
        <v>8.5529391239999999</v>
      </c>
    </row>
    <row r="75" spans="1:3" x14ac:dyDescent="0.25">
      <c r="A75" s="6" t="s">
        <v>1076</v>
      </c>
      <c r="B75" s="6">
        <v>1.1742471000000001E-2</v>
      </c>
      <c r="C75" s="6">
        <v>1.077123281</v>
      </c>
    </row>
    <row r="76" spans="1:3" x14ac:dyDescent="0.25">
      <c r="A76" s="6" t="s">
        <v>1077</v>
      </c>
      <c r="B76" s="6">
        <v>3.6307712999999998E-2</v>
      </c>
      <c r="C76" s="6">
        <v>1.2991860749999999</v>
      </c>
    </row>
    <row r="77" spans="1:3" x14ac:dyDescent="0.25">
      <c r="A77" s="6" t="s">
        <v>1078</v>
      </c>
      <c r="B77" s="6">
        <v>1.8988653000000001E-2</v>
      </c>
      <c r="C77" s="6">
        <v>0.421806236</v>
      </c>
    </row>
    <row r="78" spans="1:3" x14ac:dyDescent="0.25">
      <c r="A78" s="6" t="s">
        <v>1079</v>
      </c>
      <c r="B78" s="6">
        <v>4.8839101000000003E-2</v>
      </c>
      <c r="C78" s="6">
        <v>0.86074370300000003</v>
      </c>
    </row>
    <row r="79" spans="1:3" x14ac:dyDescent="0.25">
      <c r="A79" s="6" t="s">
        <v>1080</v>
      </c>
      <c r="B79" s="6">
        <v>2.1270732000000001E-2</v>
      </c>
      <c r="C79" s="6">
        <v>1.7473822240000001</v>
      </c>
    </row>
    <row r="80" spans="1:3" x14ac:dyDescent="0.25">
      <c r="A80" s="6" t="s">
        <v>1081</v>
      </c>
      <c r="B80" s="6">
        <v>2.5032105999999998E-2</v>
      </c>
      <c r="C80" s="6">
        <v>0.58682224800000005</v>
      </c>
    </row>
    <row r="81" spans="1:3" x14ac:dyDescent="0.25">
      <c r="A81" s="6" t="s">
        <v>1082</v>
      </c>
      <c r="B81" s="6">
        <v>1.1366347000000001E-2</v>
      </c>
      <c r="C81" s="6">
        <v>0.57559511299999999</v>
      </c>
    </row>
    <row r="82" spans="1:3" x14ac:dyDescent="0.25">
      <c r="A82" s="6" t="s">
        <v>1083</v>
      </c>
      <c r="B82" s="6">
        <v>2.9881853E-2</v>
      </c>
      <c r="C82" s="6">
        <v>0.46966524599999998</v>
      </c>
    </row>
    <row r="83" spans="1:3" x14ac:dyDescent="0.25">
      <c r="A83" s="6" t="s">
        <v>1084</v>
      </c>
      <c r="B83" s="6">
        <v>2.8648092999999999E-2</v>
      </c>
      <c r="C83" s="6">
        <v>1.718372523</v>
      </c>
    </row>
    <row r="84" spans="1:3" x14ac:dyDescent="0.25">
      <c r="A84" s="6" t="s">
        <v>1085</v>
      </c>
      <c r="B84" s="6">
        <v>3.0215142E-2</v>
      </c>
      <c r="C84" s="6">
        <v>1.0074513030000001</v>
      </c>
    </row>
    <row r="85" spans="1:3" x14ac:dyDescent="0.25">
      <c r="A85" s="6" t="s">
        <v>1086</v>
      </c>
      <c r="B85" s="6">
        <v>0.179393091</v>
      </c>
      <c r="C85" s="6">
        <v>0.32243431500000003</v>
      </c>
    </row>
    <row r="86" spans="1:3" x14ac:dyDescent="0.25">
      <c r="A86" s="6" t="s">
        <v>1087</v>
      </c>
      <c r="B86" s="6">
        <v>1.9603757999999999E-2</v>
      </c>
      <c r="C86" s="6">
        <v>0.73594507499999995</v>
      </c>
    </row>
    <row r="87" spans="1:3" x14ac:dyDescent="0.25">
      <c r="A87" s="6" t="s">
        <v>1088</v>
      </c>
      <c r="B87" s="6">
        <v>3.0553526000000001E-2</v>
      </c>
      <c r="C87" s="6">
        <v>0.48476715799999998</v>
      </c>
    </row>
    <row r="88" spans="1:3" x14ac:dyDescent="0.25">
      <c r="A88" s="6" t="s">
        <v>1089</v>
      </c>
      <c r="B88" s="6">
        <v>2.8064204999999998E-2</v>
      </c>
      <c r="C88" s="6">
        <v>0.58238146700000004</v>
      </c>
    </row>
    <row r="89" spans="1:3" x14ac:dyDescent="0.25">
      <c r="A89" s="6" t="s">
        <v>1090</v>
      </c>
      <c r="B89" s="6">
        <v>9.4621889999999993E-3</v>
      </c>
      <c r="C89" s="6">
        <v>0.80103069299999996</v>
      </c>
    </row>
    <row r="90" spans="1:3" x14ac:dyDescent="0.25">
      <c r="A90" s="6" t="s">
        <v>1091</v>
      </c>
      <c r="B90" s="6">
        <v>4.8000573999999997E-2</v>
      </c>
      <c r="C90" s="6">
        <v>2.177630771</v>
      </c>
    </row>
    <row r="91" spans="1:3" x14ac:dyDescent="0.25">
      <c r="A91" s="6" t="s">
        <v>1092</v>
      </c>
      <c r="B91" s="6">
        <v>8.0349480000000001E-3</v>
      </c>
      <c r="C91" s="6">
        <v>0.226281442</v>
      </c>
    </row>
    <row r="92" spans="1:3" x14ac:dyDescent="0.25">
      <c r="A92" s="6" t="s">
        <v>1093</v>
      </c>
      <c r="B92" s="6">
        <v>7.9050189000000007E-2</v>
      </c>
      <c r="C92" s="6">
        <v>9.7795654999999995E-2</v>
      </c>
    </row>
    <row r="93" spans="1:3" x14ac:dyDescent="0.25">
      <c r="A93" s="6" t="s">
        <v>1094</v>
      </c>
      <c r="B93" s="6">
        <v>3.3855956E-2</v>
      </c>
      <c r="C93" s="6">
        <v>0.57066614500000001</v>
      </c>
    </row>
    <row r="94" spans="1:3" x14ac:dyDescent="0.25">
      <c r="A94" s="6" t="s">
        <v>1095</v>
      </c>
      <c r="B94" s="6">
        <v>2.0197829E-2</v>
      </c>
      <c r="C94" s="6">
        <v>1.3153032730000001</v>
      </c>
    </row>
    <row r="95" spans="1:3" x14ac:dyDescent="0.25">
      <c r="A95" s="6" t="s">
        <v>1096</v>
      </c>
      <c r="B95" s="6">
        <v>1.7563414999999999E-2</v>
      </c>
      <c r="C95" s="6">
        <v>0.79393749499999999</v>
      </c>
    </row>
    <row r="96" spans="1:3" x14ac:dyDescent="0.25">
      <c r="A96" s="6" t="s">
        <v>1097</v>
      </c>
      <c r="B96" s="6">
        <v>3.5442477999999999E-2</v>
      </c>
      <c r="C96" s="6">
        <v>0.22745109099999999</v>
      </c>
    </row>
    <row r="97" spans="1:3" x14ac:dyDescent="0.25">
      <c r="A97" s="6" t="s">
        <v>1098</v>
      </c>
      <c r="B97" s="6">
        <v>1.8684889999999999E-2</v>
      </c>
      <c r="C97" s="6">
        <v>1.562308351</v>
      </c>
    </row>
    <row r="98" spans="1:3" x14ac:dyDescent="0.25">
      <c r="A98" s="6" t="s">
        <v>1099</v>
      </c>
      <c r="B98" s="6">
        <v>0.78919928800000005</v>
      </c>
      <c r="C98" s="6">
        <v>0.348557542</v>
      </c>
    </row>
    <row r="99" spans="1:3" x14ac:dyDescent="0.25">
      <c r="A99" s="6" t="s">
        <v>1101</v>
      </c>
      <c r="B99" s="6">
        <v>8.2775698999999994E-2</v>
      </c>
      <c r="C99" s="6">
        <v>1.3055689509999999</v>
      </c>
    </row>
    <row r="100" spans="1:3" x14ac:dyDescent="0.25">
      <c r="A100" s="6" t="s">
        <v>1102</v>
      </c>
      <c r="B100" s="6">
        <v>2.2624109999999999E-2</v>
      </c>
      <c r="C100" s="6">
        <v>0.48635221000000001</v>
      </c>
    </row>
    <row r="101" spans="1:3" x14ac:dyDescent="0.25">
      <c r="A101" s="6" t="s">
        <v>1103</v>
      </c>
      <c r="B101" s="6">
        <v>2.0071790999999999E-2</v>
      </c>
      <c r="C101" s="6">
        <v>1.632474164</v>
      </c>
    </row>
    <row r="102" spans="1:3" x14ac:dyDescent="0.25">
      <c r="A102" s="6" t="s">
        <v>2013</v>
      </c>
      <c r="B102" s="6">
        <v>0.53531909</v>
      </c>
      <c r="C102" s="6">
        <v>0.604938015</v>
      </c>
    </row>
    <row r="103" spans="1:3" x14ac:dyDescent="0.25">
      <c r="A103" s="6" t="s">
        <v>2014</v>
      </c>
      <c r="B103" s="6">
        <v>9.5842948999999997E-2</v>
      </c>
      <c r="C103" s="6">
        <v>0.92360861800000005</v>
      </c>
    </row>
    <row r="104" spans="1:3" x14ac:dyDescent="0.25">
      <c r="A104" s="6" t="s">
        <v>2015</v>
      </c>
      <c r="B104" s="6">
        <v>5.2912445000000002E-2</v>
      </c>
      <c r="C104" s="6">
        <v>1.015194588</v>
      </c>
    </row>
    <row r="105" spans="1:3" x14ac:dyDescent="0.25">
      <c r="A105" s="6" t="s">
        <v>2016</v>
      </c>
      <c r="B105" s="6">
        <v>0.30223037699999999</v>
      </c>
      <c r="C105" s="6">
        <v>0.16761195500000001</v>
      </c>
    </row>
    <row r="106" spans="1:3" x14ac:dyDescent="0.25">
      <c r="A106" s="6" t="s">
        <v>1104</v>
      </c>
      <c r="B106" s="6">
        <v>6.1093459999999999E-3</v>
      </c>
      <c r="C106" s="6">
        <v>0.72173106799999998</v>
      </c>
    </row>
    <row r="107" spans="1:3" x14ac:dyDescent="0.25">
      <c r="A107" s="6" t="s">
        <v>2017</v>
      </c>
      <c r="B107" s="6">
        <v>2.5091068000000001E-2</v>
      </c>
      <c r="C107" s="6">
        <v>0.73466561200000002</v>
      </c>
    </row>
    <row r="108" spans="1:3" x14ac:dyDescent="0.25">
      <c r="A108" s="6" t="s">
        <v>2018</v>
      </c>
      <c r="B108" s="6">
        <v>2.5966291999999998E-2</v>
      </c>
      <c r="C108" s="6">
        <v>0.47847150599999999</v>
      </c>
    </row>
    <row r="109" spans="1:3" x14ac:dyDescent="0.25">
      <c r="A109" s="6" t="s">
        <v>2019</v>
      </c>
      <c r="B109" s="6">
        <v>0.18399222900000001</v>
      </c>
      <c r="C109" s="6">
        <v>9.5396743000000006E-2</v>
      </c>
    </row>
    <row r="110" spans="1:3" x14ac:dyDescent="0.25">
      <c r="A110" s="6" t="s">
        <v>2020</v>
      </c>
      <c r="B110" s="6">
        <v>2.2821857000000001E-2</v>
      </c>
      <c r="C110" s="6">
        <v>0.30165797</v>
      </c>
    </row>
    <row r="111" spans="1:3" x14ac:dyDescent="0.25">
      <c r="A111" s="6" t="s">
        <v>1105</v>
      </c>
      <c r="B111" s="6">
        <v>0.29727737799999998</v>
      </c>
      <c r="C111" s="6">
        <v>1.110923275</v>
      </c>
    </row>
    <row r="112" spans="1:3" x14ac:dyDescent="0.25">
      <c r="A112" s="6" t="s">
        <v>1106</v>
      </c>
      <c r="B112" s="6">
        <v>4.2168112000000001E-2</v>
      </c>
      <c r="C112" s="6">
        <v>1.92756415</v>
      </c>
    </row>
    <row r="113" spans="1:3" x14ac:dyDescent="0.25">
      <c r="A113" s="6" t="s">
        <v>1107</v>
      </c>
      <c r="B113" s="6">
        <v>2.852037E-2</v>
      </c>
      <c r="C113" s="6">
        <v>0.87914999999999999</v>
      </c>
    </row>
    <row r="114" spans="1:3" x14ac:dyDescent="0.25">
      <c r="A114" s="6" t="s">
        <v>1108</v>
      </c>
      <c r="B114" s="6">
        <v>2.5894958999999999E-2</v>
      </c>
      <c r="C114" s="6">
        <v>0.57114868699999999</v>
      </c>
    </row>
    <row r="115" spans="1:3" x14ac:dyDescent="0.25">
      <c r="A115" s="6" t="s">
        <v>1109</v>
      </c>
      <c r="B115" s="6">
        <v>1.0396806E-2</v>
      </c>
      <c r="C115" s="6">
        <v>0.82459813299999996</v>
      </c>
    </row>
    <row r="116" spans="1:3" x14ac:dyDescent="0.25">
      <c r="A116" s="6" t="s">
        <v>1110</v>
      </c>
      <c r="B116" s="6">
        <v>2.3408568000000001E-2</v>
      </c>
      <c r="C116" s="6">
        <v>0.47446809000000001</v>
      </c>
    </row>
    <row r="117" spans="1:3" x14ac:dyDescent="0.25">
      <c r="A117" s="6" t="s">
        <v>1111</v>
      </c>
      <c r="B117" s="6">
        <v>1.8043284999999999E-2</v>
      </c>
      <c r="C117" s="6">
        <v>8.8649921000000007E-2</v>
      </c>
    </row>
    <row r="118" spans="1:3" x14ac:dyDescent="0.25">
      <c r="A118" s="6" t="s">
        <v>1112</v>
      </c>
      <c r="B118" s="6">
        <v>2.5760369000000002E-2</v>
      </c>
      <c r="C118" s="6">
        <v>0.91558672799999996</v>
      </c>
    </row>
    <row r="119" spans="1:3" x14ac:dyDescent="0.25">
      <c r="A119" s="6" t="s">
        <v>1113</v>
      </c>
      <c r="B119" s="6">
        <v>1.6442750999999999E-2</v>
      </c>
      <c r="C119" s="6">
        <v>0.47561766100000002</v>
      </c>
    </row>
    <row r="120" spans="1:3" x14ac:dyDescent="0.25">
      <c r="A120" s="6" t="s">
        <v>1114</v>
      </c>
      <c r="B120" s="6">
        <v>1.4285933000000001E-2</v>
      </c>
      <c r="C120" s="6">
        <v>0.50470454300000001</v>
      </c>
    </row>
    <row r="121" spans="1:3" x14ac:dyDescent="0.25">
      <c r="A121" s="6" t="s">
        <v>1115</v>
      </c>
      <c r="B121" s="6">
        <v>3.9013603000000001E-2</v>
      </c>
      <c r="C121" s="6">
        <v>0.233470019</v>
      </c>
    </row>
    <row r="122" spans="1:3" x14ac:dyDescent="0.25">
      <c r="A122" s="6" t="s">
        <v>1116</v>
      </c>
      <c r="B122" s="6">
        <v>1.322768E-2</v>
      </c>
      <c r="C122" s="6">
        <v>1.2373489959999999</v>
      </c>
    </row>
    <row r="123" spans="1:3" x14ac:dyDescent="0.25">
      <c r="A123" s="6" t="s">
        <v>1117</v>
      </c>
      <c r="B123" s="6">
        <v>6.4461291000000004E-2</v>
      </c>
      <c r="C123" s="6">
        <v>1.103927339</v>
      </c>
    </row>
    <row r="124" spans="1:3" x14ac:dyDescent="0.25">
      <c r="A124" s="6" t="s">
        <v>1118</v>
      </c>
      <c r="B124" s="6">
        <v>2.0137888E-2</v>
      </c>
      <c r="C124" s="6">
        <v>0.229981776</v>
      </c>
    </row>
    <row r="125" spans="1:3" x14ac:dyDescent="0.25">
      <c r="A125" s="6" t="s">
        <v>1119</v>
      </c>
      <c r="B125" s="6">
        <v>1.9492079999999998E-2</v>
      </c>
      <c r="C125" s="6">
        <v>1.072958598</v>
      </c>
    </row>
    <row r="126" spans="1:3" x14ac:dyDescent="0.25">
      <c r="A126" s="6" t="s">
        <v>1120</v>
      </c>
      <c r="B126" s="6">
        <v>1.9957563000000001E-2</v>
      </c>
      <c r="C126" s="6">
        <v>1.900591922</v>
      </c>
    </row>
    <row r="127" spans="1:3" x14ac:dyDescent="0.25">
      <c r="A127" s="6" t="s">
        <v>1121</v>
      </c>
      <c r="B127" s="6">
        <v>2.7503280000000001E-2</v>
      </c>
      <c r="C127" s="6">
        <v>0.18610861100000001</v>
      </c>
    </row>
    <row r="128" spans="1:3" x14ac:dyDescent="0.25">
      <c r="A128" s="6" t="s">
        <v>1122</v>
      </c>
      <c r="B128" s="6">
        <v>2.4863031000000001E-2</v>
      </c>
      <c r="C128" s="6">
        <v>0.91788649600000005</v>
      </c>
    </row>
    <row r="129" spans="1:3" x14ac:dyDescent="0.25">
      <c r="A129" s="6" t="s">
        <v>1123</v>
      </c>
      <c r="B129" s="6">
        <v>1.8485565999999998E-2</v>
      </c>
      <c r="C129" s="6">
        <v>0.19294704700000001</v>
      </c>
    </row>
    <row r="130" spans="1:3" x14ac:dyDescent="0.25">
      <c r="A130" s="6" t="s">
        <v>1124</v>
      </c>
      <c r="B130" s="6">
        <v>2.5392680000000001E-2</v>
      </c>
      <c r="C130" s="6">
        <v>0.44252548000000003</v>
      </c>
    </row>
    <row r="131" spans="1:3" x14ac:dyDescent="0.25">
      <c r="A131" s="6" t="s">
        <v>1126</v>
      </c>
      <c r="B131" s="6">
        <v>3.4023691000000002E-2</v>
      </c>
      <c r="C131" s="6">
        <v>0.55122197100000003</v>
      </c>
    </row>
    <row r="132" spans="1:3" x14ac:dyDescent="0.25">
      <c r="A132" s="6" t="s">
        <v>1127</v>
      </c>
      <c r="B132" s="6">
        <v>0.30467709300000001</v>
      </c>
      <c r="C132" s="6">
        <v>1.2543540980000001</v>
      </c>
    </row>
    <row r="133" spans="1:3" x14ac:dyDescent="0.25">
      <c r="A133" s="6" t="s">
        <v>1128</v>
      </c>
      <c r="B133" s="6">
        <v>1.4849213999999999E-2</v>
      </c>
      <c r="C133" s="6">
        <v>0.13432023000000001</v>
      </c>
    </row>
    <row r="134" spans="1:3" x14ac:dyDescent="0.25">
      <c r="A134" s="6" t="s">
        <v>1129</v>
      </c>
      <c r="B134" s="6">
        <v>1.8445098E-2</v>
      </c>
      <c r="C134" s="6">
        <v>0.297326376</v>
      </c>
    </row>
    <row r="135" spans="1:3" x14ac:dyDescent="0.25">
      <c r="A135" s="6" t="s">
        <v>1130</v>
      </c>
      <c r="B135" s="6">
        <v>2.1998508999999999E-2</v>
      </c>
      <c r="C135" s="6">
        <v>1.2097059779999999</v>
      </c>
    </row>
    <row r="136" spans="1:3" x14ac:dyDescent="0.25">
      <c r="A136" s="6" t="s">
        <v>1131</v>
      </c>
      <c r="B136" s="6">
        <v>2.9431411000000001E-2</v>
      </c>
      <c r="C136" s="6">
        <v>0.38271771700000001</v>
      </c>
    </row>
    <row r="137" spans="1:3" x14ac:dyDescent="0.25">
      <c r="A137" s="6" t="s">
        <v>1132</v>
      </c>
      <c r="B137" s="6">
        <v>1.397252E-2</v>
      </c>
      <c r="C137" s="6">
        <v>1.9386017799999999</v>
      </c>
    </row>
    <row r="138" spans="1:3" x14ac:dyDescent="0.25">
      <c r="A138" s="6" t="s">
        <v>1133</v>
      </c>
      <c r="B138" s="6">
        <v>2.9312468000000001E-2</v>
      </c>
      <c r="C138" s="6">
        <v>0.75365485399999999</v>
      </c>
    </row>
    <row r="139" spans="1:3" x14ac:dyDescent="0.25">
      <c r="A139" s="6" t="s">
        <v>1134</v>
      </c>
      <c r="B139" s="6">
        <v>4.7249131E-2</v>
      </c>
      <c r="C139" s="6">
        <v>0.48867080299999999</v>
      </c>
    </row>
    <row r="140" spans="1:3" x14ac:dyDescent="0.25">
      <c r="A140" s="6" t="s">
        <v>1135</v>
      </c>
      <c r="B140" s="6">
        <v>2.2989318000000002E-2</v>
      </c>
      <c r="C140" s="6">
        <v>1.279570595</v>
      </c>
    </row>
    <row r="141" spans="1:3" x14ac:dyDescent="0.25">
      <c r="A141" s="6" t="s">
        <v>1136</v>
      </c>
      <c r="B141" s="6">
        <v>0.51410141600000003</v>
      </c>
      <c r="C141" s="6">
        <v>0.48056231799999999</v>
      </c>
    </row>
    <row r="142" spans="1:3" x14ac:dyDescent="0.25">
      <c r="A142" s="6" t="s">
        <v>1137</v>
      </c>
      <c r="B142" s="6">
        <v>1.9393097000000002E-2</v>
      </c>
      <c r="C142" s="6">
        <v>1.7896025680000001</v>
      </c>
    </row>
    <row r="143" spans="1:3" x14ac:dyDescent="0.25">
      <c r="A143" s="6" t="s">
        <v>1138</v>
      </c>
      <c r="B143" s="6">
        <v>2.1891891E-2</v>
      </c>
      <c r="C143" s="6">
        <v>0.43921042599999999</v>
      </c>
    </row>
    <row r="144" spans="1:3" x14ac:dyDescent="0.25">
      <c r="A144" s="6" t="s">
        <v>1139</v>
      </c>
      <c r="B144" s="6">
        <v>1.8824739E-2</v>
      </c>
      <c r="C144" s="6">
        <v>0.77060724700000005</v>
      </c>
    </row>
    <row r="145" spans="1:3" x14ac:dyDescent="0.25">
      <c r="A145" s="6" t="s">
        <v>1140</v>
      </c>
      <c r="B145" s="6">
        <v>3.4532451999999998E-2</v>
      </c>
      <c r="C145" s="6">
        <v>0.33782424700000002</v>
      </c>
    </row>
    <row r="146" spans="1:3" x14ac:dyDescent="0.25">
      <c r="A146" s="6" t="s">
        <v>1141</v>
      </c>
      <c r="B146" s="6">
        <v>0.60561394700000004</v>
      </c>
      <c r="C146" s="6">
        <v>0.97229215599999996</v>
      </c>
    </row>
    <row r="147" spans="1:3" x14ac:dyDescent="0.25">
      <c r="A147" s="6" t="s">
        <v>1142</v>
      </c>
      <c r="B147" s="6">
        <v>6.7674989000000005E-2</v>
      </c>
      <c r="C147" s="6">
        <v>0.40374882600000001</v>
      </c>
    </row>
    <row r="148" spans="1:3" x14ac:dyDescent="0.25">
      <c r="A148" s="6" t="s">
        <v>1143</v>
      </c>
      <c r="B148" s="6">
        <v>3.1225783E-2</v>
      </c>
      <c r="C148" s="6">
        <v>0.959695831</v>
      </c>
    </row>
    <row r="149" spans="1:3" x14ac:dyDescent="0.25">
      <c r="A149" s="6" t="s">
        <v>1144</v>
      </c>
      <c r="B149" s="6">
        <v>2.4364303E-2</v>
      </c>
      <c r="C149" s="6">
        <v>0.64831294800000006</v>
      </c>
    </row>
    <row r="150" spans="1:3" x14ac:dyDescent="0.25">
      <c r="A150" s="6" t="s">
        <v>1145</v>
      </c>
      <c r="B150" s="6">
        <v>0.72155375499999996</v>
      </c>
      <c r="C150" s="6">
        <v>0.45564137100000002</v>
      </c>
    </row>
    <row r="151" spans="1:3" x14ac:dyDescent="0.25">
      <c r="A151" s="6" t="s">
        <v>1146</v>
      </c>
      <c r="B151" s="6">
        <v>4.863402E-2</v>
      </c>
      <c r="C151" s="6">
        <v>0.40953307</v>
      </c>
    </row>
    <row r="152" spans="1:3" x14ac:dyDescent="0.25">
      <c r="A152" s="6" t="s">
        <v>1147</v>
      </c>
      <c r="B152" s="6">
        <v>2.2520330000000002E-2</v>
      </c>
      <c r="C152" s="6">
        <v>0.42691969000000002</v>
      </c>
    </row>
    <row r="153" spans="1:3" x14ac:dyDescent="0.25">
      <c r="A153" s="6" t="s">
        <v>1148</v>
      </c>
      <c r="B153" s="6">
        <v>2.1071139999999999E-2</v>
      </c>
      <c r="C153" s="6">
        <v>0.12602475199999999</v>
      </c>
    </row>
    <row r="154" spans="1:3" x14ac:dyDescent="0.25">
      <c r="A154" s="6" t="s">
        <v>1149</v>
      </c>
      <c r="B154" s="6">
        <v>1.8977721999999999E-2</v>
      </c>
      <c r="C154" s="6">
        <v>0.77807003799999996</v>
      </c>
    </row>
    <row r="155" spans="1:3" x14ac:dyDescent="0.25">
      <c r="A155" s="6" t="s">
        <v>1150</v>
      </c>
      <c r="B155" s="6">
        <v>1.7135273999999999E-2</v>
      </c>
      <c r="C155" s="6">
        <v>0.32163551499999998</v>
      </c>
    </row>
    <row r="156" spans="1:3" x14ac:dyDescent="0.25">
      <c r="A156" s="6" t="s">
        <v>1151</v>
      </c>
      <c r="B156" s="6">
        <v>2.1749865E-2</v>
      </c>
      <c r="C156" s="6">
        <v>0.24802977600000001</v>
      </c>
    </row>
    <row r="157" spans="1:3" x14ac:dyDescent="0.25">
      <c r="A157" s="6" t="s">
        <v>1152</v>
      </c>
      <c r="B157" s="6">
        <v>1.0307319000000001E-2</v>
      </c>
      <c r="C157" s="6">
        <v>0.41498223400000001</v>
      </c>
    </row>
    <row r="158" spans="1:3" x14ac:dyDescent="0.25">
      <c r="A158" s="6" t="s">
        <v>1153</v>
      </c>
      <c r="B158" s="6">
        <v>2.6494778E-2</v>
      </c>
      <c r="C158" s="6">
        <v>8.0815470119999997</v>
      </c>
    </row>
    <row r="159" spans="1:3" x14ac:dyDescent="0.25">
      <c r="A159" s="6" t="s">
        <v>1154</v>
      </c>
      <c r="B159" s="6">
        <v>5.1531983000000003E-2</v>
      </c>
      <c r="C159" s="6">
        <v>0.44873516499999999</v>
      </c>
    </row>
    <row r="160" spans="1:3" x14ac:dyDescent="0.25">
      <c r="A160" s="6" t="s">
        <v>1155</v>
      </c>
      <c r="B160" s="6">
        <v>1.8993237E-2</v>
      </c>
      <c r="C160" s="6">
        <v>0.68160843699999996</v>
      </c>
    </row>
    <row r="161" spans="1:3" x14ac:dyDescent="0.25">
      <c r="A161" s="6" t="s">
        <v>1156</v>
      </c>
      <c r="B161" s="6">
        <v>1.5296412000000001E-2</v>
      </c>
      <c r="C161" s="6">
        <v>0.89179213199999996</v>
      </c>
    </row>
    <row r="162" spans="1:3" x14ac:dyDescent="0.25">
      <c r="A162" s="6" t="s">
        <v>1157</v>
      </c>
      <c r="B162" s="6">
        <v>1.5097561000000001E-2</v>
      </c>
      <c r="C162" s="6">
        <v>0.27810056900000002</v>
      </c>
    </row>
    <row r="163" spans="1:3" x14ac:dyDescent="0.25">
      <c r="A163" s="6" t="s">
        <v>1158</v>
      </c>
      <c r="B163" s="6">
        <v>1.7442979000000001E-2</v>
      </c>
      <c r="C163" s="6">
        <v>0.52617928999999997</v>
      </c>
    </row>
    <row r="164" spans="1:3" x14ac:dyDescent="0.25">
      <c r="A164" s="6" t="s">
        <v>1159</v>
      </c>
      <c r="B164" s="6">
        <v>1.8146204999999999E-2</v>
      </c>
      <c r="C164" s="6">
        <v>0.49208500100000002</v>
      </c>
    </row>
    <row r="165" spans="1:3" x14ac:dyDescent="0.25">
      <c r="A165" s="6" t="s">
        <v>1160</v>
      </c>
      <c r="B165" s="6">
        <v>6.567331E-3</v>
      </c>
      <c r="C165" s="6">
        <v>0.38326740399999998</v>
      </c>
    </row>
    <row r="166" spans="1:3" x14ac:dyDescent="0.25">
      <c r="A166" s="6" t="s">
        <v>1161</v>
      </c>
      <c r="B166" s="6">
        <v>2.8633755E-2</v>
      </c>
      <c r="C166" s="6">
        <v>0.95511700300000002</v>
      </c>
    </row>
    <row r="167" spans="1:3" x14ac:dyDescent="0.25">
      <c r="A167" s="6" t="s">
        <v>1162</v>
      </c>
      <c r="B167" s="6">
        <v>3.0699192E-2</v>
      </c>
      <c r="C167" s="6">
        <v>2.5187292870000002</v>
      </c>
    </row>
    <row r="168" spans="1:3" x14ac:dyDescent="0.25">
      <c r="A168" s="6" t="s">
        <v>1163</v>
      </c>
      <c r="B168" s="6">
        <v>1.7285399E-2</v>
      </c>
      <c r="C168" s="6">
        <v>0.54947753600000004</v>
      </c>
    </row>
    <row r="169" spans="1:3" x14ac:dyDescent="0.25">
      <c r="A169" s="6" t="s">
        <v>1164</v>
      </c>
      <c r="B169" s="6">
        <v>2.2887201999999999E-2</v>
      </c>
      <c r="C169" s="6">
        <v>1.231554711</v>
      </c>
    </row>
    <row r="170" spans="1:3" x14ac:dyDescent="0.25">
      <c r="A170" s="6" t="s">
        <v>1165</v>
      </c>
      <c r="B170" s="6">
        <v>8.2508664999999995E-2</v>
      </c>
      <c r="C170" s="6">
        <v>0.37069115800000002</v>
      </c>
    </row>
    <row r="171" spans="1:3" x14ac:dyDescent="0.25">
      <c r="A171" s="6" t="s">
        <v>1166</v>
      </c>
      <c r="B171" s="6">
        <v>1.5708434E-2</v>
      </c>
      <c r="C171" s="6">
        <v>2.3794487119999999</v>
      </c>
    </row>
    <row r="172" spans="1:3" x14ac:dyDescent="0.25">
      <c r="A172" s="6" t="s">
        <v>1167</v>
      </c>
      <c r="B172" s="6">
        <v>2.4849579E-2</v>
      </c>
      <c r="C172" s="6">
        <v>1.4560967380000001</v>
      </c>
    </row>
    <row r="173" spans="1:3" x14ac:dyDescent="0.25">
      <c r="A173" s="6" t="s">
        <v>1168</v>
      </c>
      <c r="B173" s="6">
        <v>1.0707861000000001E-2</v>
      </c>
      <c r="C173" s="6">
        <v>1.563361287</v>
      </c>
    </row>
    <row r="174" spans="1:3" x14ac:dyDescent="0.25">
      <c r="A174" s="6" t="s">
        <v>1169</v>
      </c>
      <c r="B174" s="6">
        <v>4.0660476000000001E-2</v>
      </c>
      <c r="C174" s="6">
        <v>0.98236532600000004</v>
      </c>
    </row>
    <row r="175" spans="1:3" x14ac:dyDescent="0.25">
      <c r="A175" s="6" t="s">
        <v>1170</v>
      </c>
      <c r="B175" s="6">
        <v>2.1601499999999999E-2</v>
      </c>
      <c r="C175" s="6">
        <v>0.98498637200000005</v>
      </c>
    </row>
    <row r="176" spans="1:3" x14ac:dyDescent="0.25">
      <c r="A176" s="6" t="s">
        <v>1171</v>
      </c>
      <c r="B176" s="6">
        <v>6.0072133E-2</v>
      </c>
      <c r="C176" s="6">
        <v>0.78086866399999999</v>
      </c>
    </row>
    <row r="177" spans="1:3" x14ac:dyDescent="0.25">
      <c r="A177" s="6" t="s">
        <v>1172</v>
      </c>
      <c r="B177" s="6">
        <v>2.1414445000000001E-2</v>
      </c>
      <c r="C177" s="6">
        <v>8.2986782999999995E-2</v>
      </c>
    </row>
    <row r="178" spans="1:3" x14ac:dyDescent="0.25">
      <c r="A178" s="6" t="s">
        <v>1173</v>
      </c>
      <c r="B178" s="6">
        <v>2.2600619999999998E-2</v>
      </c>
      <c r="C178" s="6">
        <v>5.1268351320000001</v>
      </c>
    </row>
    <row r="179" spans="1:3" x14ac:dyDescent="0.25">
      <c r="A179" s="6" t="s">
        <v>1174</v>
      </c>
      <c r="B179" s="6">
        <v>2.0335453999999999E-2</v>
      </c>
      <c r="C179" s="6">
        <v>0.66299318500000004</v>
      </c>
    </row>
    <row r="180" spans="1:3" x14ac:dyDescent="0.25">
      <c r="A180" s="6" t="s">
        <v>1175</v>
      </c>
      <c r="B180" s="6">
        <v>2.7836865999999998E-2</v>
      </c>
      <c r="C180" s="6">
        <v>6.252112973</v>
      </c>
    </row>
    <row r="181" spans="1:3" x14ac:dyDescent="0.25">
      <c r="A181" s="6" t="s">
        <v>1176</v>
      </c>
      <c r="B181" s="6">
        <v>3.3232255000000002E-2</v>
      </c>
      <c r="C181" s="6">
        <v>0.86487700999999995</v>
      </c>
    </row>
    <row r="182" spans="1:3" x14ac:dyDescent="0.25">
      <c r="A182" s="6" t="s">
        <v>1177</v>
      </c>
      <c r="B182" s="6">
        <v>1.2303048E-2</v>
      </c>
      <c r="C182" s="6">
        <v>0.61717290300000005</v>
      </c>
    </row>
    <row r="183" spans="1:3" x14ac:dyDescent="0.25">
      <c r="A183" s="6" t="s">
        <v>1178</v>
      </c>
      <c r="B183" s="6">
        <v>1.4796500000000001E-2</v>
      </c>
      <c r="C183" s="6">
        <v>0.34509377200000002</v>
      </c>
    </row>
    <row r="184" spans="1:3" x14ac:dyDescent="0.25">
      <c r="A184" s="6" t="s">
        <v>1179</v>
      </c>
      <c r="B184" s="6">
        <v>1.9431311999999999E-2</v>
      </c>
      <c r="C184" s="6">
        <v>1.230069431</v>
      </c>
    </row>
    <row r="185" spans="1:3" x14ac:dyDescent="0.25">
      <c r="A185" s="6" t="s">
        <v>1180</v>
      </c>
      <c r="B185" s="6">
        <v>3.7932079E-2</v>
      </c>
      <c r="C185" s="6">
        <v>5.9617629999999998E-2</v>
      </c>
    </row>
    <row r="186" spans="1:3" x14ac:dyDescent="0.25">
      <c r="A186" s="6" t="s">
        <v>1181</v>
      </c>
      <c r="B186" s="6">
        <v>2.484571E-2</v>
      </c>
      <c r="C186" s="6">
        <v>0.10450796499999999</v>
      </c>
    </row>
    <row r="187" spans="1:3" x14ac:dyDescent="0.25">
      <c r="A187" s="6" t="s">
        <v>1182</v>
      </c>
      <c r="B187" s="6">
        <v>2.2528907000000001E-2</v>
      </c>
      <c r="C187" s="6">
        <v>0.55043321000000001</v>
      </c>
    </row>
    <row r="188" spans="1:3" x14ac:dyDescent="0.25">
      <c r="A188" s="6" t="s">
        <v>1185</v>
      </c>
      <c r="B188" s="6">
        <v>1.5974341999999999E-2</v>
      </c>
      <c r="C188" s="6">
        <v>0.32096472300000001</v>
      </c>
    </row>
    <row r="189" spans="1:3" x14ac:dyDescent="0.25">
      <c r="A189" s="6" t="s">
        <v>1186</v>
      </c>
      <c r="B189" s="6">
        <v>0.447647024</v>
      </c>
      <c r="C189" s="6">
        <v>0.26936396200000001</v>
      </c>
    </row>
    <row r="190" spans="1:3" x14ac:dyDescent="0.25">
      <c r="A190" s="6" t="s">
        <v>1187</v>
      </c>
      <c r="B190" s="6">
        <v>3.3509760999999999E-2</v>
      </c>
      <c r="C190" s="6">
        <v>0.25701236</v>
      </c>
    </row>
    <row r="191" spans="1:3" x14ac:dyDescent="0.25">
      <c r="A191" s="6" t="s">
        <v>1188</v>
      </c>
      <c r="B191" s="6">
        <v>9.1896142E-2</v>
      </c>
      <c r="C191" s="6">
        <v>0.49446383199999999</v>
      </c>
    </row>
    <row r="192" spans="1:3" x14ac:dyDescent="0.25">
      <c r="A192" s="6" t="s">
        <v>1189</v>
      </c>
      <c r="B192" s="6">
        <v>1.1069354E-2</v>
      </c>
      <c r="C192" s="6">
        <v>0.88876321700000005</v>
      </c>
    </row>
    <row r="193" spans="1:3" x14ac:dyDescent="0.25">
      <c r="A193" s="6" t="s">
        <v>1190</v>
      </c>
      <c r="B193" s="6">
        <v>3.9688353000000003E-2</v>
      </c>
      <c r="C193" s="6">
        <v>7.0463873999999996E-2</v>
      </c>
    </row>
    <row r="194" spans="1:3" x14ac:dyDescent="0.25">
      <c r="A194" s="6" t="s">
        <v>1191</v>
      </c>
      <c r="B194" s="6">
        <v>1.5557965E-2</v>
      </c>
      <c r="C194" s="6">
        <v>0.28363569999999999</v>
      </c>
    </row>
    <row r="195" spans="1:3" x14ac:dyDescent="0.25">
      <c r="A195" s="6" t="s">
        <v>1192</v>
      </c>
      <c r="B195" s="6">
        <v>1.6697803000000001E-2</v>
      </c>
      <c r="C195" s="6">
        <v>0.12889616700000001</v>
      </c>
    </row>
    <row r="196" spans="1:3" x14ac:dyDescent="0.25">
      <c r="A196" s="6" t="s">
        <v>1193</v>
      </c>
      <c r="B196" s="6">
        <v>1.350997E-2</v>
      </c>
      <c r="C196" s="6">
        <v>0.49787363800000001</v>
      </c>
    </row>
    <row r="197" spans="1:3" x14ac:dyDescent="0.25">
      <c r="A197" s="6" t="s">
        <v>1194</v>
      </c>
      <c r="B197" s="6">
        <v>2.2125157999999999E-2</v>
      </c>
      <c r="C197" s="6">
        <v>0.23703042199999999</v>
      </c>
    </row>
    <row r="198" spans="1:3" x14ac:dyDescent="0.25">
      <c r="A198" s="6" t="s">
        <v>1195</v>
      </c>
      <c r="B198" s="6">
        <v>2.0625799E-2</v>
      </c>
      <c r="C198" s="6">
        <v>0.429634232</v>
      </c>
    </row>
    <row r="199" spans="1:3" x14ac:dyDescent="0.25">
      <c r="A199" s="6" t="s">
        <v>1196</v>
      </c>
      <c r="B199" s="6">
        <v>6.8739509999999997E-3</v>
      </c>
      <c r="C199" s="6">
        <v>0.68348150799999996</v>
      </c>
    </row>
    <row r="200" spans="1:3" x14ac:dyDescent="0.25">
      <c r="A200" s="6" t="s">
        <v>1197</v>
      </c>
      <c r="B200" s="6">
        <v>3.4830595999999998E-2</v>
      </c>
      <c r="C200" s="6">
        <v>1.116102615</v>
      </c>
    </row>
    <row r="201" spans="1:3" x14ac:dyDescent="0.25">
      <c r="A201" s="6" t="s">
        <v>1198</v>
      </c>
      <c r="B201" s="6">
        <v>2.0030273000000001E-2</v>
      </c>
      <c r="C201" s="6">
        <v>0.58973570500000005</v>
      </c>
    </row>
    <row r="202" spans="1:3" x14ac:dyDescent="0.25">
      <c r="A202" s="6" t="s">
        <v>1199</v>
      </c>
      <c r="B202" s="6">
        <v>1.6917458E-2</v>
      </c>
      <c r="C202" s="6">
        <v>0.29942973699999997</v>
      </c>
    </row>
    <row r="203" spans="1:3" x14ac:dyDescent="0.25">
      <c r="A203" s="6" t="s">
        <v>1200</v>
      </c>
      <c r="B203" s="6">
        <v>2.1933633000000001E-2</v>
      </c>
      <c r="C203" s="6">
        <v>0.275910614</v>
      </c>
    </row>
    <row r="204" spans="1:3" x14ac:dyDescent="0.25">
      <c r="A204" s="6" t="s">
        <v>1201</v>
      </c>
      <c r="B204" s="6">
        <v>2.3511025000000001E-2</v>
      </c>
      <c r="C204" s="6">
        <v>0.497082994</v>
      </c>
    </row>
    <row r="205" spans="1:3" x14ac:dyDescent="0.25">
      <c r="A205" s="6" t="s">
        <v>1202</v>
      </c>
      <c r="B205" s="6">
        <v>1.0326623E-2</v>
      </c>
      <c r="C205" s="6">
        <v>0.31795588600000002</v>
      </c>
    </row>
    <row r="206" spans="1:3" x14ac:dyDescent="0.25">
      <c r="A206" s="6" t="s">
        <v>1203</v>
      </c>
      <c r="B206" s="6">
        <v>2.0122606000000001E-2</v>
      </c>
      <c r="C206" s="6">
        <v>0.33397205800000002</v>
      </c>
    </row>
    <row r="207" spans="1:3" x14ac:dyDescent="0.25">
      <c r="A207" s="6" t="s">
        <v>1204</v>
      </c>
      <c r="B207" s="6">
        <v>0.57562572300000003</v>
      </c>
      <c r="C207" s="6">
        <v>1.0471440999999999</v>
      </c>
    </row>
    <row r="208" spans="1:3" x14ac:dyDescent="0.25">
      <c r="A208" s="6" t="s">
        <v>1205</v>
      </c>
      <c r="B208" s="6">
        <v>4.5356673E-2</v>
      </c>
      <c r="C208" s="6">
        <v>0.42050669499999999</v>
      </c>
    </row>
    <row r="209" spans="1:3" x14ac:dyDescent="0.25">
      <c r="A209" s="6" t="s">
        <v>1206</v>
      </c>
      <c r="B209" s="6">
        <v>4.1024140000000001E-2</v>
      </c>
      <c r="C209" s="6">
        <v>0.175843428</v>
      </c>
    </row>
    <row r="210" spans="1:3" x14ac:dyDescent="0.25">
      <c r="A210" s="6" t="s">
        <v>1207</v>
      </c>
      <c r="B210" s="6">
        <v>2.0612773000000001E-2</v>
      </c>
      <c r="C210" s="6">
        <v>9.9972433999999999E-2</v>
      </c>
    </row>
    <row r="211" spans="1:3" x14ac:dyDescent="0.25">
      <c r="A211" s="6" t="s">
        <v>1208</v>
      </c>
      <c r="B211" s="6">
        <v>1.1333625E-2</v>
      </c>
      <c r="C211" s="6">
        <v>0.69032998499999998</v>
      </c>
    </row>
    <row r="212" spans="1:3" x14ac:dyDescent="0.25">
      <c r="A212" s="6" t="s">
        <v>1209</v>
      </c>
      <c r="B212" s="6">
        <v>3.7713688000000002E-2</v>
      </c>
      <c r="C212" s="6">
        <v>0.28319080699999999</v>
      </c>
    </row>
    <row r="213" spans="1:3" x14ac:dyDescent="0.25">
      <c r="A213" s="6" t="s">
        <v>1210</v>
      </c>
      <c r="B213" s="6">
        <v>4.3498925000000001E-2</v>
      </c>
      <c r="C213" s="6">
        <v>0.66196221</v>
      </c>
    </row>
    <row r="214" spans="1:3" x14ac:dyDescent="0.25">
      <c r="A214" s="6" t="s">
        <v>1211</v>
      </c>
      <c r="B214" s="6">
        <v>1.9147709999999998E-2</v>
      </c>
      <c r="C214" s="6">
        <v>0.41601948300000002</v>
      </c>
    </row>
    <row r="215" spans="1:3" x14ac:dyDescent="0.25">
      <c r="A215" s="6" t="s">
        <v>1212</v>
      </c>
      <c r="B215" s="6">
        <v>1.1058264E-2</v>
      </c>
      <c r="C215" s="6">
        <v>17.466425959999999</v>
      </c>
    </row>
    <row r="216" spans="1:3" x14ac:dyDescent="0.25">
      <c r="A216" s="6" t="s">
        <v>1213</v>
      </c>
      <c r="B216" s="6">
        <v>2.7834251000000001E-2</v>
      </c>
      <c r="C216" s="6">
        <v>9.4196974000000003E-2</v>
      </c>
    </row>
    <row r="217" spans="1:3" x14ac:dyDescent="0.25">
      <c r="A217" s="6" t="s">
        <v>1215</v>
      </c>
      <c r="B217" s="6">
        <v>4.8944377999999997E-2</v>
      </c>
      <c r="C217" s="6">
        <v>1.2293139289999999</v>
      </c>
    </row>
    <row r="218" spans="1:3" x14ac:dyDescent="0.25">
      <c r="A218" s="6" t="s">
        <v>1216</v>
      </c>
      <c r="B218" s="6">
        <v>9.0085289999999995E-3</v>
      </c>
      <c r="C218" s="6">
        <v>0.62452651199999998</v>
      </c>
    </row>
    <row r="219" spans="1:3" x14ac:dyDescent="0.25">
      <c r="A219" s="6" t="s">
        <v>1217</v>
      </c>
      <c r="B219" s="6">
        <v>4.8018038999999998E-2</v>
      </c>
      <c r="C219" s="6">
        <v>3.3662566969999999</v>
      </c>
    </row>
    <row r="220" spans="1:3" x14ac:dyDescent="0.25">
      <c r="A220" s="6" t="s">
        <v>1218</v>
      </c>
      <c r="B220" s="6">
        <v>0.648350125</v>
      </c>
      <c r="C220" s="6">
        <v>0.74750666099999996</v>
      </c>
    </row>
    <row r="221" spans="1:3" x14ac:dyDescent="0.25">
      <c r="A221" s="6" t="s">
        <v>1219</v>
      </c>
      <c r="B221" s="6">
        <v>4.8199233000000001E-2</v>
      </c>
      <c r="C221" s="6">
        <v>0.58542105099999997</v>
      </c>
    </row>
    <row r="222" spans="1:3" x14ac:dyDescent="0.25">
      <c r="A222" s="6" t="s">
        <v>1220</v>
      </c>
      <c r="B222" s="6">
        <v>2.0724838999999998E-2</v>
      </c>
      <c r="C222" s="6">
        <v>0.54990423300000002</v>
      </c>
    </row>
    <row r="223" spans="1:3" x14ac:dyDescent="0.25">
      <c r="A223" s="6" t="s">
        <v>1221</v>
      </c>
      <c r="B223" s="6">
        <v>2.2529502E-2</v>
      </c>
      <c r="C223" s="6">
        <v>2.786817552</v>
      </c>
    </row>
    <row r="224" spans="1:3" x14ac:dyDescent="0.25">
      <c r="A224" s="6" t="s">
        <v>1222</v>
      </c>
      <c r="B224" s="6">
        <v>2.8599949E-2</v>
      </c>
      <c r="C224" s="6">
        <v>0.17589300099999999</v>
      </c>
    </row>
    <row r="225" spans="1:3" x14ac:dyDescent="0.25">
      <c r="A225" s="6" t="s">
        <v>1223</v>
      </c>
      <c r="B225" s="6">
        <v>3.1595704000000002E-2</v>
      </c>
      <c r="C225" s="6">
        <v>0.91405250199999999</v>
      </c>
    </row>
    <row r="226" spans="1:3" x14ac:dyDescent="0.25">
      <c r="A226" s="6" t="s">
        <v>1224</v>
      </c>
      <c r="B226" s="6">
        <v>2.0508579999999998E-2</v>
      </c>
      <c r="C226" s="6">
        <v>0.40569468600000003</v>
      </c>
    </row>
    <row r="227" spans="1:3" x14ac:dyDescent="0.25">
      <c r="A227" s="6" t="s">
        <v>1225</v>
      </c>
      <c r="B227" s="6">
        <v>3.8504717000000001E-2</v>
      </c>
      <c r="C227" s="6">
        <v>1.2897767929999999</v>
      </c>
    </row>
    <row r="228" spans="1:3" x14ac:dyDescent="0.25">
      <c r="A228" s="6" t="s">
        <v>1226</v>
      </c>
      <c r="B228" s="6">
        <v>2.3604849000000001E-2</v>
      </c>
      <c r="C228" s="6">
        <v>0.72327156599999998</v>
      </c>
    </row>
    <row r="229" spans="1:3" x14ac:dyDescent="0.25">
      <c r="A229" s="6" t="s">
        <v>1227</v>
      </c>
      <c r="B229" s="6">
        <v>2.0308124E-2</v>
      </c>
      <c r="C229" s="6">
        <v>0.205630595</v>
      </c>
    </row>
    <row r="230" spans="1:3" x14ac:dyDescent="0.25">
      <c r="A230" s="6" t="s">
        <v>1228</v>
      </c>
      <c r="B230" s="6">
        <v>2.7070647E-2</v>
      </c>
      <c r="C230" s="6">
        <v>0.46824522699999999</v>
      </c>
    </row>
    <row r="231" spans="1:3" x14ac:dyDescent="0.25">
      <c r="A231" s="6" t="s">
        <v>1229</v>
      </c>
      <c r="B231" s="6">
        <v>9.2271580000000006E-2</v>
      </c>
      <c r="C231" s="6">
        <v>0.103291253</v>
      </c>
    </row>
    <row r="232" spans="1:3" x14ac:dyDescent="0.25">
      <c r="A232" s="6" t="s">
        <v>1230</v>
      </c>
      <c r="B232" s="6">
        <v>1.4401389000000001E-2</v>
      </c>
      <c r="C232" s="6">
        <v>0.59229964700000004</v>
      </c>
    </row>
    <row r="233" spans="1:3" x14ac:dyDescent="0.25">
      <c r="A233" s="6" t="s">
        <v>1231</v>
      </c>
      <c r="B233" s="6">
        <v>7.3690257999999995E-2</v>
      </c>
      <c r="C233" s="6">
        <v>0.40467877299999999</v>
      </c>
    </row>
    <row r="234" spans="1:3" x14ac:dyDescent="0.25">
      <c r="A234" s="6" t="s">
        <v>1232</v>
      </c>
      <c r="B234" s="6">
        <v>3.4451240000000001E-2</v>
      </c>
      <c r="C234" s="6">
        <v>0.19875074600000001</v>
      </c>
    </row>
    <row r="235" spans="1:3" x14ac:dyDescent="0.25">
      <c r="A235" s="6" t="s">
        <v>1233</v>
      </c>
      <c r="B235" s="6">
        <v>3.3621366E-2</v>
      </c>
      <c r="C235" s="6">
        <v>0.42574878399999999</v>
      </c>
    </row>
    <row r="236" spans="1:3" x14ac:dyDescent="0.25">
      <c r="A236" s="6" t="s">
        <v>1234</v>
      </c>
      <c r="B236" s="6">
        <v>5.0093873999999997E-2</v>
      </c>
      <c r="C236" s="6">
        <v>1.0907273609999999</v>
      </c>
    </row>
    <row r="237" spans="1:3" x14ac:dyDescent="0.25">
      <c r="A237" s="6" t="s">
        <v>1235</v>
      </c>
      <c r="B237" s="6">
        <v>8.0237322999999999E-2</v>
      </c>
      <c r="C237" s="6">
        <v>0.93543688999999997</v>
      </c>
    </row>
    <row r="238" spans="1:3" x14ac:dyDescent="0.25">
      <c r="A238" s="6" t="s">
        <v>1236</v>
      </c>
      <c r="B238" s="6">
        <v>2.1204397E-2</v>
      </c>
      <c r="C238" s="6">
        <v>1.269107751</v>
      </c>
    </row>
    <row r="239" spans="1:3" x14ac:dyDescent="0.25">
      <c r="A239" s="6" t="s">
        <v>1237</v>
      </c>
      <c r="B239" s="6">
        <v>4.6036717999999997E-2</v>
      </c>
      <c r="C239" s="6">
        <v>1.1573679130000001</v>
      </c>
    </row>
    <row r="240" spans="1:3" x14ac:dyDescent="0.25">
      <c r="A240" s="6" t="s">
        <v>1238</v>
      </c>
      <c r="B240" s="6">
        <v>6.2189741E-2</v>
      </c>
      <c r="C240" s="6">
        <v>0.34755354999999999</v>
      </c>
    </row>
    <row r="241" spans="1:3" x14ac:dyDescent="0.25">
      <c r="A241" s="6" t="s">
        <v>1239</v>
      </c>
      <c r="B241" s="6">
        <v>4.0267233999999999E-2</v>
      </c>
      <c r="C241" s="6">
        <v>0.57934062900000005</v>
      </c>
    </row>
    <row r="242" spans="1:3" x14ac:dyDescent="0.25">
      <c r="A242" s="6" t="s">
        <v>1240</v>
      </c>
      <c r="B242" s="6">
        <v>3.4393567E-2</v>
      </c>
      <c r="C242" s="6">
        <v>0.95145996300000002</v>
      </c>
    </row>
    <row r="243" spans="1:3" x14ac:dyDescent="0.25">
      <c r="A243" s="6" t="s">
        <v>1241</v>
      </c>
      <c r="B243" s="6">
        <v>1.5864685999999999E-2</v>
      </c>
      <c r="C243" s="6">
        <v>0.84058042099999997</v>
      </c>
    </row>
    <row r="244" spans="1:3" x14ac:dyDescent="0.25">
      <c r="A244" s="6" t="s">
        <v>1242</v>
      </c>
      <c r="B244" s="6">
        <v>1.4701784000000001E-2</v>
      </c>
      <c r="C244" s="6">
        <v>8.6175083E-2</v>
      </c>
    </row>
    <row r="245" spans="1:3" x14ac:dyDescent="0.25">
      <c r="A245" s="6" t="s">
        <v>1243</v>
      </c>
      <c r="B245" s="6">
        <v>2.8544261000000001E-2</v>
      </c>
      <c r="C245" s="6">
        <v>1.4252912E-2</v>
      </c>
    </row>
    <row r="246" spans="1:3" x14ac:dyDescent="0.25">
      <c r="A246" s="6" t="s">
        <v>1244</v>
      </c>
      <c r="B246" s="6">
        <v>1.7579146E-2</v>
      </c>
      <c r="C246" s="6">
        <v>1.20772184</v>
      </c>
    </row>
    <row r="247" spans="1:3" x14ac:dyDescent="0.25">
      <c r="A247" s="6" t="s">
        <v>1245</v>
      </c>
      <c r="B247" s="6">
        <v>1.8732718999999998E-2</v>
      </c>
      <c r="C247" s="6">
        <v>0.55803593399999996</v>
      </c>
    </row>
    <row r="248" spans="1:3" x14ac:dyDescent="0.25">
      <c r="A248" s="6" t="s">
        <v>1246</v>
      </c>
      <c r="B248" s="6">
        <v>3.2618831000000001E-2</v>
      </c>
      <c r="C248" s="6">
        <v>0.36329174199999997</v>
      </c>
    </row>
    <row r="249" spans="1:3" x14ac:dyDescent="0.25">
      <c r="A249" s="6" t="s">
        <v>1247</v>
      </c>
      <c r="B249" s="6">
        <v>4.4863197E-2</v>
      </c>
      <c r="C249" s="6">
        <v>0.72533037600000005</v>
      </c>
    </row>
    <row r="250" spans="1:3" x14ac:dyDescent="0.25">
      <c r="A250" s="6" t="s">
        <v>1248</v>
      </c>
      <c r="B250" s="6">
        <v>1.3598984E-2</v>
      </c>
      <c r="C250" s="6">
        <v>0.39026459400000002</v>
      </c>
    </row>
    <row r="251" spans="1:3" x14ac:dyDescent="0.25">
      <c r="A251" s="6" t="s">
        <v>1249</v>
      </c>
      <c r="B251" s="6">
        <v>2.5883155000000001E-2</v>
      </c>
      <c r="C251" s="6">
        <v>0.101282015</v>
      </c>
    </row>
    <row r="252" spans="1:3" x14ac:dyDescent="0.25">
      <c r="A252" s="6" t="s">
        <v>1250</v>
      </c>
      <c r="B252" s="6">
        <v>2.6522446000000002E-2</v>
      </c>
      <c r="C252" s="6">
        <v>0.51100208000000003</v>
      </c>
    </row>
    <row r="253" spans="1:3" x14ac:dyDescent="0.25">
      <c r="A253" s="6" t="s">
        <v>1251</v>
      </c>
      <c r="B253" s="6">
        <v>2.2248464999999999E-2</v>
      </c>
      <c r="C253" s="6">
        <v>0.233176351</v>
      </c>
    </row>
    <row r="254" spans="1:3" x14ac:dyDescent="0.25">
      <c r="A254" s="6" t="s">
        <v>1252</v>
      </c>
      <c r="B254" s="6">
        <v>1.9010823E-2</v>
      </c>
      <c r="C254" s="6">
        <v>0.61201615300000001</v>
      </c>
    </row>
    <row r="255" spans="1:3" x14ac:dyDescent="0.25">
      <c r="A255" s="6" t="s">
        <v>1253</v>
      </c>
      <c r="B255" s="6">
        <v>2.4314511E-2</v>
      </c>
      <c r="C255" s="6">
        <v>0.35257538999999999</v>
      </c>
    </row>
    <row r="256" spans="1:3" x14ac:dyDescent="0.25">
      <c r="A256" s="6" t="s">
        <v>1254</v>
      </c>
      <c r="B256" s="6">
        <v>1.5203273E-2</v>
      </c>
      <c r="C256" s="6">
        <v>0.27608819600000001</v>
      </c>
    </row>
    <row r="257" spans="1:3" x14ac:dyDescent="0.25">
      <c r="A257" s="6" t="s">
        <v>1255</v>
      </c>
      <c r="B257" s="6">
        <v>1.3737716000000001E-2</v>
      </c>
      <c r="C257" s="6">
        <v>0.53536455500000002</v>
      </c>
    </row>
    <row r="258" spans="1:3" x14ac:dyDescent="0.25">
      <c r="A258" s="6" t="s">
        <v>1256</v>
      </c>
      <c r="B258" s="6">
        <v>2.0833154999999999E-2</v>
      </c>
      <c r="C258" s="6">
        <v>0.47960413200000002</v>
      </c>
    </row>
    <row r="259" spans="1:3" x14ac:dyDescent="0.25">
      <c r="A259" s="6" t="s">
        <v>1257</v>
      </c>
      <c r="B259" s="6">
        <v>2.3529980999999998E-2</v>
      </c>
      <c r="C259" s="6">
        <v>0.56768742699999997</v>
      </c>
    </row>
    <row r="260" spans="1:3" x14ac:dyDescent="0.25">
      <c r="A260" s="6" t="s">
        <v>1258</v>
      </c>
      <c r="B260" s="6">
        <v>1.3061585000000001E-2</v>
      </c>
      <c r="C260" s="6">
        <v>0.82946309799999995</v>
      </c>
    </row>
    <row r="261" spans="1:3" x14ac:dyDescent="0.25">
      <c r="A261" s="6" t="s">
        <v>1259</v>
      </c>
      <c r="B261" s="6">
        <v>1.8233760000000002E-2</v>
      </c>
      <c r="C261" s="6">
        <v>0.53886221000000001</v>
      </c>
    </row>
    <row r="262" spans="1:3" x14ac:dyDescent="0.25">
      <c r="A262" s="6" t="s">
        <v>1260</v>
      </c>
      <c r="B262" s="6">
        <v>0.185105241</v>
      </c>
      <c r="C262" s="6">
        <v>1.434224159</v>
      </c>
    </row>
    <row r="263" spans="1:3" x14ac:dyDescent="0.25">
      <c r="A263" s="6" t="s">
        <v>1261</v>
      </c>
      <c r="B263" s="6">
        <v>3.4453919999999999E-2</v>
      </c>
      <c r="C263" s="6">
        <v>0.30253144300000001</v>
      </c>
    </row>
    <row r="264" spans="1:3" x14ac:dyDescent="0.25">
      <c r="A264" s="6" t="s">
        <v>1262</v>
      </c>
      <c r="B264" s="6">
        <v>2.0534582999999999E-2</v>
      </c>
      <c r="C264" s="6">
        <v>0.416214633</v>
      </c>
    </row>
    <row r="265" spans="1:3" x14ac:dyDescent="0.25">
      <c r="A265" s="6" t="s">
        <v>1263</v>
      </c>
      <c r="B265" s="6">
        <v>2.3762460999999999E-2</v>
      </c>
      <c r="C265" s="6">
        <v>0.58402675900000001</v>
      </c>
    </row>
    <row r="266" spans="1:3" x14ac:dyDescent="0.25">
      <c r="A266" s="6" t="s">
        <v>1264</v>
      </c>
      <c r="B266" s="6">
        <v>2.1582067999999999E-2</v>
      </c>
      <c r="C266" s="6">
        <v>5.0984002159999999</v>
      </c>
    </row>
    <row r="267" spans="1:3" x14ac:dyDescent="0.25">
      <c r="A267" s="6" t="s">
        <v>1265</v>
      </c>
      <c r="B267" s="6">
        <v>1.5377939E-2</v>
      </c>
      <c r="C267" s="6">
        <v>0.55891944500000001</v>
      </c>
    </row>
    <row r="268" spans="1:3" x14ac:dyDescent="0.25">
      <c r="A268" s="6" t="s">
        <v>1266</v>
      </c>
      <c r="B268" s="6">
        <v>2.1467219999999999E-2</v>
      </c>
      <c r="C268" s="6">
        <v>0.83747306799999999</v>
      </c>
    </row>
    <row r="269" spans="1:3" x14ac:dyDescent="0.25">
      <c r="A269" s="6" t="s">
        <v>1267</v>
      </c>
      <c r="B269" s="6">
        <v>7.1035623000000006E-2</v>
      </c>
      <c r="C269" s="6">
        <v>0.69457373</v>
      </c>
    </row>
    <row r="270" spans="1:3" x14ac:dyDescent="0.25">
      <c r="A270" s="6" t="s">
        <v>1268</v>
      </c>
      <c r="B270" s="6">
        <v>3.4719485000000001E-2</v>
      </c>
      <c r="C270" s="6">
        <v>0.34137084699999998</v>
      </c>
    </row>
    <row r="271" spans="1:3" x14ac:dyDescent="0.25">
      <c r="A271" s="6" t="s">
        <v>1269</v>
      </c>
      <c r="B271" s="6">
        <v>4.2164408E-2</v>
      </c>
      <c r="C271" s="6">
        <v>1.0517473989999999</v>
      </c>
    </row>
    <row r="272" spans="1:3" x14ac:dyDescent="0.25">
      <c r="A272" s="6" t="s">
        <v>1270</v>
      </c>
      <c r="B272" s="6">
        <v>2.6428566000000001E-2</v>
      </c>
      <c r="C272" s="6">
        <v>0.88047213300000005</v>
      </c>
    </row>
    <row r="273" spans="1:3" x14ac:dyDescent="0.25">
      <c r="A273" s="6" t="s">
        <v>1271</v>
      </c>
      <c r="B273" s="6">
        <v>2.4568533E-2</v>
      </c>
      <c r="C273" s="6">
        <v>0.394481358</v>
      </c>
    </row>
    <row r="274" spans="1:3" x14ac:dyDescent="0.25">
      <c r="A274" s="6" t="s">
        <v>1272</v>
      </c>
      <c r="B274" s="6">
        <v>5.4233410000000003E-2</v>
      </c>
      <c r="C274" s="6">
        <v>0.89223640000000004</v>
      </c>
    </row>
    <row r="275" spans="1:3" x14ac:dyDescent="0.25">
      <c r="A275" s="6" t="s">
        <v>1273</v>
      </c>
      <c r="B275" s="6">
        <v>0.14057728999999999</v>
      </c>
      <c r="C275" s="6">
        <v>0.40322925900000001</v>
      </c>
    </row>
    <row r="276" spans="1:3" x14ac:dyDescent="0.25">
      <c r="A276" s="6" t="s">
        <v>1274</v>
      </c>
      <c r="B276" s="6">
        <v>5.0951308000000001E-2</v>
      </c>
      <c r="C276" s="6">
        <v>0.67225374800000004</v>
      </c>
    </row>
    <row r="277" spans="1:3" x14ac:dyDescent="0.25">
      <c r="A277" s="6" t="s">
        <v>1275</v>
      </c>
      <c r="B277" s="6">
        <v>2.0531658000000001E-2</v>
      </c>
      <c r="C277" s="6">
        <v>0.14846521300000001</v>
      </c>
    </row>
    <row r="278" spans="1:3" x14ac:dyDescent="0.25">
      <c r="A278" s="6" t="s">
        <v>1276</v>
      </c>
      <c r="B278" s="6">
        <v>0.116847431</v>
      </c>
      <c r="C278" s="6">
        <v>0.449224611</v>
      </c>
    </row>
    <row r="279" spans="1:3" x14ac:dyDescent="0.25">
      <c r="A279" s="6" t="s">
        <v>1277</v>
      </c>
      <c r="B279" s="6">
        <v>2.2352732E-2</v>
      </c>
      <c r="C279" s="6">
        <v>4.0072932200000002</v>
      </c>
    </row>
    <row r="280" spans="1:3" x14ac:dyDescent="0.25">
      <c r="A280" s="6" t="s">
        <v>1278</v>
      </c>
      <c r="B280" s="6">
        <v>3.2843202000000002E-2</v>
      </c>
      <c r="C280" s="6">
        <v>0.219488814</v>
      </c>
    </row>
    <row r="281" spans="1:3" x14ac:dyDescent="0.25">
      <c r="A281" s="6" t="s">
        <v>1279</v>
      </c>
      <c r="B281" s="6">
        <v>1.1569091E-2</v>
      </c>
      <c r="C281" s="6">
        <v>0.61127884700000001</v>
      </c>
    </row>
    <row r="282" spans="1:3" x14ac:dyDescent="0.25">
      <c r="A282" s="6" t="s">
        <v>1280</v>
      </c>
      <c r="B282" s="6">
        <v>0.309553998</v>
      </c>
      <c r="C282" s="6">
        <v>0.59442810899999998</v>
      </c>
    </row>
    <row r="283" spans="1:3" x14ac:dyDescent="0.25">
      <c r="A283" s="6" t="s">
        <v>1281</v>
      </c>
      <c r="B283" s="6">
        <v>2.5318482E-2</v>
      </c>
      <c r="C283" s="6">
        <v>0.33952036499999999</v>
      </c>
    </row>
    <row r="284" spans="1:3" x14ac:dyDescent="0.25">
      <c r="A284" s="6" t="s">
        <v>1282</v>
      </c>
      <c r="B284" s="6">
        <v>2.2261680999999998E-2</v>
      </c>
      <c r="C284" s="6">
        <v>0.29193243099999999</v>
      </c>
    </row>
    <row r="285" spans="1:3" x14ac:dyDescent="0.25">
      <c r="A285" s="6" t="s">
        <v>1283</v>
      </c>
      <c r="B285" s="6">
        <v>3.0079489000000001E-2</v>
      </c>
      <c r="C285" s="6">
        <v>0.54854068499999997</v>
      </c>
    </row>
    <row r="286" spans="1:3" x14ac:dyDescent="0.25">
      <c r="A286" s="6" t="s">
        <v>1284</v>
      </c>
      <c r="B286" s="6">
        <v>1.8911127999999999E-2</v>
      </c>
      <c r="C286" s="6">
        <v>0.63324053000000002</v>
      </c>
    </row>
    <row r="287" spans="1:3" x14ac:dyDescent="0.25">
      <c r="A287" s="6" t="s">
        <v>1285</v>
      </c>
      <c r="B287" s="6">
        <v>9.8508529999999997E-3</v>
      </c>
      <c r="C287" s="6">
        <v>9.5663560190000005</v>
      </c>
    </row>
    <row r="288" spans="1:3" x14ac:dyDescent="0.25">
      <c r="A288" s="6" t="s">
        <v>1286</v>
      </c>
      <c r="B288" s="6">
        <v>3.4589581000000001E-2</v>
      </c>
      <c r="C288" s="6">
        <v>0.90146998199999995</v>
      </c>
    </row>
    <row r="289" spans="1:3" x14ac:dyDescent="0.25">
      <c r="A289" s="6" t="s">
        <v>1287</v>
      </c>
      <c r="B289" s="6">
        <v>7.4354979999999996E-3</v>
      </c>
      <c r="C289" s="6">
        <v>0.15690438700000001</v>
      </c>
    </row>
    <row r="290" spans="1:3" x14ac:dyDescent="0.25">
      <c r="A290" s="6" t="s">
        <v>1288</v>
      </c>
      <c r="B290" s="6">
        <v>7.4288210000000004E-3</v>
      </c>
      <c r="C290" s="6">
        <v>0.20302837500000001</v>
      </c>
    </row>
    <row r="291" spans="1:3" x14ac:dyDescent="0.25">
      <c r="A291" s="6" t="s">
        <v>1289</v>
      </c>
      <c r="B291" s="6">
        <v>1.7146913E-2</v>
      </c>
      <c r="C291" s="6">
        <v>0.90540562800000002</v>
      </c>
    </row>
    <row r="292" spans="1:3" x14ac:dyDescent="0.25">
      <c r="A292" s="6" t="s">
        <v>1290</v>
      </c>
      <c r="B292" s="6">
        <v>0.20713245799999999</v>
      </c>
      <c r="C292" s="6">
        <v>0.49719782699999998</v>
      </c>
    </row>
    <row r="293" spans="1:3" x14ac:dyDescent="0.25">
      <c r="A293" s="6" t="s">
        <v>1291</v>
      </c>
      <c r="B293" s="6">
        <v>2.9017682E-2</v>
      </c>
      <c r="C293" s="6">
        <v>0.31832736299999997</v>
      </c>
    </row>
    <row r="294" spans="1:3" x14ac:dyDescent="0.25">
      <c r="A294" s="6" t="s">
        <v>1292</v>
      </c>
      <c r="B294" s="6">
        <v>1.5281802000000001E-2</v>
      </c>
      <c r="C294" s="6">
        <v>2.5712054019999999</v>
      </c>
    </row>
    <row r="295" spans="1:3" x14ac:dyDescent="0.25">
      <c r="A295" s="6" t="s">
        <v>1293</v>
      </c>
      <c r="B295" s="6">
        <v>0.112557738</v>
      </c>
      <c r="C295" s="6">
        <v>0.69085708000000001</v>
      </c>
    </row>
    <row r="296" spans="1:3" x14ac:dyDescent="0.25">
      <c r="A296" s="6" t="s">
        <v>1294</v>
      </c>
      <c r="B296" s="6">
        <v>3.2835141999999998E-2</v>
      </c>
      <c r="C296" s="6">
        <v>2.0941664649999998</v>
      </c>
    </row>
    <row r="297" spans="1:3" x14ac:dyDescent="0.25">
      <c r="A297" s="6" t="s">
        <v>1295</v>
      </c>
      <c r="B297" s="6">
        <v>2.0445196999999998E-2</v>
      </c>
      <c r="C297" s="6">
        <v>2.7831329039999999</v>
      </c>
    </row>
    <row r="298" spans="1:3" x14ac:dyDescent="0.25">
      <c r="A298" s="6" t="s">
        <v>1296</v>
      </c>
      <c r="B298" s="6">
        <v>2.6490291999999999E-2</v>
      </c>
      <c r="C298" s="6">
        <v>0.24527695599999999</v>
      </c>
    </row>
    <row r="299" spans="1:3" x14ac:dyDescent="0.25">
      <c r="A299" s="6" t="s">
        <v>1297</v>
      </c>
      <c r="B299" s="6">
        <v>2.5999102E-2</v>
      </c>
      <c r="C299" s="6">
        <v>0.55118871400000002</v>
      </c>
    </row>
    <row r="300" spans="1:3" x14ac:dyDescent="0.25">
      <c r="A300" s="6" t="s">
        <v>1298</v>
      </c>
      <c r="B300" s="6">
        <v>6.0504026000000002E-2</v>
      </c>
      <c r="C300" s="6">
        <v>0.16256815299999999</v>
      </c>
    </row>
    <row r="301" spans="1:3" x14ac:dyDescent="0.25">
      <c r="A301" s="6" t="s">
        <v>1299</v>
      </c>
      <c r="B301" s="6">
        <v>5.3567257E-2</v>
      </c>
      <c r="C301" s="6">
        <v>0.23663384600000001</v>
      </c>
    </row>
    <row r="302" spans="1:3" x14ac:dyDescent="0.25">
      <c r="A302" s="6" t="s">
        <v>1300</v>
      </c>
      <c r="B302" s="6">
        <v>5.0453805999999997E-2</v>
      </c>
      <c r="C302" s="6">
        <v>0.62026707800000003</v>
      </c>
    </row>
    <row r="303" spans="1:3" x14ac:dyDescent="0.25">
      <c r="A303" s="6" t="s">
        <v>1301</v>
      </c>
      <c r="B303" s="6">
        <v>4.3243843999999997E-2</v>
      </c>
      <c r="C303" s="6">
        <v>1.1784128250000001</v>
      </c>
    </row>
    <row r="304" spans="1:3" x14ac:dyDescent="0.25">
      <c r="A304" s="6" t="s">
        <v>1302</v>
      </c>
      <c r="B304" s="6">
        <v>2.8764491999999999E-2</v>
      </c>
      <c r="C304" s="6">
        <v>0.218956069</v>
      </c>
    </row>
    <row r="305" spans="1:3" x14ac:dyDescent="0.25">
      <c r="A305" s="6" t="s">
        <v>1303</v>
      </c>
      <c r="B305" s="6">
        <v>4.6808456999999998E-2</v>
      </c>
      <c r="C305" s="6">
        <v>0.626661248</v>
      </c>
    </row>
    <row r="306" spans="1:3" x14ac:dyDescent="0.25">
      <c r="A306" s="6" t="s">
        <v>1304</v>
      </c>
      <c r="B306" s="6">
        <v>3.1182987999999998E-2</v>
      </c>
      <c r="C306" s="6">
        <v>1.474624143</v>
      </c>
    </row>
    <row r="307" spans="1:3" x14ac:dyDescent="0.25">
      <c r="A307" s="6" t="s">
        <v>1305</v>
      </c>
      <c r="B307" s="6">
        <v>2.5907155000000001E-2</v>
      </c>
      <c r="C307" s="6">
        <v>0.67657091199999997</v>
      </c>
    </row>
    <row r="308" spans="1:3" x14ac:dyDescent="0.25">
      <c r="A308" s="6" t="s">
        <v>1306</v>
      </c>
      <c r="B308" s="6">
        <v>0.69362959999999996</v>
      </c>
      <c r="C308" s="6">
        <v>1.0416723459999999</v>
      </c>
    </row>
    <row r="309" spans="1:3" x14ac:dyDescent="0.25">
      <c r="A309" s="6" t="s">
        <v>1307</v>
      </c>
      <c r="B309" s="6">
        <v>3.8437082999999997E-2</v>
      </c>
      <c r="C309" s="6">
        <v>0.69313488599999995</v>
      </c>
    </row>
    <row r="310" spans="1:3" x14ac:dyDescent="0.25">
      <c r="A310" s="6" t="s">
        <v>1308</v>
      </c>
      <c r="B310" s="6">
        <v>1.6632806E-2</v>
      </c>
      <c r="C310" s="6">
        <v>0.12121688999999999</v>
      </c>
    </row>
    <row r="311" spans="1:3" x14ac:dyDescent="0.25">
      <c r="A311" s="6" t="s">
        <v>1309</v>
      </c>
      <c r="B311" s="6">
        <v>3.0166927E-2</v>
      </c>
      <c r="C311" s="6">
        <v>0.13979763100000001</v>
      </c>
    </row>
    <row r="312" spans="1:3" x14ac:dyDescent="0.25">
      <c r="A312" s="6" t="s">
        <v>1310</v>
      </c>
      <c r="B312" s="6">
        <v>7.1986926000000007E-2</v>
      </c>
      <c r="C312" s="6">
        <v>0.31178573199999998</v>
      </c>
    </row>
    <row r="313" spans="1:3" x14ac:dyDescent="0.25">
      <c r="A313" s="6" t="s">
        <v>1311</v>
      </c>
      <c r="B313" s="6">
        <v>2.4848648000000001E-2</v>
      </c>
      <c r="C313" s="6">
        <v>9.0342550639999999</v>
      </c>
    </row>
    <row r="314" spans="1:3" x14ac:dyDescent="0.25">
      <c r="A314" s="6" t="s">
        <v>1312</v>
      </c>
      <c r="B314" s="6">
        <v>3.9009714000000001E-2</v>
      </c>
      <c r="C314" s="6">
        <v>0.92389726500000002</v>
      </c>
    </row>
    <row r="315" spans="1:3" x14ac:dyDescent="0.25">
      <c r="A315" s="6" t="s">
        <v>1313</v>
      </c>
      <c r="B315" s="6">
        <v>1.1419225999999999E-2</v>
      </c>
      <c r="C315" s="6">
        <v>0.56700408599999996</v>
      </c>
    </row>
    <row r="316" spans="1:3" x14ac:dyDescent="0.25">
      <c r="A316" s="6" t="s">
        <v>1314</v>
      </c>
      <c r="B316" s="6">
        <v>2.7347151E-2</v>
      </c>
      <c r="C316" s="6">
        <v>0.22105503900000001</v>
      </c>
    </row>
    <row r="317" spans="1:3" x14ac:dyDescent="0.25">
      <c r="A317" s="6" t="s">
        <v>1315</v>
      </c>
      <c r="B317" s="6">
        <v>0.17482133499999999</v>
      </c>
      <c r="C317" s="6">
        <v>0.40006606099999997</v>
      </c>
    </row>
    <row r="318" spans="1:3" x14ac:dyDescent="0.25">
      <c r="A318" s="6" t="s">
        <v>1316</v>
      </c>
      <c r="B318" s="6">
        <v>2.6441513999999999E-2</v>
      </c>
      <c r="C318" s="6">
        <v>0.92604455200000002</v>
      </c>
    </row>
    <row r="319" spans="1:3" x14ac:dyDescent="0.25">
      <c r="A319" s="6" t="s">
        <v>1317</v>
      </c>
      <c r="B319" s="6">
        <v>3.9126101000000003E-2</v>
      </c>
      <c r="C319" s="6">
        <v>0.502072831</v>
      </c>
    </row>
    <row r="320" spans="1:3" x14ac:dyDescent="0.25">
      <c r="A320" s="6" t="s">
        <v>1318</v>
      </c>
      <c r="B320" s="6">
        <v>1.227872E-2</v>
      </c>
      <c r="C320" s="6">
        <v>0.51578484199999997</v>
      </c>
    </row>
    <row r="321" spans="1:3" x14ac:dyDescent="0.25">
      <c r="A321" s="6" t="s">
        <v>1319</v>
      </c>
      <c r="B321" s="6">
        <v>8.0054589999999995E-3</v>
      </c>
      <c r="C321" s="6">
        <v>0.726394608</v>
      </c>
    </row>
    <row r="322" spans="1:3" x14ac:dyDescent="0.25">
      <c r="A322" s="6" t="s">
        <v>1320</v>
      </c>
      <c r="B322" s="6">
        <v>6.469827E-3</v>
      </c>
      <c r="C322" s="6">
        <v>0.72032297099999998</v>
      </c>
    </row>
    <row r="323" spans="1:3" x14ac:dyDescent="0.25">
      <c r="A323" s="6" t="s">
        <v>1321</v>
      </c>
      <c r="B323" s="6">
        <v>6.9693057000000003E-2</v>
      </c>
      <c r="C323" s="6">
        <v>0.841351611</v>
      </c>
    </row>
    <row r="324" spans="1:3" x14ac:dyDescent="0.25">
      <c r="A324" s="6" t="s">
        <v>1322</v>
      </c>
      <c r="B324" s="6">
        <v>3.3796747000000002E-2</v>
      </c>
      <c r="C324" s="6">
        <v>0.69264543999999995</v>
      </c>
    </row>
    <row r="325" spans="1:3" x14ac:dyDescent="0.25">
      <c r="A325" s="6" t="s">
        <v>1323</v>
      </c>
      <c r="B325" s="6">
        <v>2.4772869999999999E-2</v>
      </c>
      <c r="C325" s="6">
        <v>1.968042568</v>
      </c>
    </row>
    <row r="326" spans="1:3" x14ac:dyDescent="0.25">
      <c r="A326" s="6" t="s">
        <v>1324</v>
      </c>
      <c r="B326" s="6">
        <v>2.4340199999999999E-2</v>
      </c>
      <c r="C326" s="6">
        <v>3.5596510999999997E-2</v>
      </c>
    </row>
    <row r="327" spans="1:3" x14ac:dyDescent="0.25">
      <c r="A327" s="6" t="s">
        <v>1325</v>
      </c>
      <c r="B327" s="6">
        <v>3.6022887000000003E-2</v>
      </c>
      <c r="C327" s="6">
        <v>1.4114015550000001</v>
      </c>
    </row>
    <row r="328" spans="1:3" x14ac:dyDescent="0.25">
      <c r="A328" s="6" t="s">
        <v>1326</v>
      </c>
      <c r="B328" s="6">
        <v>2.3148489000000001E-2</v>
      </c>
      <c r="C328" s="6">
        <v>0.35021036300000002</v>
      </c>
    </row>
    <row r="329" spans="1:3" x14ac:dyDescent="0.25">
      <c r="A329" s="6" t="s">
        <v>1327</v>
      </c>
      <c r="B329" s="6">
        <v>2.2601263999999999E-2</v>
      </c>
      <c r="C329" s="6">
        <v>0.10422371</v>
      </c>
    </row>
    <row r="330" spans="1:3" x14ac:dyDescent="0.25">
      <c r="A330" s="6" t="s">
        <v>1328</v>
      </c>
      <c r="B330" s="6">
        <v>3.0287000000000001E-2</v>
      </c>
      <c r="C330" s="6">
        <v>1.0017743610000001</v>
      </c>
    </row>
    <row r="331" spans="1:3" x14ac:dyDescent="0.25">
      <c r="A331" s="6" t="s">
        <v>1329</v>
      </c>
      <c r="B331" s="6">
        <v>6.8928490000000004E-3</v>
      </c>
      <c r="C331" s="6">
        <v>0.67295654199999999</v>
      </c>
    </row>
    <row r="332" spans="1:3" x14ac:dyDescent="0.25">
      <c r="A332" s="6" t="s">
        <v>1330</v>
      </c>
      <c r="B332" s="6">
        <v>7.7798750000000003E-3</v>
      </c>
      <c r="C332" s="6">
        <v>1.1682599629999999</v>
      </c>
    </row>
    <row r="333" spans="1:3" x14ac:dyDescent="0.25">
      <c r="A333" s="6" t="s">
        <v>1331</v>
      </c>
      <c r="B333" s="6">
        <v>2.0823301999999998E-2</v>
      </c>
      <c r="C333" s="6">
        <v>0.71112829099999997</v>
      </c>
    </row>
    <row r="334" spans="1:3" x14ac:dyDescent="0.25">
      <c r="A334" s="6" t="s">
        <v>1332</v>
      </c>
      <c r="B334" s="6">
        <v>0.165725287</v>
      </c>
      <c r="C334" s="6">
        <v>0.322159472</v>
      </c>
    </row>
    <row r="335" spans="1:3" x14ac:dyDescent="0.25">
      <c r="A335" s="6" t="s">
        <v>1333</v>
      </c>
      <c r="B335" s="6">
        <v>0.39958510899999999</v>
      </c>
      <c r="C335" s="6">
        <v>1.7437546779999999</v>
      </c>
    </row>
    <row r="336" spans="1:3" x14ac:dyDescent="0.25">
      <c r="A336" s="6" t="s">
        <v>1334</v>
      </c>
      <c r="B336" s="6">
        <v>1.5172359999999999E-2</v>
      </c>
      <c r="C336" s="6">
        <v>1.502410228</v>
      </c>
    </row>
    <row r="337" spans="1:3" x14ac:dyDescent="0.25">
      <c r="A337" s="6" t="s">
        <v>1335</v>
      </c>
      <c r="B337" s="6">
        <v>2.7396991999999998E-2</v>
      </c>
      <c r="C337" s="6">
        <v>0.41364755199999997</v>
      </c>
    </row>
    <row r="338" spans="1:3" x14ac:dyDescent="0.25">
      <c r="A338" s="6" t="s">
        <v>1336</v>
      </c>
      <c r="B338" s="6">
        <v>5.4182453999999998E-2</v>
      </c>
      <c r="C338" s="6">
        <v>0.70142283400000005</v>
      </c>
    </row>
    <row r="339" spans="1:3" x14ac:dyDescent="0.25">
      <c r="A339" s="6" t="s">
        <v>1337</v>
      </c>
      <c r="B339" s="6">
        <v>0.14832039299999999</v>
      </c>
      <c r="C339" s="6">
        <v>0.43509029599999999</v>
      </c>
    </row>
    <row r="340" spans="1:3" x14ac:dyDescent="0.25">
      <c r="A340" s="6" t="s">
        <v>1338</v>
      </c>
      <c r="B340" s="6">
        <v>1.9362427000000001E-2</v>
      </c>
      <c r="C340" s="6">
        <v>5.046268596</v>
      </c>
    </row>
    <row r="341" spans="1:3" x14ac:dyDescent="0.25">
      <c r="A341" s="6" t="s">
        <v>1339</v>
      </c>
      <c r="B341" s="6">
        <v>2.1323215E-2</v>
      </c>
      <c r="C341" s="6">
        <v>0.97587326799999996</v>
      </c>
    </row>
    <row r="342" spans="1:3" x14ac:dyDescent="0.25">
      <c r="A342" s="6" t="s">
        <v>1340</v>
      </c>
      <c r="B342" s="6">
        <v>2.7561533999999999E-2</v>
      </c>
      <c r="C342" s="6">
        <v>1.356768113</v>
      </c>
    </row>
    <row r="343" spans="1:3" x14ac:dyDescent="0.25">
      <c r="A343" s="6" t="s">
        <v>1341</v>
      </c>
      <c r="B343" s="6">
        <v>2.5187503E-2</v>
      </c>
      <c r="C343" s="6">
        <v>0.31601190800000001</v>
      </c>
    </row>
    <row r="344" spans="1:3" x14ac:dyDescent="0.25">
      <c r="A344" s="6" t="s">
        <v>1342</v>
      </c>
      <c r="B344" s="6">
        <v>2.0448297000000001E-2</v>
      </c>
      <c r="C344" s="6">
        <v>0.56617642000000001</v>
      </c>
    </row>
    <row r="345" spans="1:3" x14ac:dyDescent="0.25">
      <c r="A345" s="6" t="s">
        <v>1343</v>
      </c>
      <c r="B345" s="6">
        <v>1.0101399E-2</v>
      </c>
      <c r="C345" s="6">
        <v>0.54539442800000004</v>
      </c>
    </row>
    <row r="346" spans="1:3" x14ac:dyDescent="0.25">
      <c r="A346" s="6" t="s">
        <v>1344</v>
      </c>
      <c r="B346" s="6">
        <v>1.0816727690000001</v>
      </c>
      <c r="C346" s="6">
        <v>0.656866956</v>
      </c>
    </row>
    <row r="347" spans="1:3" x14ac:dyDescent="0.25">
      <c r="A347" s="6" t="s">
        <v>1345</v>
      </c>
      <c r="B347" s="6">
        <v>3.2958728E-2</v>
      </c>
      <c r="C347" s="6">
        <v>0.62683882899999999</v>
      </c>
    </row>
    <row r="348" spans="1:3" x14ac:dyDescent="0.25">
      <c r="A348" s="6" t="s">
        <v>1346</v>
      </c>
      <c r="B348" s="6">
        <v>0.14140090999999999</v>
      </c>
      <c r="C348" s="6">
        <v>1.0154568799999999</v>
      </c>
    </row>
    <row r="349" spans="1:3" x14ac:dyDescent="0.25">
      <c r="A349" s="6" t="s">
        <v>1347</v>
      </c>
      <c r="B349" s="6">
        <v>2.95704E-2</v>
      </c>
      <c r="C349" s="6">
        <v>0.50943459800000002</v>
      </c>
    </row>
    <row r="350" spans="1:3" x14ac:dyDescent="0.25">
      <c r="A350" s="6" t="s">
        <v>1348</v>
      </c>
      <c r="B350" s="6">
        <v>1.1600005E-2</v>
      </c>
      <c r="C350" s="6">
        <v>1.0805337129999999</v>
      </c>
    </row>
    <row r="351" spans="1:3" x14ac:dyDescent="0.25">
      <c r="A351" s="6" t="s">
        <v>1349</v>
      </c>
      <c r="B351" s="6">
        <v>2.6236319000000001E-2</v>
      </c>
      <c r="C351" s="6">
        <v>0.42532899200000002</v>
      </c>
    </row>
    <row r="352" spans="1:3" x14ac:dyDescent="0.25">
      <c r="A352" s="6" t="s">
        <v>1350</v>
      </c>
      <c r="B352" s="6">
        <v>9.6358692999999995E-2</v>
      </c>
      <c r="C352" s="6">
        <v>0.49519549099999999</v>
      </c>
    </row>
    <row r="353" spans="1:3" x14ac:dyDescent="0.25">
      <c r="A353" s="6" t="s">
        <v>1351</v>
      </c>
      <c r="B353" s="6">
        <v>1.4699328439999999</v>
      </c>
      <c r="C353" s="6">
        <v>0.85973155400000001</v>
      </c>
    </row>
    <row r="354" spans="1:3" x14ac:dyDescent="0.25">
      <c r="A354" s="6" t="s">
        <v>1352</v>
      </c>
      <c r="B354" s="6">
        <v>3.9187066999999999E-2</v>
      </c>
      <c r="C354" s="6">
        <v>0.86243291899999996</v>
      </c>
    </row>
    <row r="355" spans="1:3" x14ac:dyDescent="0.25">
      <c r="A355" s="6" t="s">
        <v>1353</v>
      </c>
      <c r="B355" s="6">
        <v>5.1708867999999998E-2</v>
      </c>
      <c r="C355" s="6">
        <v>0.73916663199999999</v>
      </c>
    </row>
    <row r="356" spans="1:3" x14ac:dyDescent="0.25">
      <c r="A356" s="6" t="s">
        <v>1354</v>
      </c>
      <c r="B356" s="6">
        <v>2.6692886999999998E-2</v>
      </c>
      <c r="C356" s="6">
        <v>0.770344327</v>
      </c>
    </row>
    <row r="357" spans="1:3" x14ac:dyDescent="0.25">
      <c r="A357" s="6" t="s">
        <v>1355</v>
      </c>
      <c r="B357" s="6">
        <v>2.2342612000000001E-2</v>
      </c>
      <c r="C357" s="6">
        <v>0.97488245299999998</v>
      </c>
    </row>
    <row r="358" spans="1:3" x14ac:dyDescent="0.25">
      <c r="A358" s="6" t="s">
        <v>1356</v>
      </c>
      <c r="B358" s="6">
        <v>1.5271303E-2</v>
      </c>
      <c r="C358" s="6">
        <v>1.9863660379999999</v>
      </c>
    </row>
    <row r="359" spans="1:3" x14ac:dyDescent="0.25">
      <c r="A359" s="6" t="s">
        <v>1357</v>
      </c>
      <c r="B359" s="6">
        <v>1.6510377E-2</v>
      </c>
      <c r="C359" s="6">
        <v>0.108474986</v>
      </c>
    </row>
    <row r="360" spans="1:3" x14ac:dyDescent="0.25">
      <c r="A360" s="6" t="s">
        <v>1358</v>
      </c>
      <c r="B360" s="6">
        <v>3.7224186999999999E-2</v>
      </c>
      <c r="C360" s="6">
        <v>0.74137164799999999</v>
      </c>
    </row>
    <row r="361" spans="1:3" x14ac:dyDescent="0.25">
      <c r="A361" s="6" t="s">
        <v>1359</v>
      </c>
      <c r="B361" s="6">
        <v>3.6919123999999998E-2</v>
      </c>
      <c r="C361" s="6">
        <v>0.35843681599999999</v>
      </c>
    </row>
    <row r="362" spans="1:3" x14ac:dyDescent="0.25">
      <c r="A362" s="6" t="s">
        <v>1360</v>
      </c>
      <c r="B362" s="6">
        <v>2.1188934999999999E-2</v>
      </c>
      <c r="C362" s="6">
        <v>1.18221607</v>
      </c>
    </row>
    <row r="363" spans="1:3" x14ac:dyDescent="0.25">
      <c r="A363" s="6" t="s">
        <v>1361</v>
      </c>
      <c r="B363" s="6">
        <v>2.5231282000000001E-2</v>
      </c>
      <c r="C363" s="6">
        <v>1.59236785</v>
      </c>
    </row>
    <row r="364" spans="1:3" x14ac:dyDescent="0.25">
      <c r="A364" s="6" t="s">
        <v>1362</v>
      </c>
      <c r="B364" s="6">
        <v>1.5804216999999999E-2</v>
      </c>
      <c r="C364" s="6">
        <v>1.0296326099999999</v>
      </c>
    </row>
    <row r="365" spans="1:3" x14ac:dyDescent="0.25">
      <c r="A365" s="6" t="s">
        <v>1363</v>
      </c>
      <c r="B365" s="6">
        <v>3.2737074999999997E-2</v>
      </c>
      <c r="C365" s="6">
        <v>0.74051700099999995</v>
      </c>
    </row>
    <row r="366" spans="1:3" x14ac:dyDescent="0.25">
      <c r="A366" s="6" t="s">
        <v>1365</v>
      </c>
      <c r="B366" s="6">
        <v>2.2216533E-2</v>
      </c>
      <c r="C366" s="6">
        <v>0.48149038100000002</v>
      </c>
    </row>
    <row r="367" spans="1:3" x14ac:dyDescent="0.25">
      <c r="A367" s="6" t="s">
        <v>1366</v>
      </c>
      <c r="B367" s="6">
        <v>0.69079897300000004</v>
      </c>
      <c r="C367" s="6">
        <v>0.39908905099999997</v>
      </c>
    </row>
    <row r="368" spans="1:3" x14ac:dyDescent="0.25">
      <c r="A368" s="6" t="s">
        <v>1367</v>
      </c>
      <c r="B368" s="6">
        <v>9.143188E-3</v>
      </c>
      <c r="C368" s="6">
        <v>0.44452907000000003</v>
      </c>
    </row>
    <row r="369" spans="1:3" x14ac:dyDescent="0.25">
      <c r="A369" s="6" t="s">
        <v>1368</v>
      </c>
      <c r="B369" s="6">
        <v>1.4109742999999999E-2</v>
      </c>
      <c r="C369" s="6">
        <v>0.45329830700000001</v>
      </c>
    </row>
    <row r="370" spans="1:3" x14ac:dyDescent="0.25">
      <c r="A370" s="6" t="s">
        <v>1369</v>
      </c>
      <c r="B370" s="6">
        <v>2.9157124999999999E-2</v>
      </c>
      <c r="C370" s="6">
        <v>0.65255230099999995</v>
      </c>
    </row>
    <row r="371" spans="1:3" x14ac:dyDescent="0.25">
      <c r="A371" s="6" t="s">
        <v>1370</v>
      </c>
      <c r="B371" s="6">
        <v>0.178332612</v>
      </c>
      <c r="C371" s="6">
        <v>0.32797132899999998</v>
      </c>
    </row>
    <row r="372" spans="1:3" x14ac:dyDescent="0.25">
      <c r="A372" s="6" t="s">
        <v>1371</v>
      </c>
      <c r="B372" s="6">
        <v>0.77849915199999997</v>
      </c>
      <c r="C372" s="6">
        <v>0.54423983799999998</v>
      </c>
    </row>
    <row r="373" spans="1:3" x14ac:dyDescent="0.25">
      <c r="A373" s="6" t="s">
        <v>1372</v>
      </c>
      <c r="B373" s="6">
        <v>1.7177242999999998E-2</v>
      </c>
      <c r="C373" s="6">
        <v>0.64174496400000003</v>
      </c>
    </row>
    <row r="374" spans="1:3" x14ac:dyDescent="0.25">
      <c r="A374" s="6" t="s">
        <v>1373</v>
      </c>
      <c r="B374" s="6">
        <v>8.1896169999999997E-3</v>
      </c>
      <c r="C374" s="6">
        <v>1.4192220200000001</v>
      </c>
    </row>
    <row r="375" spans="1:3" x14ac:dyDescent="0.25">
      <c r="A375" s="6" t="s">
        <v>1374</v>
      </c>
      <c r="B375" s="6">
        <v>1.3378955E-2</v>
      </c>
      <c r="C375" s="6">
        <v>1.7721808080000001</v>
      </c>
    </row>
    <row r="376" spans="1:3" x14ac:dyDescent="0.25">
      <c r="A376" s="6" t="s">
        <v>1375</v>
      </c>
      <c r="B376" s="6">
        <v>2.3388274000000001E-2</v>
      </c>
      <c r="C376" s="6">
        <v>8.3870922000000001E-2</v>
      </c>
    </row>
    <row r="377" spans="1:3" x14ac:dyDescent="0.25">
      <c r="A377" s="6" t="s">
        <v>1376</v>
      </c>
      <c r="B377" s="6">
        <v>3.2090334999999998E-2</v>
      </c>
      <c r="C377" s="6">
        <v>26.555623820000001</v>
      </c>
    </row>
    <row r="378" spans="1:3" x14ac:dyDescent="0.25">
      <c r="A378" s="6" t="s">
        <v>1377</v>
      </c>
      <c r="B378" s="6">
        <v>4.2701274999999997E-2</v>
      </c>
      <c r="C378" s="6">
        <v>1.683555358</v>
      </c>
    </row>
    <row r="379" spans="1:3" x14ac:dyDescent="0.25">
      <c r="A379" s="6" t="s">
        <v>1378</v>
      </c>
      <c r="B379" s="6">
        <v>1.8954116E-2</v>
      </c>
      <c r="C379" s="6">
        <v>0.40622052800000003</v>
      </c>
    </row>
    <row r="380" spans="1:3" x14ac:dyDescent="0.25">
      <c r="A380" s="6" t="s">
        <v>1379</v>
      </c>
      <c r="B380" s="6">
        <v>3.0101244999999999E-2</v>
      </c>
      <c r="C380" s="6">
        <v>0.177453581</v>
      </c>
    </row>
    <row r="381" spans="1:3" x14ac:dyDescent="0.25">
      <c r="A381" s="6" t="s">
        <v>1380</v>
      </c>
      <c r="B381" s="6">
        <v>1.4791126999999999E-2</v>
      </c>
      <c r="C381" s="6">
        <v>0.356416283</v>
      </c>
    </row>
    <row r="382" spans="1:3" x14ac:dyDescent="0.25">
      <c r="A382" s="6" t="s">
        <v>1381</v>
      </c>
      <c r="B382" s="6">
        <v>4.4307446E-2</v>
      </c>
      <c r="C382" s="6">
        <v>0.13961189099999999</v>
      </c>
    </row>
    <row r="383" spans="1:3" x14ac:dyDescent="0.25">
      <c r="A383" s="6" t="s">
        <v>1382</v>
      </c>
      <c r="B383" s="6">
        <v>3.6716086000000002E-2</v>
      </c>
      <c r="C383" s="6">
        <v>0.254884526</v>
      </c>
    </row>
    <row r="384" spans="1:3" x14ac:dyDescent="0.25">
      <c r="A384" s="6" t="s">
        <v>1383</v>
      </c>
      <c r="B384" s="6">
        <v>0.11480584200000001</v>
      </c>
      <c r="C384" s="6">
        <v>0.431617741</v>
      </c>
    </row>
    <row r="385" spans="1:3" x14ac:dyDescent="0.25">
      <c r="A385" s="6" t="s">
        <v>1384</v>
      </c>
      <c r="B385" s="6">
        <v>2.4797407E-2</v>
      </c>
      <c r="C385" s="6">
        <v>0.22519022899999999</v>
      </c>
    </row>
    <row r="386" spans="1:3" x14ac:dyDescent="0.25">
      <c r="A386" s="6" t="s">
        <v>1385</v>
      </c>
      <c r="B386" s="6">
        <v>2.723244E-2</v>
      </c>
      <c r="C386" s="6">
        <v>1.181527708</v>
      </c>
    </row>
    <row r="387" spans="1:3" x14ac:dyDescent="0.25">
      <c r="A387" s="6" t="s">
        <v>1386</v>
      </c>
      <c r="B387" s="6">
        <v>1.5734387999999998E-2</v>
      </c>
      <c r="C387" s="6">
        <v>0.90633243799999996</v>
      </c>
    </row>
    <row r="388" spans="1:3" x14ac:dyDescent="0.25">
      <c r="A388" s="6" t="s">
        <v>1387</v>
      </c>
      <c r="B388" s="6">
        <v>1.8101655000000001E-2</v>
      </c>
      <c r="C388" s="6">
        <v>0.46531482800000001</v>
      </c>
    </row>
    <row r="389" spans="1:3" x14ac:dyDescent="0.25">
      <c r="A389" s="6" t="s">
        <v>1388</v>
      </c>
      <c r="B389" s="6">
        <v>1.9759713000000002E-2</v>
      </c>
      <c r="C389" s="6">
        <v>0.118061219</v>
      </c>
    </row>
    <row r="390" spans="1:3" x14ac:dyDescent="0.25">
      <c r="A390" s="6" t="s">
        <v>1389</v>
      </c>
      <c r="B390" s="6">
        <v>1.3833719E-2</v>
      </c>
      <c r="C390" s="6">
        <v>1.1209198899999999</v>
      </c>
    </row>
    <row r="391" spans="1:3" x14ac:dyDescent="0.25">
      <c r="A391" s="6" t="s">
        <v>1390</v>
      </c>
      <c r="B391" s="6">
        <v>4.1230746999999998E-2</v>
      </c>
      <c r="C391" s="6">
        <v>0.56222069600000002</v>
      </c>
    </row>
    <row r="392" spans="1:3" x14ac:dyDescent="0.25">
      <c r="A392" s="6" t="s">
        <v>1391</v>
      </c>
      <c r="B392" s="6">
        <v>4.3901673000000002E-2</v>
      </c>
      <c r="C392" s="6">
        <v>0.60580709399999999</v>
      </c>
    </row>
    <row r="393" spans="1:3" x14ac:dyDescent="0.25">
      <c r="A393" s="6" t="s">
        <v>1392</v>
      </c>
      <c r="B393" s="6">
        <v>2.3283819000000001E-2</v>
      </c>
      <c r="C393" s="6">
        <v>0.56612371100000003</v>
      </c>
    </row>
    <row r="394" spans="1:3" x14ac:dyDescent="0.25">
      <c r="A394" s="6" t="s">
        <v>1393</v>
      </c>
      <c r="B394" s="6">
        <v>2.7167810000000001E-2</v>
      </c>
      <c r="C394" s="6">
        <v>0.22884475600000001</v>
      </c>
    </row>
    <row r="395" spans="1:3" x14ac:dyDescent="0.25">
      <c r="A395" s="6" t="s">
        <v>1394</v>
      </c>
      <c r="B395" s="6">
        <v>0.25968830999999998</v>
      </c>
      <c r="C395" s="6">
        <v>0.27151940699999999</v>
      </c>
    </row>
    <row r="396" spans="1:3" x14ac:dyDescent="0.25">
      <c r="A396" s="6" t="s">
        <v>1395</v>
      </c>
      <c r="B396" s="6">
        <v>2.7897795999999999E-2</v>
      </c>
      <c r="C396" s="6">
        <v>0.63506716699999999</v>
      </c>
    </row>
    <row r="397" spans="1:3" x14ac:dyDescent="0.25">
      <c r="A397" s="6" t="s">
        <v>1396</v>
      </c>
      <c r="B397" s="6">
        <v>0.52550828199999999</v>
      </c>
      <c r="C397" s="6">
        <v>0.370485966</v>
      </c>
    </row>
    <row r="398" spans="1:3" x14ac:dyDescent="0.25">
      <c r="A398" s="6" t="s">
        <v>1397</v>
      </c>
      <c r="B398" s="6">
        <v>2.34164E-2</v>
      </c>
      <c r="C398" s="6">
        <v>8.6261675999999995E-2</v>
      </c>
    </row>
    <row r="399" spans="1:3" x14ac:dyDescent="0.25">
      <c r="A399" s="6" t="s">
        <v>1398</v>
      </c>
      <c r="B399" s="6">
        <v>1.6350785999999999E-2</v>
      </c>
      <c r="C399" s="6">
        <v>0.106407391</v>
      </c>
    </row>
    <row r="400" spans="1:3" x14ac:dyDescent="0.25">
      <c r="A400" s="6" t="s">
        <v>1399</v>
      </c>
      <c r="B400" s="6">
        <v>3.3280456999999999E-2</v>
      </c>
      <c r="C400" s="6">
        <v>1.201372224</v>
      </c>
    </row>
    <row r="401" spans="1:3" x14ac:dyDescent="0.25">
      <c r="A401" s="6" t="s">
        <v>1400</v>
      </c>
      <c r="B401" s="6">
        <v>6.2596841E-2</v>
      </c>
      <c r="C401" s="6">
        <v>0.19945855900000001</v>
      </c>
    </row>
    <row r="402" spans="1:3" x14ac:dyDescent="0.25">
      <c r="A402" s="6" t="s">
        <v>1401</v>
      </c>
      <c r="B402" s="6">
        <v>2.5533068999999999E-2</v>
      </c>
      <c r="C402" s="6">
        <v>0.62502474299999999</v>
      </c>
    </row>
    <row r="403" spans="1:3" x14ac:dyDescent="0.25">
      <c r="A403" s="6" t="s">
        <v>1402</v>
      </c>
      <c r="B403" s="6">
        <v>2.1131654999999999E-2</v>
      </c>
      <c r="C403" s="6">
        <v>0.89593673600000001</v>
      </c>
    </row>
    <row r="404" spans="1:3" x14ac:dyDescent="0.25">
      <c r="A404" s="6" t="s">
        <v>1403</v>
      </c>
      <c r="B404" s="6">
        <v>1.0260442E-2</v>
      </c>
      <c r="C404" s="6">
        <v>0.197623136</v>
      </c>
    </row>
    <row r="405" spans="1:3" x14ac:dyDescent="0.25">
      <c r="A405" s="6" t="s">
        <v>1404</v>
      </c>
      <c r="B405" s="6">
        <v>2.2037199E-2</v>
      </c>
      <c r="C405" s="6">
        <v>0.57746818499999997</v>
      </c>
    </row>
    <row r="406" spans="1:3" x14ac:dyDescent="0.25">
      <c r="A406" s="6" t="s">
        <v>1405</v>
      </c>
      <c r="B406" s="6">
        <v>0.125875346</v>
      </c>
      <c r="C406" s="6">
        <v>1.6439435099999999</v>
      </c>
    </row>
    <row r="407" spans="1:3" x14ac:dyDescent="0.25">
      <c r="A407" s="6" t="s">
        <v>1406</v>
      </c>
      <c r="B407" s="6">
        <v>0.36591622000000001</v>
      </c>
      <c r="C407" s="6">
        <v>0.304056255</v>
      </c>
    </row>
    <row r="408" spans="1:3" x14ac:dyDescent="0.25">
      <c r="A408" s="6" t="s">
        <v>1407</v>
      </c>
      <c r="B408" s="6">
        <v>3.4190513999999998E-2</v>
      </c>
      <c r="C408" s="6">
        <v>0.25905548299999998</v>
      </c>
    </row>
    <row r="409" spans="1:3" x14ac:dyDescent="0.25">
      <c r="A409" s="6" t="s">
        <v>1408</v>
      </c>
      <c r="B409" s="6">
        <v>2.3496047999999999E-2</v>
      </c>
      <c r="C409" s="6">
        <v>0.41599814699999998</v>
      </c>
    </row>
    <row r="410" spans="1:3" x14ac:dyDescent="0.25">
      <c r="A410" s="6" t="s">
        <v>1409</v>
      </c>
      <c r="B410" s="6">
        <v>1.2911591E-2</v>
      </c>
      <c r="C410" s="6">
        <v>0.208511422</v>
      </c>
    </row>
    <row r="411" spans="1:3" x14ac:dyDescent="0.25">
      <c r="A411" s="6" t="s">
        <v>1410</v>
      </c>
      <c r="B411" s="6">
        <v>7.8739489999999999E-3</v>
      </c>
      <c r="C411" s="6">
        <v>0.39924592599999997</v>
      </c>
    </row>
    <row r="412" spans="1:3" x14ac:dyDescent="0.25">
      <c r="A412" s="6" t="s">
        <v>1411</v>
      </c>
      <c r="B412" s="6">
        <v>1.1104129000000001E-2</v>
      </c>
      <c r="C412" s="6">
        <v>1.4435895169999999</v>
      </c>
    </row>
    <row r="413" spans="1:3" x14ac:dyDescent="0.25">
      <c r="A413" s="6" t="s">
        <v>1412</v>
      </c>
      <c r="B413" s="6">
        <v>1.9525859999999999E-2</v>
      </c>
      <c r="C413" s="6">
        <v>0.76064953499999999</v>
      </c>
    </row>
    <row r="414" spans="1:3" x14ac:dyDescent="0.25">
      <c r="A414" s="6" t="s">
        <v>1413</v>
      </c>
      <c r="B414" s="6">
        <v>0.62990300799999999</v>
      </c>
      <c r="C414" s="6">
        <v>0.70151319300000003</v>
      </c>
    </row>
    <row r="415" spans="1:3" x14ac:dyDescent="0.25">
      <c r="A415" s="6" t="s">
        <v>1414</v>
      </c>
      <c r="B415" s="6">
        <v>2.8430548E-2</v>
      </c>
      <c r="C415" s="6">
        <v>0.17213556399999999</v>
      </c>
    </row>
    <row r="416" spans="1:3" x14ac:dyDescent="0.25">
      <c r="A416" s="6" t="s">
        <v>1415</v>
      </c>
      <c r="B416" s="6">
        <v>3.411434E-2</v>
      </c>
      <c r="C416" s="6">
        <v>1.053202559</v>
      </c>
    </row>
    <row r="417" spans="1:3" x14ac:dyDescent="0.25">
      <c r="A417" s="6" t="s">
        <v>1416</v>
      </c>
      <c r="B417" s="6">
        <v>1.9155173000000001E-2</v>
      </c>
      <c r="C417" s="6">
        <v>0.61277228500000003</v>
      </c>
    </row>
    <row r="418" spans="1:3" x14ac:dyDescent="0.25">
      <c r="A418" s="6" t="s">
        <v>1417</v>
      </c>
      <c r="B418" s="6">
        <v>2.7924803000000002E-2</v>
      </c>
      <c r="C418" s="6">
        <v>0.67052500199999998</v>
      </c>
    </row>
    <row r="419" spans="1:3" x14ac:dyDescent="0.25">
      <c r="A419" s="6" t="s">
        <v>1418</v>
      </c>
      <c r="B419" s="6">
        <v>5.8727267E-2</v>
      </c>
      <c r="C419" s="6">
        <v>2.5061141349999998</v>
      </c>
    </row>
    <row r="420" spans="1:3" x14ac:dyDescent="0.25">
      <c r="A420" s="6" t="s">
        <v>1419</v>
      </c>
      <c r="B420" s="6">
        <v>8.7591935999999995E-2</v>
      </c>
      <c r="C420" s="6">
        <v>0.407054466</v>
      </c>
    </row>
    <row r="421" spans="1:3" x14ac:dyDescent="0.25">
      <c r="A421" s="6" t="s">
        <v>1420</v>
      </c>
      <c r="B421" s="6">
        <v>3.5181760999999999E-2</v>
      </c>
      <c r="C421" s="6">
        <v>0.62268732500000001</v>
      </c>
    </row>
    <row r="422" spans="1:3" x14ac:dyDescent="0.25">
      <c r="A422" s="6" t="s">
        <v>1421</v>
      </c>
      <c r="B422" s="6">
        <v>7.8601982000000001E-2</v>
      </c>
      <c r="C422" s="6">
        <v>32.47315794</v>
      </c>
    </row>
    <row r="423" spans="1:3" x14ac:dyDescent="0.25">
      <c r="A423" s="6" t="s">
        <v>1422</v>
      </c>
      <c r="B423" s="6">
        <v>6.5597139999999998E-2</v>
      </c>
      <c r="C423" s="6">
        <v>0.42388889099999999</v>
      </c>
    </row>
    <row r="424" spans="1:3" x14ac:dyDescent="0.25">
      <c r="A424" s="6" t="s">
        <v>1423</v>
      </c>
      <c r="B424" s="6">
        <v>1.178587E-2</v>
      </c>
      <c r="C424" s="6">
        <v>0.2489227</v>
      </c>
    </row>
    <row r="425" spans="1:3" x14ac:dyDescent="0.25">
      <c r="A425" s="6" t="s">
        <v>1424</v>
      </c>
      <c r="B425" s="6">
        <v>2.5949228000000001E-2</v>
      </c>
      <c r="C425" s="6">
        <v>0.72364492599999997</v>
      </c>
    </row>
    <row r="426" spans="1:3" x14ac:dyDescent="0.25">
      <c r="A426" s="6" t="s">
        <v>1425</v>
      </c>
      <c r="B426" s="6">
        <v>1.3400712E-2</v>
      </c>
      <c r="C426" s="6">
        <v>0.23359990999999999</v>
      </c>
    </row>
    <row r="427" spans="1:3" x14ac:dyDescent="0.25">
      <c r="A427" s="6" t="s">
        <v>1426</v>
      </c>
      <c r="B427" s="6">
        <v>2.9939231E-2</v>
      </c>
      <c r="C427" s="6">
        <v>0.157879513</v>
      </c>
    </row>
    <row r="428" spans="1:3" x14ac:dyDescent="0.25">
      <c r="A428" s="6" t="s">
        <v>1427</v>
      </c>
      <c r="B428" s="6">
        <v>1.9764878E-2</v>
      </c>
      <c r="C428" s="6">
        <v>0.71229919600000002</v>
      </c>
    </row>
    <row r="429" spans="1:3" x14ac:dyDescent="0.25">
      <c r="A429" s="6" t="s">
        <v>1428</v>
      </c>
      <c r="B429" s="6">
        <v>3.1614507999999999E-2</v>
      </c>
      <c r="C429" s="6">
        <v>31.114612139999998</v>
      </c>
    </row>
    <row r="430" spans="1:3" x14ac:dyDescent="0.25">
      <c r="A430" s="6" t="s">
        <v>1429</v>
      </c>
      <c r="B430" s="6">
        <v>4.9002311999999999E-2</v>
      </c>
      <c r="C430" s="6">
        <v>0.57903943099999999</v>
      </c>
    </row>
    <row r="431" spans="1:3" x14ac:dyDescent="0.25">
      <c r="A431" s="6" t="s">
        <v>1430</v>
      </c>
      <c r="B431" s="6">
        <v>1.4799273E-2</v>
      </c>
      <c r="C431" s="6">
        <v>1.163205493</v>
      </c>
    </row>
    <row r="432" spans="1:3" x14ac:dyDescent="0.25">
      <c r="A432" s="6" t="s">
        <v>1431</v>
      </c>
      <c r="B432" s="6">
        <v>4.4768599999999999E-2</v>
      </c>
      <c r="C432" s="6">
        <v>0.52558379799999999</v>
      </c>
    </row>
    <row r="433" spans="1:3" x14ac:dyDescent="0.25">
      <c r="A433" s="6" t="s">
        <v>1432</v>
      </c>
      <c r="B433" s="6">
        <v>4.5339604999999998E-2</v>
      </c>
      <c r="C433" s="6">
        <v>0.24492367800000001</v>
      </c>
    </row>
    <row r="434" spans="1:3" x14ac:dyDescent="0.25">
      <c r="A434" s="6" t="s">
        <v>1433</v>
      </c>
      <c r="B434" s="6">
        <v>2.3223462E-2</v>
      </c>
      <c r="C434" s="6">
        <v>0.80657021399999995</v>
      </c>
    </row>
    <row r="435" spans="1:3" x14ac:dyDescent="0.25">
      <c r="A435" s="6" t="s">
        <v>1434</v>
      </c>
      <c r="B435" s="6">
        <v>0.228688485</v>
      </c>
      <c r="C435" s="6">
        <v>0.77451402700000005</v>
      </c>
    </row>
    <row r="436" spans="1:3" x14ac:dyDescent="0.25">
      <c r="A436" s="6" t="s">
        <v>1435</v>
      </c>
      <c r="B436" s="6">
        <v>1.4609675000000001E-2</v>
      </c>
      <c r="C436" s="6">
        <v>0.294326951</v>
      </c>
    </row>
    <row r="437" spans="1:3" x14ac:dyDescent="0.25">
      <c r="A437" s="6" t="s">
        <v>1436</v>
      </c>
      <c r="B437" s="6">
        <v>2.8039089999999999E-2</v>
      </c>
      <c r="C437" s="6">
        <v>0.157742721</v>
      </c>
    </row>
    <row r="438" spans="1:3" x14ac:dyDescent="0.25">
      <c r="A438" s="6" t="s">
        <v>1437</v>
      </c>
      <c r="B438" s="6">
        <v>3.1914536E-2</v>
      </c>
      <c r="C438" s="6">
        <v>1.209572949</v>
      </c>
    </row>
    <row r="439" spans="1:3" x14ac:dyDescent="0.25">
      <c r="A439" s="6" t="s">
        <v>1438</v>
      </c>
      <c r="B439" s="6">
        <v>3.6879578000000003E-2</v>
      </c>
      <c r="C439" s="6">
        <v>0.618157442</v>
      </c>
    </row>
    <row r="440" spans="1:3" x14ac:dyDescent="0.25">
      <c r="A440" s="6" t="s">
        <v>1439</v>
      </c>
      <c r="B440" s="6">
        <v>3.8718541000000002E-2</v>
      </c>
      <c r="C440" s="6">
        <v>0.81787641099999997</v>
      </c>
    </row>
    <row r="441" spans="1:3" x14ac:dyDescent="0.25">
      <c r="A441" s="6" t="s">
        <v>1440</v>
      </c>
      <c r="B441" s="6">
        <v>2.3224083999999999E-2</v>
      </c>
      <c r="C441" s="6">
        <v>0.81017642700000003</v>
      </c>
    </row>
    <row r="442" spans="1:3" x14ac:dyDescent="0.25">
      <c r="A442" s="6" t="s">
        <v>1441</v>
      </c>
      <c r="B442" s="6">
        <v>1.2419971E-2</v>
      </c>
      <c r="C442" s="6">
        <v>0.37048533900000002</v>
      </c>
    </row>
    <row r="443" spans="1:3" x14ac:dyDescent="0.25">
      <c r="A443" s="6" t="s">
        <v>1442</v>
      </c>
      <c r="B443" s="6">
        <v>2.0255367999999999E-2</v>
      </c>
      <c r="C443" s="6">
        <v>0.71203062900000003</v>
      </c>
    </row>
    <row r="444" spans="1:3" x14ac:dyDescent="0.25">
      <c r="A444" s="6" t="s">
        <v>1443</v>
      </c>
      <c r="B444" s="6">
        <v>2.5094386999999999E-2</v>
      </c>
      <c r="C444" s="6">
        <v>0.27197057499999999</v>
      </c>
    </row>
    <row r="445" spans="1:3" x14ac:dyDescent="0.25">
      <c r="A445" s="6" t="s">
        <v>1444</v>
      </c>
      <c r="B445" s="6">
        <v>1.3952388E-2</v>
      </c>
      <c r="C445" s="6">
        <v>0.111809492</v>
      </c>
    </row>
    <row r="446" spans="1:3" x14ac:dyDescent="0.25">
      <c r="A446" s="6" t="s">
        <v>1445</v>
      </c>
      <c r="B446" s="6">
        <v>1.9494869000000001E-2</v>
      </c>
      <c r="C446" s="6">
        <v>1.6669273819999999</v>
      </c>
    </row>
    <row r="447" spans="1:3" x14ac:dyDescent="0.25">
      <c r="A447" s="6" t="s">
        <v>1446</v>
      </c>
      <c r="B447" s="6">
        <v>1.1791075E-2</v>
      </c>
      <c r="C447" s="6">
        <v>0.91643823599999996</v>
      </c>
    </row>
    <row r="448" spans="1:3" x14ac:dyDescent="0.25">
      <c r="A448" s="6" t="s">
        <v>1447</v>
      </c>
      <c r="B448" s="6">
        <v>3.6047334E-2</v>
      </c>
      <c r="C448" s="6">
        <v>0.52446685800000004</v>
      </c>
    </row>
    <row r="449" spans="1:3" x14ac:dyDescent="0.25">
      <c r="A449" s="6" t="s">
        <v>1448</v>
      </c>
      <c r="B449" s="6">
        <v>2.2770928999999999E-2</v>
      </c>
      <c r="C449" s="6">
        <v>0.17851404600000001</v>
      </c>
    </row>
    <row r="450" spans="1:3" x14ac:dyDescent="0.25">
      <c r="A450" s="6" t="s">
        <v>1449</v>
      </c>
      <c r="B450" s="6">
        <v>2.1605267000000001E-2</v>
      </c>
      <c r="C450" s="6">
        <v>1.5258276980000001</v>
      </c>
    </row>
    <row r="451" spans="1:3" x14ac:dyDescent="0.25">
      <c r="A451" s="6" t="s">
        <v>1450</v>
      </c>
      <c r="B451" s="6">
        <v>0.80214627800000005</v>
      </c>
      <c r="C451" s="6">
        <v>2.7936628899999998</v>
      </c>
    </row>
    <row r="452" spans="1:3" x14ac:dyDescent="0.25">
      <c r="A452" s="6" t="s">
        <v>1451</v>
      </c>
      <c r="B452" s="6">
        <v>1.3416824000000001E-2</v>
      </c>
      <c r="C452" s="6">
        <v>0.39582106</v>
      </c>
    </row>
    <row r="453" spans="1:3" x14ac:dyDescent="0.25">
      <c r="A453" s="6" t="s">
        <v>1452</v>
      </c>
      <c r="B453" s="6">
        <v>2.9209299000000001E-2</v>
      </c>
      <c r="C453" s="6">
        <v>0.79893674400000003</v>
      </c>
    </row>
    <row r="454" spans="1:3" x14ac:dyDescent="0.25">
      <c r="A454" s="6" t="s">
        <v>1453</v>
      </c>
      <c r="B454" s="6">
        <v>2.8657177999999998E-2</v>
      </c>
      <c r="C454" s="6">
        <v>0.84842661100000005</v>
      </c>
    </row>
    <row r="455" spans="1:3" x14ac:dyDescent="0.25">
      <c r="A455" s="6" t="s">
        <v>1454</v>
      </c>
      <c r="B455" s="6">
        <v>6.3773028999999995E-2</v>
      </c>
      <c r="C455" s="6">
        <v>0.17178541999999999</v>
      </c>
    </row>
    <row r="456" spans="1:3" x14ac:dyDescent="0.25">
      <c r="A456" s="6" t="s">
        <v>1455</v>
      </c>
      <c r="B456" s="6">
        <v>3.6827029999999997E-2</v>
      </c>
      <c r="C456" s="6">
        <v>0.40864579299999998</v>
      </c>
    </row>
    <row r="457" spans="1:3" x14ac:dyDescent="0.25">
      <c r="A457" s="6" t="s">
        <v>1456</v>
      </c>
      <c r="B457" s="6">
        <v>1.5793324000000001E-2</v>
      </c>
      <c r="C457" s="6">
        <v>0.36249482399999999</v>
      </c>
    </row>
    <row r="458" spans="1:3" x14ac:dyDescent="0.25">
      <c r="A458" s="6" t="s">
        <v>1457</v>
      </c>
      <c r="B458" s="6">
        <v>7.5542099999999996E-3</v>
      </c>
      <c r="C458" s="6">
        <v>1.003292898</v>
      </c>
    </row>
    <row r="459" spans="1:3" x14ac:dyDescent="0.25">
      <c r="A459" s="6" t="s">
        <v>1458</v>
      </c>
      <c r="B459" s="6">
        <v>2.7539478999999999E-2</v>
      </c>
      <c r="C459" s="6">
        <v>0.54785922600000003</v>
      </c>
    </row>
    <row r="460" spans="1:3" x14ac:dyDescent="0.25">
      <c r="A460" s="6" t="s">
        <v>1459</v>
      </c>
      <c r="B460" s="6">
        <v>1.7536089000000001E-2</v>
      </c>
      <c r="C460" s="6">
        <v>0.51266431099999998</v>
      </c>
    </row>
    <row r="461" spans="1:3" x14ac:dyDescent="0.25">
      <c r="A461" s="6" t="s">
        <v>1460</v>
      </c>
      <c r="B461" s="6">
        <v>2.3772182999999999E-2</v>
      </c>
      <c r="C461" s="6">
        <v>0.257840026</v>
      </c>
    </row>
    <row r="462" spans="1:3" x14ac:dyDescent="0.25">
      <c r="A462" s="6" t="s">
        <v>1461</v>
      </c>
      <c r="B462" s="6">
        <v>4.3907843000000002E-2</v>
      </c>
      <c r="C462" s="6">
        <v>1.1923783429999999</v>
      </c>
    </row>
    <row r="463" spans="1:3" x14ac:dyDescent="0.25">
      <c r="A463" s="6" t="s">
        <v>1462</v>
      </c>
      <c r="B463" s="6">
        <v>0.36523440000000001</v>
      </c>
      <c r="C463" s="6">
        <v>0.30995219400000001</v>
      </c>
    </row>
    <row r="464" spans="1:3" x14ac:dyDescent="0.25">
      <c r="A464" s="6" t="s">
        <v>1463</v>
      </c>
      <c r="B464" s="6">
        <v>1.6390575000000001E-2</v>
      </c>
      <c r="C464" s="6">
        <v>0.627561704</v>
      </c>
    </row>
    <row r="465" spans="1:3" x14ac:dyDescent="0.25">
      <c r="A465" s="6" t="s">
        <v>1464</v>
      </c>
      <c r="B465" s="6">
        <v>1.557768E-2</v>
      </c>
      <c r="C465" s="6">
        <v>0.548560139</v>
      </c>
    </row>
    <row r="466" spans="1:3" x14ac:dyDescent="0.25">
      <c r="A466" s="6" t="s">
        <v>1465</v>
      </c>
      <c r="B466" s="6">
        <v>3.3157862000000003E-2</v>
      </c>
      <c r="C466" s="6">
        <v>0.41117020399999998</v>
      </c>
    </row>
    <row r="467" spans="1:3" x14ac:dyDescent="0.25">
      <c r="A467" s="6" t="s">
        <v>1466</v>
      </c>
      <c r="B467" s="6">
        <v>2.6663804999999999E-2</v>
      </c>
      <c r="C467" s="6">
        <v>1.1788131660000001</v>
      </c>
    </row>
    <row r="468" spans="1:3" x14ac:dyDescent="0.25">
      <c r="A468" s="6" t="s">
        <v>1467</v>
      </c>
      <c r="B468" s="6">
        <v>0.13259153400000001</v>
      </c>
      <c r="C468" s="6">
        <v>2.766528144</v>
      </c>
    </row>
    <row r="469" spans="1:3" x14ac:dyDescent="0.25">
      <c r="A469" s="6" t="s">
        <v>1468</v>
      </c>
      <c r="B469" s="6">
        <v>1.5438626E-2</v>
      </c>
      <c r="C469" s="6">
        <v>0.61265055099999999</v>
      </c>
    </row>
    <row r="470" spans="1:3" x14ac:dyDescent="0.25">
      <c r="A470" s="6" t="s">
        <v>1469</v>
      </c>
      <c r="B470" s="6">
        <v>2.3134202E-2</v>
      </c>
      <c r="C470" s="6">
        <v>0.368501201</v>
      </c>
    </row>
    <row r="471" spans="1:3" x14ac:dyDescent="0.25">
      <c r="A471" s="6" t="s">
        <v>1470</v>
      </c>
      <c r="B471" s="6">
        <v>1.9869791000000001E-2</v>
      </c>
      <c r="C471" s="6">
        <v>0.32885986</v>
      </c>
    </row>
    <row r="472" spans="1:3" x14ac:dyDescent="0.25">
      <c r="A472" s="6" t="s">
        <v>1471</v>
      </c>
      <c r="B472" s="6">
        <v>1.9163238999999999E-2</v>
      </c>
      <c r="C472" s="6">
        <v>0.328275663</v>
      </c>
    </row>
    <row r="473" spans="1:3" x14ac:dyDescent="0.25">
      <c r="A473" s="6" t="s">
        <v>1472</v>
      </c>
      <c r="B473" s="6">
        <v>2.1408943999999999E-2</v>
      </c>
      <c r="C473" s="6">
        <v>1.7969022130000001</v>
      </c>
    </row>
    <row r="474" spans="1:3" x14ac:dyDescent="0.25">
      <c r="A474" s="6" t="s">
        <v>1473</v>
      </c>
      <c r="B474" s="6">
        <v>3.0622239999999998E-2</v>
      </c>
      <c r="C474" s="6">
        <v>0.67608083799999996</v>
      </c>
    </row>
    <row r="475" spans="1:3" x14ac:dyDescent="0.25">
      <c r="A475" s="6" t="s">
        <v>1474</v>
      </c>
      <c r="B475" s="6">
        <v>3.2611411E-2</v>
      </c>
      <c r="C475" s="6">
        <v>1.222811203</v>
      </c>
    </row>
    <row r="476" spans="1:3" x14ac:dyDescent="0.25">
      <c r="A476" s="6" t="s">
        <v>1475</v>
      </c>
      <c r="B476" s="6">
        <v>4.4598941000000003E-2</v>
      </c>
      <c r="C476" s="6">
        <v>0.58479167499999996</v>
      </c>
    </row>
    <row r="477" spans="1:3" x14ac:dyDescent="0.25">
      <c r="A477" s="6" t="s">
        <v>1476</v>
      </c>
      <c r="B477" s="6">
        <v>8.4786977999999999E-2</v>
      </c>
      <c r="C477" s="6">
        <v>0.29602432499999998</v>
      </c>
    </row>
    <row r="478" spans="1:3" x14ac:dyDescent="0.25">
      <c r="A478" s="6" t="s">
        <v>1477</v>
      </c>
      <c r="B478" s="6">
        <v>4.3946834999999997E-2</v>
      </c>
      <c r="C478" s="6">
        <v>0.33749669599999998</v>
      </c>
    </row>
    <row r="479" spans="1:3" x14ac:dyDescent="0.25">
      <c r="A479" s="6" t="s">
        <v>1478</v>
      </c>
      <c r="B479" s="6">
        <v>2.8427513000000001E-2</v>
      </c>
      <c r="C479" s="6">
        <v>1.443332243</v>
      </c>
    </row>
    <row r="480" spans="1:3" x14ac:dyDescent="0.25">
      <c r="A480" s="6" t="s">
        <v>1479</v>
      </c>
      <c r="B480" s="6">
        <v>3.1220110999999998E-2</v>
      </c>
      <c r="C480" s="6">
        <v>1.2167759600000001</v>
      </c>
    </row>
    <row r="481" spans="1:3" x14ac:dyDescent="0.25">
      <c r="A481" s="6" t="s">
        <v>1480</v>
      </c>
      <c r="B481" s="6">
        <v>4.3474066999999998E-2</v>
      </c>
      <c r="C481" s="6">
        <v>1.6051939000000001E-2</v>
      </c>
    </row>
    <row r="482" spans="1:3" x14ac:dyDescent="0.25">
      <c r="A482" s="6" t="s">
        <v>1481</v>
      </c>
      <c r="B482" s="6">
        <v>2.8679683000000001E-2</v>
      </c>
      <c r="C482" s="6">
        <v>0.17723834799999999</v>
      </c>
    </row>
    <row r="483" spans="1:3" x14ac:dyDescent="0.25">
      <c r="A483" s="6" t="s">
        <v>1482</v>
      </c>
      <c r="B483" s="6">
        <v>2.6375892000000001E-2</v>
      </c>
      <c r="C483" s="6">
        <v>0.32481628600000001</v>
      </c>
    </row>
    <row r="484" spans="1:3" x14ac:dyDescent="0.25">
      <c r="A484" s="6" t="s">
        <v>1483</v>
      </c>
      <c r="B484" s="6">
        <v>1.6456113000000001E-2</v>
      </c>
      <c r="C484" s="6">
        <v>0.67099562300000004</v>
      </c>
    </row>
    <row r="485" spans="1:3" x14ac:dyDescent="0.25">
      <c r="A485" s="6" t="s">
        <v>1485</v>
      </c>
      <c r="B485" s="6">
        <v>2.4989747E-2</v>
      </c>
      <c r="C485" s="6">
        <v>1.3239689729999999</v>
      </c>
    </row>
    <row r="486" spans="1:3" x14ac:dyDescent="0.25">
      <c r="A486" s="6" t="s">
        <v>1486</v>
      </c>
      <c r="B486" s="6">
        <v>3.7929583000000003E-2</v>
      </c>
      <c r="C486" s="6">
        <v>0.89915766399999997</v>
      </c>
    </row>
    <row r="487" spans="1:3" x14ac:dyDescent="0.25">
      <c r="A487" s="6" t="s">
        <v>1487</v>
      </c>
      <c r="B487" s="6">
        <v>5.4856261000000003E-2</v>
      </c>
      <c r="C487" s="6">
        <v>1.2049966320000001</v>
      </c>
    </row>
    <row r="488" spans="1:3" x14ac:dyDescent="0.25">
      <c r="A488" s="6" t="s">
        <v>1488</v>
      </c>
      <c r="B488" s="6">
        <v>2.5688687000000002E-2</v>
      </c>
      <c r="C488" s="6">
        <v>4.069888314</v>
      </c>
    </row>
    <row r="489" spans="1:3" x14ac:dyDescent="0.25">
      <c r="A489" s="6" t="s">
        <v>1489</v>
      </c>
      <c r="B489" s="6">
        <v>1.2586841E-2</v>
      </c>
      <c r="C489" s="6">
        <v>1.709881266</v>
      </c>
    </row>
    <row r="490" spans="1:3" x14ac:dyDescent="0.25">
      <c r="A490" s="6" t="s">
        <v>1490</v>
      </c>
      <c r="B490" s="6">
        <v>1.5278652E-2</v>
      </c>
      <c r="C490" s="6">
        <v>0.17566647599999999</v>
      </c>
    </row>
    <row r="491" spans="1:3" x14ac:dyDescent="0.25">
      <c r="A491" s="6" t="s">
        <v>1491</v>
      </c>
      <c r="B491" s="6">
        <v>1.3671538E-2</v>
      </c>
      <c r="C491" s="6">
        <v>0.75703077500000004</v>
      </c>
    </row>
    <row r="492" spans="1:3" x14ac:dyDescent="0.25">
      <c r="A492" s="6" t="s">
        <v>1492</v>
      </c>
      <c r="B492" s="6">
        <v>2.2794934999999999E-2</v>
      </c>
      <c r="C492" s="6">
        <v>0.84468298100000005</v>
      </c>
    </row>
    <row r="493" spans="1:3" x14ac:dyDescent="0.25">
      <c r="A493" s="6" t="s">
        <v>1493</v>
      </c>
      <c r="B493" s="6">
        <v>3.5033688E-2</v>
      </c>
      <c r="C493" s="6">
        <v>0.31585127000000002</v>
      </c>
    </row>
    <row r="494" spans="1:3" x14ac:dyDescent="0.25">
      <c r="A494" s="6" t="s">
        <v>1494</v>
      </c>
      <c r="B494" s="6">
        <v>3.2632010000000003E-2</v>
      </c>
      <c r="C494" s="6">
        <v>0.537270884</v>
      </c>
    </row>
    <row r="495" spans="1:3" x14ac:dyDescent="0.25">
      <c r="A495" s="6" t="s">
        <v>1495</v>
      </c>
      <c r="B495" s="6">
        <v>2.4328387E-2</v>
      </c>
      <c r="C495" s="6">
        <v>1.7815191829999999</v>
      </c>
    </row>
    <row r="496" spans="1:3" x14ac:dyDescent="0.25">
      <c r="A496" s="6" t="s">
        <v>1496</v>
      </c>
      <c r="B496" s="6">
        <v>3.1886664000000002E-2</v>
      </c>
      <c r="C496" s="6">
        <v>0.105382063</v>
      </c>
    </row>
    <row r="497" spans="1:3" x14ac:dyDescent="0.25">
      <c r="A497" s="6" t="s">
        <v>1497</v>
      </c>
      <c r="B497" s="6">
        <v>1.0646119000000001E-2</v>
      </c>
      <c r="C497" s="6">
        <v>0.37459731099999999</v>
      </c>
    </row>
    <row r="498" spans="1:3" x14ac:dyDescent="0.25">
      <c r="A498" s="6" t="s">
        <v>1498</v>
      </c>
      <c r="B498" s="6">
        <v>1.0746800000000001E-2</v>
      </c>
      <c r="C498" s="6">
        <v>0.63814188999999999</v>
      </c>
    </row>
    <row r="499" spans="1:3" x14ac:dyDescent="0.25">
      <c r="A499" s="6" t="s">
        <v>1499</v>
      </c>
      <c r="B499" s="6">
        <v>2.0945223999999998E-2</v>
      </c>
      <c r="C499" s="6">
        <v>0.47663420299999998</v>
      </c>
    </row>
    <row r="500" spans="1:3" x14ac:dyDescent="0.25">
      <c r="A500" s="6" t="s">
        <v>1500</v>
      </c>
      <c r="B500" s="6">
        <v>3.2735895000000001E-2</v>
      </c>
      <c r="C500" s="6">
        <v>0.36724621200000002</v>
      </c>
    </row>
    <row r="501" spans="1:3" x14ac:dyDescent="0.25">
      <c r="A501" s="6" t="s">
        <v>1501</v>
      </c>
      <c r="B501" s="6">
        <v>2.082258E-2</v>
      </c>
      <c r="C501" s="6">
        <v>0.56113763800000005</v>
      </c>
    </row>
    <row r="502" spans="1:3" x14ac:dyDescent="0.25">
      <c r="A502" s="6" t="s">
        <v>1502</v>
      </c>
      <c r="B502" s="6">
        <v>2.1124226999999999E-2</v>
      </c>
      <c r="C502" s="6">
        <v>0.40769262899999997</v>
      </c>
    </row>
    <row r="503" spans="1:3" x14ac:dyDescent="0.25">
      <c r="A503" s="6" t="s">
        <v>1503</v>
      </c>
      <c r="B503" s="6">
        <v>4.8301536999999999E-2</v>
      </c>
      <c r="C503" s="6">
        <v>0.86605544400000001</v>
      </c>
    </row>
    <row r="504" spans="1:3" x14ac:dyDescent="0.25">
      <c r="A504" s="6" t="s">
        <v>1504</v>
      </c>
      <c r="B504" s="6">
        <v>2.5028066000000002E-2</v>
      </c>
      <c r="C504" s="6">
        <v>2.2418648810000001</v>
      </c>
    </row>
    <row r="505" spans="1:3" x14ac:dyDescent="0.25">
      <c r="A505" s="6" t="s">
        <v>1505</v>
      </c>
      <c r="B505" s="6">
        <v>6.3664810000000002E-3</v>
      </c>
      <c r="C505" s="6">
        <v>0.28799113799999998</v>
      </c>
    </row>
    <row r="506" spans="1:3" x14ac:dyDescent="0.25">
      <c r="A506" s="6" t="s">
        <v>1506</v>
      </c>
      <c r="B506" s="6">
        <v>1.2991881E-2</v>
      </c>
      <c r="C506" s="6">
        <v>0.74681767200000004</v>
      </c>
    </row>
    <row r="507" spans="1:3" x14ac:dyDescent="0.25">
      <c r="A507" s="6" t="s">
        <v>1507</v>
      </c>
      <c r="B507" s="6">
        <v>1.1177563999999999E-2</v>
      </c>
      <c r="C507" s="6">
        <v>0.32283716800000001</v>
      </c>
    </row>
    <row r="508" spans="1:3" x14ac:dyDescent="0.25">
      <c r="A508" s="6" t="s">
        <v>1508</v>
      </c>
      <c r="B508" s="6">
        <v>8.1060940999999997E-2</v>
      </c>
      <c r="C508" s="6">
        <v>0.30725961499999999</v>
      </c>
    </row>
    <row r="509" spans="1:3" x14ac:dyDescent="0.25">
      <c r="A509" s="6" t="s">
        <v>1509</v>
      </c>
      <c r="B509" s="6">
        <v>4.5061354999999997E-2</v>
      </c>
      <c r="C509" s="6">
        <v>0.44024516499999999</v>
      </c>
    </row>
    <row r="510" spans="1:3" x14ac:dyDescent="0.25">
      <c r="A510" s="6" t="s">
        <v>1510</v>
      </c>
      <c r="B510" s="6">
        <v>6.1294564000000003E-2</v>
      </c>
      <c r="C510" s="6">
        <v>0.625884412</v>
      </c>
    </row>
    <row r="511" spans="1:3" x14ac:dyDescent="0.25">
      <c r="A511" s="6" t="s">
        <v>1511</v>
      </c>
      <c r="B511" s="6">
        <v>0.10832931599999999</v>
      </c>
      <c r="C511" s="6">
        <v>0.52003297999999998</v>
      </c>
    </row>
    <row r="512" spans="1:3" x14ac:dyDescent="0.25">
      <c r="A512" s="6" t="s">
        <v>1512</v>
      </c>
      <c r="B512" s="6">
        <v>2.8946513E-2</v>
      </c>
      <c r="C512" s="6">
        <v>0.406226802</v>
      </c>
    </row>
    <row r="513" spans="1:3" x14ac:dyDescent="0.25">
      <c r="A513" s="6" t="s">
        <v>1513</v>
      </c>
      <c r="B513" s="6">
        <v>1.4262561E-2</v>
      </c>
      <c r="C513" s="6">
        <v>3.9021514860000002</v>
      </c>
    </row>
    <row r="514" spans="1:3" x14ac:dyDescent="0.25">
      <c r="A514" s="6" t="s">
        <v>1514</v>
      </c>
      <c r="B514" s="6">
        <v>3.3427985E-2</v>
      </c>
      <c r="C514" s="6">
        <v>0.91362392400000003</v>
      </c>
    </row>
    <row r="515" spans="1:3" x14ac:dyDescent="0.25">
      <c r="A515" s="6" t="s">
        <v>1515</v>
      </c>
      <c r="B515" s="6">
        <v>9.3711999999999997E-3</v>
      </c>
      <c r="C515" s="6">
        <v>0.54676613100000004</v>
      </c>
    </row>
    <row r="516" spans="1:3" x14ac:dyDescent="0.25">
      <c r="A516" s="6" t="s">
        <v>1516</v>
      </c>
      <c r="B516" s="6">
        <v>2.4179068000000001E-2</v>
      </c>
      <c r="C516" s="6">
        <v>1.249811037</v>
      </c>
    </row>
    <row r="517" spans="1:3" x14ac:dyDescent="0.25">
      <c r="A517" s="6" t="s">
        <v>1517</v>
      </c>
      <c r="B517" s="6">
        <v>3.3729323999999998E-2</v>
      </c>
      <c r="C517" s="6">
        <v>1.1386001779999999</v>
      </c>
    </row>
    <row r="518" spans="1:3" x14ac:dyDescent="0.25">
      <c r="A518" s="6" t="s">
        <v>1518</v>
      </c>
      <c r="B518" s="6">
        <v>0.71363417500000004</v>
      </c>
      <c r="C518" s="6">
        <v>0.54300430099999997</v>
      </c>
    </row>
    <row r="519" spans="1:3" x14ac:dyDescent="0.25">
      <c r="A519" s="6" t="s">
        <v>1519</v>
      </c>
      <c r="B519" s="6">
        <v>2.2775923E-2</v>
      </c>
      <c r="C519" s="6">
        <v>0.32864086399999998</v>
      </c>
    </row>
    <row r="520" spans="1:3" x14ac:dyDescent="0.25">
      <c r="A520" s="6" t="s">
        <v>1520</v>
      </c>
      <c r="B520" s="6">
        <v>7.6710660999999999E-2</v>
      </c>
      <c r="C520" s="6">
        <v>1.2355618909999999</v>
      </c>
    </row>
    <row r="521" spans="1:3" x14ac:dyDescent="0.25">
      <c r="A521" s="6" t="s">
        <v>1521</v>
      </c>
      <c r="B521" s="6">
        <v>3.8792042999999998E-2</v>
      </c>
      <c r="C521" s="6">
        <v>0.20588284800000001</v>
      </c>
    </row>
    <row r="522" spans="1:3" x14ac:dyDescent="0.25">
      <c r="A522" s="6" t="s">
        <v>1522</v>
      </c>
      <c r="B522" s="6">
        <v>4.0926464000000003E-2</v>
      </c>
      <c r="C522" s="6">
        <v>0.15614951199999999</v>
      </c>
    </row>
    <row r="523" spans="1:3" x14ac:dyDescent="0.25">
      <c r="A523" s="6" t="s">
        <v>1523</v>
      </c>
      <c r="B523" s="6">
        <v>6.3749976E-2</v>
      </c>
      <c r="C523" s="6">
        <v>0.264126266</v>
      </c>
    </row>
    <row r="524" spans="1:3" x14ac:dyDescent="0.25">
      <c r="A524" s="6" t="s">
        <v>1524</v>
      </c>
      <c r="B524" s="6">
        <v>9.4090743000000004E-2</v>
      </c>
      <c r="C524" s="6">
        <v>0.29618433599999999</v>
      </c>
    </row>
    <row r="525" spans="1:3" x14ac:dyDescent="0.25">
      <c r="A525" s="6" t="s">
        <v>1525</v>
      </c>
      <c r="B525" s="6">
        <v>2.9206085999999999E-2</v>
      </c>
      <c r="C525" s="6">
        <v>0.743508893</v>
      </c>
    </row>
    <row r="526" spans="1:3" x14ac:dyDescent="0.25">
      <c r="A526" s="6" t="s">
        <v>1526</v>
      </c>
      <c r="B526" s="6">
        <v>4.0210018E-2</v>
      </c>
      <c r="C526" s="6">
        <v>0.51355284400000001</v>
      </c>
    </row>
    <row r="527" spans="1:3" x14ac:dyDescent="0.25">
      <c r="A527" s="6" t="s">
        <v>1527</v>
      </c>
      <c r="B527" s="6">
        <v>2.7814351000000001E-2</v>
      </c>
      <c r="C527" s="6">
        <v>0.28733415299999998</v>
      </c>
    </row>
    <row r="528" spans="1:3" x14ac:dyDescent="0.25">
      <c r="A528" s="6" t="s">
        <v>1528</v>
      </c>
      <c r="B528" s="6">
        <v>6.1737818999999999E-2</v>
      </c>
      <c r="C528" s="6">
        <v>8.8937314000000003E-2</v>
      </c>
    </row>
    <row r="529" spans="1:3" x14ac:dyDescent="0.25">
      <c r="A529" s="6" t="s">
        <v>1529</v>
      </c>
      <c r="B529" s="6">
        <v>3.0352460000000001E-2</v>
      </c>
      <c r="C529" s="6">
        <v>0.79004012599999995</v>
      </c>
    </row>
    <row r="530" spans="1:3" x14ac:dyDescent="0.25">
      <c r="A530" s="6" t="s">
        <v>1530</v>
      </c>
      <c r="B530" s="6">
        <v>0.105998763</v>
      </c>
      <c r="C530" s="6">
        <v>0.83259617900000005</v>
      </c>
    </row>
    <row r="531" spans="1:3" x14ac:dyDescent="0.25">
      <c r="A531" s="6" t="s">
        <v>1531</v>
      </c>
      <c r="B531" s="6">
        <v>2.2408891E-2</v>
      </c>
      <c r="C531" s="6">
        <v>1.153339396</v>
      </c>
    </row>
    <row r="532" spans="1:3" x14ac:dyDescent="0.25">
      <c r="A532" s="6" t="s">
        <v>1532</v>
      </c>
      <c r="B532" s="6">
        <v>2.0742988E-2</v>
      </c>
      <c r="C532" s="6">
        <v>1.7595298909999999</v>
      </c>
    </row>
    <row r="533" spans="1:3" x14ac:dyDescent="0.25">
      <c r="A533" s="6" t="s">
        <v>1533</v>
      </c>
      <c r="B533" s="6">
        <v>3.1354843E-2</v>
      </c>
      <c r="C533" s="6">
        <v>0.532604207</v>
      </c>
    </row>
    <row r="534" spans="1:3" x14ac:dyDescent="0.25">
      <c r="A534" s="6" t="s">
        <v>1534</v>
      </c>
      <c r="B534" s="6">
        <v>2.4997246000000001E-2</v>
      </c>
      <c r="C534" s="6">
        <v>0.35436500300000001</v>
      </c>
    </row>
    <row r="535" spans="1:3" x14ac:dyDescent="0.25">
      <c r="A535" s="6" t="s">
        <v>1535</v>
      </c>
      <c r="B535" s="6">
        <v>2.6105422999999999E-2</v>
      </c>
      <c r="C535" s="6">
        <v>0.78631468999999998</v>
      </c>
    </row>
    <row r="536" spans="1:3" x14ac:dyDescent="0.25">
      <c r="A536" s="6" t="s">
        <v>1536</v>
      </c>
      <c r="B536" s="6">
        <v>3.9224396000000002E-2</v>
      </c>
      <c r="C536" s="6">
        <v>0.34450329899999999</v>
      </c>
    </row>
    <row r="537" spans="1:3" x14ac:dyDescent="0.25">
      <c r="A537" s="6" t="s">
        <v>1537</v>
      </c>
      <c r="B537" s="6">
        <v>3.9825589000000002E-2</v>
      </c>
      <c r="C537" s="6">
        <v>1.098991464</v>
      </c>
    </row>
    <row r="538" spans="1:3" x14ac:dyDescent="0.25">
      <c r="A538" s="6" t="s">
        <v>1538</v>
      </c>
      <c r="B538" s="6">
        <v>3.2976467000000002E-2</v>
      </c>
      <c r="C538" s="6">
        <v>0.51225957700000002</v>
      </c>
    </row>
    <row r="539" spans="1:3" x14ac:dyDescent="0.25">
      <c r="A539" s="6" t="s">
        <v>1539</v>
      </c>
      <c r="B539" s="6">
        <v>0.42992287600000001</v>
      </c>
      <c r="C539" s="6">
        <v>0.45918295100000001</v>
      </c>
    </row>
    <row r="540" spans="1:3" x14ac:dyDescent="0.25">
      <c r="A540" s="6" t="s">
        <v>1540</v>
      </c>
      <c r="B540" s="6">
        <v>2.8365567000000001E-2</v>
      </c>
      <c r="C540" s="6">
        <v>0.48598387100000001</v>
      </c>
    </row>
    <row r="541" spans="1:3" x14ac:dyDescent="0.25">
      <c r="A541" s="6" t="s">
        <v>1541</v>
      </c>
      <c r="B541" s="6">
        <v>2.3803594000000001E-2</v>
      </c>
      <c r="C541" s="6">
        <v>5.468295082</v>
      </c>
    </row>
    <row r="542" spans="1:3" x14ac:dyDescent="0.25">
      <c r="A542" s="6" t="s">
        <v>1542</v>
      </c>
      <c r="B542" s="6">
        <v>3.0808372000000001E-2</v>
      </c>
      <c r="C542" s="6">
        <v>0.57856316299999999</v>
      </c>
    </row>
    <row r="543" spans="1:3" x14ac:dyDescent="0.25">
      <c r="A543" s="6" t="s">
        <v>1543</v>
      </c>
      <c r="B543" s="6">
        <v>1.7620143000000001E-2</v>
      </c>
      <c r="C543" s="6">
        <v>0.72002491000000002</v>
      </c>
    </row>
    <row r="544" spans="1:3" x14ac:dyDescent="0.25">
      <c r="A544" s="6" t="s">
        <v>1544</v>
      </c>
      <c r="B544" s="6">
        <v>4.9828061E-2</v>
      </c>
      <c r="C544" s="6">
        <v>0.574313144</v>
      </c>
    </row>
    <row r="545" spans="1:3" x14ac:dyDescent="0.25">
      <c r="A545" s="6" t="s">
        <v>1545</v>
      </c>
      <c r="B545" s="6">
        <v>3.5695906999999999E-2</v>
      </c>
      <c r="C545" s="6">
        <v>4.2751204000000001E-2</v>
      </c>
    </row>
    <row r="546" spans="1:3" x14ac:dyDescent="0.25">
      <c r="A546" s="6" t="s">
        <v>1546</v>
      </c>
      <c r="B546" s="6">
        <v>2.0260430999999999E-2</v>
      </c>
      <c r="C546" s="6">
        <v>0.27768077699999999</v>
      </c>
    </row>
    <row r="547" spans="1:3" x14ac:dyDescent="0.25">
      <c r="A547" s="6" t="s">
        <v>1547</v>
      </c>
      <c r="B547" s="6">
        <v>5.6851407999999999E-2</v>
      </c>
      <c r="C547" s="6">
        <v>0.97983150200000002</v>
      </c>
    </row>
    <row r="548" spans="1:3" x14ac:dyDescent="0.25">
      <c r="A548" s="6" t="s">
        <v>1548</v>
      </c>
      <c r="B548" s="6">
        <v>3.7021977999999997E-2</v>
      </c>
      <c r="C548" s="6">
        <v>0.45328701100000002</v>
      </c>
    </row>
    <row r="549" spans="1:3" x14ac:dyDescent="0.25">
      <c r="A549" s="6" t="s">
        <v>1549</v>
      </c>
      <c r="B549" s="6">
        <v>4.2793739999999997E-2</v>
      </c>
      <c r="C549" s="6">
        <v>1.6081882430000001</v>
      </c>
    </row>
    <row r="550" spans="1:3" x14ac:dyDescent="0.25">
      <c r="A550" s="6" t="s">
        <v>1550</v>
      </c>
      <c r="B550" s="6">
        <v>3.2850381999999997E-2</v>
      </c>
      <c r="C550" s="6">
        <v>0.84193706400000001</v>
      </c>
    </row>
    <row r="551" spans="1:3" x14ac:dyDescent="0.25">
      <c r="A551" s="6" t="s">
        <v>1551</v>
      </c>
      <c r="B551" s="6">
        <v>6.5320068999999994E-2</v>
      </c>
      <c r="C551" s="6">
        <v>1.3332634219999999</v>
      </c>
    </row>
    <row r="552" spans="1:3" x14ac:dyDescent="0.25">
      <c r="A552" s="6" t="s">
        <v>1552</v>
      </c>
      <c r="B552" s="6">
        <v>0.100967064</v>
      </c>
      <c r="C552" s="6">
        <v>0.57753219</v>
      </c>
    </row>
    <row r="553" spans="1:3" x14ac:dyDescent="0.25">
      <c r="A553" s="6" t="s">
        <v>1553</v>
      </c>
      <c r="B553" s="6">
        <v>1.9874256999999999E-2</v>
      </c>
      <c r="C553" s="6">
        <v>0.283825202</v>
      </c>
    </row>
    <row r="554" spans="1:3" x14ac:dyDescent="0.25">
      <c r="A554" s="6" t="s">
        <v>1554</v>
      </c>
      <c r="B554" s="6">
        <v>2.7529026000000002E-2</v>
      </c>
      <c r="C554" s="6">
        <v>0.65710352100000002</v>
      </c>
    </row>
    <row r="555" spans="1:3" x14ac:dyDescent="0.25">
      <c r="A555" s="6" t="s">
        <v>1555</v>
      </c>
      <c r="B555" s="6">
        <v>0.100938873</v>
      </c>
      <c r="C555" s="6">
        <v>0.30420246000000001</v>
      </c>
    </row>
    <row r="556" spans="1:3" x14ac:dyDescent="0.25">
      <c r="A556" s="6" t="s">
        <v>1556</v>
      </c>
      <c r="B556" s="6">
        <v>3.1481271999999998E-2</v>
      </c>
      <c r="C556" s="6">
        <v>0.48691067999999998</v>
      </c>
    </row>
    <row r="557" spans="1:3" x14ac:dyDescent="0.25">
      <c r="A557" s="6" t="s">
        <v>1557</v>
      </c>
      <c r="B557" s="6">
        <v>2.5304734999999998E-2</v>
      </c>
      <c r="C557" s="6">
        <v>0.28722057600000001</v>
      </c>
    </row>
    <row r="558" spans="1:3" x14ac:dyDescent="0.25">
      <c r="A558" s="6" t="s">
        <v>1558</v>
      </c>
      <c r="B558" s="6">
        <v>6.9582514999999998E-2</v>
      </c>
      <c r="C558" s="6">
        <v>0.72345667700000005</v>
      </c>
    </row>
    <row r="559" spans="1:3" x14ac:dyDescent="0.25">
      <c r="A559" s="6" t="s">
        <v>1559</v>
      </c>
      <c r="B559" s="6">
        <v>3.5922842000000003E-2</v>
      </c>
      <c r="C559" s="6">
        <v>0.57866230900000004</v>
      </c>
    </row>
    <row r="560" spans="1:3" x14ac:dyDescent="0.25">
      <c r="A560" s="6" t="s">
        <v>1560</v>
      </c>
      <c r="B560" s="6">
        <v>1.9815955E-2</v>
      </c>
      <c r="C560" s="6">
        <v>0.27361461100000001</v>
      </c>
    </row>
    <row r="561" spans="1:3" x14ac:dyDescent="0.25">
      <c r="A561" s="6" t="s">
        <v>1561</v>
      </c>
      <c r="B561" s="6">
        <v>3.5854908999999997E-2</v>
      </c>
      <c r="C561" s="6">
        <v>0.85907644900000002</v>
      </c>
    </row>
    <row r="562" spans="1:3" x14ac:dyDescent="0.25">
      <c r="A562" s="6" t="s">
        <v>1562</v>
      </c>
      <c r="B562" s="6">
        <v>2.6903869E-2</v>
      </c>
      <c r="C562" s="6">
        <v>0.378468953</v>
      </c>
    </row>
    <row r="563" spans="1:3" x14ac:dyDescent="0.25">
      <c r="A563" s="6" t="s">
        <v>1563</v>
      </c>
      <c r="B563" s="6">
        <v>3.2059624000000002E-2</v>
      </c>
      <c r="C563" s="6">
        <v>0.654486868</v>
      </c>
    </row>
    <row r="564" spans="1:3" x14ac:dyDescent="0.25">
      <c r="A564" s="6" t="s">
        <v>1564</v>
      </c>
      <c r="B564" s="6">
        <v>1.68039E-2</v>
      </c>
      <c r="C564" s="6">
        <v>0.17645649199999999</v>
      </c>
    </row>
    <row r="565" spans="1:3" x14ac:dyDescent="0.25">
      <c r="A565" s="6" t="s">
        <v>1565</v>
      </c>
      <c r="B565" s="6">
        <v>4.1941539999999999E-2</v>
      </c>
      <c r="C565" s="6">
        <v>0.42261633199999998</v>
      </c>
    </row>
    <row r="566" spans="1:3" x14ac:dyDescent="0.25">
      <c r="A566" s="6" t="s">
        <v>1566</v>
      </c>
      <c r="B566" s="6">
        <v>4.3653590999999999E-2</v>
      </c>
      <c r="C566" s="6">
        <v>0.26899687900000002</v>
      </c>
    </row>
    <row r="567" spans="1:3" x14ac:dyDescent="0.25">
      <c r="A567" s="6" t="s">
        <v>1567</v>
      </c>
      <c r="B567" s="6">
        <v>0.42018639400000002</v>
      </c>
      <c r="C567" s="6">
        <v>0.20490897599999999</v>
      </c>
    </row>
    <row r="568" spans="1:3" x14ac:dyDescent="0.25">
      <c r="A568" s="6" t="s">
        <v>1568</v>
      </c>
      <c r="B568" s="6">
        <v>1.6613089000000001E-2</v>
      </c>
      <c r="C568" s="6">
        <v>1.2735064869999999</v>
      </c>
    </row>
    <row r="569" spans="1:3" x14ac:dyDescent="0.25">
      <c r="A569" s="6" t="s">
        <v>1569</v>
      </c>
      <c r="B569" s="6">
        <v>3.1786826999999997E-2</v>
      </c>
      <c r="C569" s="6">
        <v>1.1381697159999999</v>
      </c>
    </row>
    <row r="570" spans="1:3" x14ac:dyDescent="0.25">
      <c r="A570" s="6" t="s">
        <v>1570</v>
      </c>
      <c r="B570" s="6">
        <v>3.5400887999999998E-2</v>
      </c>
      <c r="C570" s="6">
        <v>2.490854095</v>
      </c>
    </row>
    <row r="571" spans="1:3" x14ac:dyDescent="0.25">
      <c r="A571" s="6" t="s">
        <v>1571</v>
      </c>
      <c r="B571" s="6">
        <v>3.5355294000000002E-2</v>
      </c>
      <c r="C571" s="6">
        <v>1.077128928</v>
      </c>
    </row>
    <row r="572" spans="1:3" x14ac:dyDescent="0.25">
      <c r="A572" s="6" t="s">
        <v>1572</v>
      </c>
      <c r="B572" s="6">
        <v>3.3697234999999999E-2</v>
      </c>
      <c r="C572" s="6">
        <v>0.243044332</v>
      </c>
    </row>
    <row r="573" spans="1:3" x14ac:dyDescent="0.25">
      <c r="A573" s="6" t="s">
        <v>1573</v>
      </c>
      <c r="B573" s="6">
        <v>1.6306692000000001E-2</v>
      </c>
      <c r="C573" s="6">
        <v>0.80075271199999998</v>
      </c>
    </row>
    <row r="574" spans="1:3" x14ac:dyDescent="0.25">
      <c r="A574" s="6" t="s">
        <v>1574</v>
      </c>
      <c r="B574" s="6">
        <v>2.5793143000000001E-2</v>
      </c>
      <c r="C574" s="6">
        <v>0.26125485100000001</v>
      </c>
    </row>
    <row r="575" spans="1:3" x14ac:dyDescent="0.25">
      <c r="A575" s="6" t="s">
        <v>1575</v>
      </c>
      <c r="B575" s="6">
        <v>0.117635487</v>
      </c>
      <c r="C575" s="6">
        <v>0.67738790999999998</v>
      </c>
    </row>
    <row r="576" spans="1:3" x14ac:dyDescent="0.25">
      <c r="A576" s="6" t="s">
        <v>1576</v>
      </c>
      <c r="B576" s="6">
        <v>5.9572827000000002E-2</v>
      </c>
      <c r="C576" s="6">
        <v>0.66010922000000005</v>
      </c>
    </row>
    <row r="577" spans="1:3" x14ac:dyDescent="0.25">
      <c r="A577" s="6" t="s">
        <v>1577</v>
      </c>
      <c r="B577" s="6">
        <v>1.1995392000000001E-2</v>
      </c>
      <c r="C577" s="6">
        <v>0.82486607300000003</v>
      </c>
    </row>
    <row r="578" spans="1:3" x14ac:dyDescent="0.25">
      <c r="A578" s="6" t="s">
        <v>1578</v>
      </c>
      <c r="B578" s="6">
        <v>3.3219699999999998E-2</v>
      </c>
      <c r="C578" s="6">
        <v>0.51339032399999995</v>
      </c>
    </row>
    <row r="579" spans="1:3" x14ac:dyDescent="0.25">
      <c r="A579" s="6" t="s">
        <v>1579</v>
      </c>
      <c r="B579" s="6">
        <v>1.2358342E-2</v>
      </c>
      <c r="C579" s="6">
        <v>0.62678863100000004</v>
      </c>
    </row>
    <row r="580" spans="1:3" x14ac:dyDescent="0.25">
      <c r="A580" s="6" t="s">
        <v>1580</v>
      </c>
      <c r="B580" s="6">
        <v>2.1591826000000001E-2</v>
      </c>
      <c r="C580" s="6">
        <v>0.64594290099999996</v>
      </c>
    </row>
    <row r="581" spans="1:3" x14ac:dyDescent="0.25">
      <c r="A581" s="6" t="s">
        <v>1581</v>
      </c>
      <c r="B581" s="6">
        <v>2.3729274000000002E-2</v>
      </c>
      <c r="C581" s="6">
        <v>0.76878751199999995</v>
      </c>
    </row>
    <row r="582" spans="1:3" x14ac:dyDescent="0.25">
      <c r="A582" s="6" t="s">
        <v>1582</v>
      </c>
      <c r="B582" s="6">
        <v>9.5251342000000003E-2</v>
      </c>
      <c r="C582" s="6">
        <v>0.62229639599999997</v>
      </c>
    </row>
    <row r="583" spans="1:3" x14ac:dyDescent="0.25">
      <c r="A583" s="6" t="s">
        <v>1583</v>
      </c>
      <c r="B583" s="6">
        <v>1.8741456E-2</v>
      </c>
      <c r="C583" s="6">
        <v>0.65549211500000004</v>
      </c>
    </row>
    <row r="584" spans="1:3" x14ac:dyDescent="0.25">
      <c r="A584" s="6" t="s">
        <v>1584</v>
      </c>
      <c r="B584" s="6">
        <v>5.8815759000000002E-2</v>
      </c>
      <c r="C584" s="6">
        <v>0.51337777399999995</v>
      </c>
    </row>
    <row r="585" spans="1:3" x14ac:dyDescent="0.25">
      <c r="A585" s="6" t="s">
        <v>1585</v>
      </c>
      <c r="B585" s="6">
        <v>3.1642846000000002E-2</v>
      </c>
      <c r="C585" s="6">
        <v>0.46949582299999998</v>
      </c>
    </row>
    <row r="586" spans="1:3" x14ac:dyDescent="0.25">
      <c r="A586" s="6" t="s">
        <v>1586</v>
      </c>
      <c r="B586" s="6">
        <v>3.0144251E-2</v>
      </c>
      <c r="C586" s="6">
        <v>0.39835425499999999</v>
      </c>
    </row>
    <row r="587" spans="1:3" x14ac:dyDescent="0.25">
      <c r="A587" s="6" t="s">
        <v>1587</v>
      </c>
      <c r="B587" s="6">
        <v>6.0348130999999999E-2</v>
      </c>
      <c r="C587" s="6">
        <v>0.350418063</v>
      </c>
    </row>
    <row r="588" spans="1:3" x14ac:dyDescent="0.25">
      <c r="A588" s="6" t="s">
        <v>1588</v>
      </c>
      <c r="B588" s="6">
        <v>1.8779075999999999E-2</v>
      </c>
      <c r="C588" s="6">
        <v>0.859986943</v>
      </c>
    </row>
    <row r="589" spans="1:3" x14ac:dyDescent="0.25">
      <c r="A589" s="6" t="s">
        <v>1589</v>
      </c>
      <c r="B589" s="6">
        <v>1.7070424000000001E-2</v>
      </c>
      <c r="C589" s="6">
        <v>0.54554126300000005</v>
      </c>
    </row>
    <row r="590" spans="1:3" x14ac:dyDescent="0.25">
      <c r="A590" s="6" t="s">
        <v>1590</v>
      </c>
      <c r="B590" s="6">
        <v>1.9443904000000001E-2</v>
      </c>
      <c r="C590" s="6">
        <v>1.0146172920000001</v>
      </c>
    </row>
    <row r="591" spans="1:3" x14ac:dyDescent="0.25">
      <c r="A591" s="6" t="s">
        <v>1591</v>
      </c>
      <c r="B591" s="6">
        <v>3.3250426999999999E-2</v>
      </c>
      <c r="C591" s="6">
        <v>9.2194638999999995E-2</v>
      </c>
    </row>
    <row r="592" spans="1:3" x14ac:dyDescent="0.25">
      <c r="A592" s="6" t="s">
        <v>1593</v>
      </c>
      <c r="B592" s="6">
        <v>2.8049757000000002E-2</v>
      </c>
      <c r="C592" s="6">
        <v>14.404129510000001</v>
      </c>
    </row>
    <row r="593" spans="1:3" x14ac:dyDescent="0.25">
      <c r="A593" s="6" t="s">
        <v>1594</v>
      </c>
      <c r="B593" s="6">
        <v>2.6980311999999999E-2</v>
      </c>
      <c r="C593" s="6">
        <v>1.5422285250000001</v>
      </c>
    </row>
    <row r="594" spans="1:3" x14ac:dyDescent="0.25">
      <c r="A594" s="6" t="s">
        <v>1595</v>
      </c>
      <c r="B594" s="6">
        <v>5.8453735999999999E-2</v>
      </c>
      <c r="C594" s="6">
        <v>0.161567299</v>
      </c>
    </row>
    <row r="595" spans="1:3" x14ac:dyDescent="0.25">
      <c r="A595" s="6" t="s">
        <v>1596</v>
      </c>
      <c r="B595" s="6">
        <v>1.8064297999999999E-2</v>
      </c>
      <c r="C595" s="6">
        <v>0.78144156799999998</v>
      </c>
    </row>
    <row r="596" spans="1:3" x14ac:dyDescent="0.25">
      <c r="A596" s="6" t="s">
        <v>1597</v>
      </c>
      <c r="B596" s="6">
        <v>7.5803830000000003E-2</v>
      </c>
      <c r="C596" s="6">
        <v>0.46962132299999998</v>
      </c>
    </row>
    <row r="597" spans="1:3" x14ac:dyDescent="0.25">
      <c r="A597" s="6" t="s">
        <v>1598</v>
      </c>
      <c r="B597" s="6">
        <v>3.5071749999999999E-2</v>
      </c>
      <c r="C597" s="6">
        <v>1.310776527</v>
      </c>
    </row>
    <row r="598" spans="1:3" x14ac:dyDescent="0.25">
      <c r="A598" s="6" t="s">
        <v>1599</v>
      </c>
      <c r="B598" s="6">
        <v>6.3318191999999995E-2</v>
      </c>
      <c r="C598" s="6">
        <v>0.366616836</v>
      </c>
    </row>
    <row r="599" spans="1:3" x14ac:dyDescent="0.25">
      <c r="A599" s="6" t="s">
        <v>1600</v>
      </c>
      <c r="B599" s="6">
        <v>1.9067477999999999E-2</v>
      </c>
      <c r="C599" s="6">
        <v>1.1955208349999999</v>
      </c>
    </row>
    <row r="600" spans="1:3" x14ac:dyDescent="0.25">
      <c r="A600" s="6" t="s">
        <v>1601</v>
      </c>
      <c r="B600" s="6">
        <v>0.43795111599999997</v>
      </c>
      <c r="C600" s="6">
        <v>0.49094358799999999</v>
      </c>
    </row>
    <row r="601" spans="1:3" x14ac:dyDescent="0.25">
      <c r="A601" s="6" t="s">
        <v>1602</v>
      </c>
      <c r="B601" s="6">
        <v>2.4294955999999999E-2</v>
      </c>
      <c r="C601" s="6">
        <v>0.36049750899999999</v>
      </c>
    </row>
    <row r="602" spans="1:3" x14ac:dyDescent="0.25">
      <c r="A602" s="6" t="s">
        <v>1603</v>
      </c>
      <c r="B602" s="6">
        <v>1.4215461E-2</v>
      </c>
      <c r="C602" s="6">
        <v>1.293079927</v>
      </c>
    </row>
    <row r="603" spans="1:3" x14ac:dyDescent="0.25">
      <c r="A603" s="6" t="s">
        <v>1604</v>
      </c>
      <c r="B603" s="6">
        <v>4.2580648999999998E-2</v>
      </c>
      <c r="C603" s="6">
        <v>0.148169035</v>
      </c>
    </row>
    <row r="604" spans="1:3" x14ac:dyDescent="0.25">
      <c r="A604" s="6" t="s">
        <v>1605</v>
      </c>
      <c r="B604" s="6">
        <v>3.5391374000000003E-2</v>
      </c>
      <c r="C604" s="6">
        <v>0.78997988600000002</v>
      </c>
    </row>
    <row r="605" spans="1:3" x14ac:dyDescent="0.25">
      <c r="A605" s="6" t="s">
        <v>1606</v>
      </c>
      <c r="B605" s="6">
        <v>4.8966714000000001E-2</v>
      </c>
      <c r="C605" s="6">
        <v>1.4164033149999999</v>
      </c>
    </row>
    <row r="606" spans="1:3" x14ac:dyDescent="0.25">
      <c r="A606" s="6" t="s">
        <v>1607</v>
      </c>
      <c r="B606" s="6">
        <v>2.8890011E-2</v>
      </c>
      <c r="C606" s="6">
        <v>1.028068266</v>
      </c>
    </row>
    <row r="607" spans="1:3" x14ac:dyDescent="0.25">
      <c r="A607" s="6" t="s">
        <v>1608</v>
      </c>
      <c r="B607" s="6">
        <v>3.8951797000000003E-2</v>
      </c>
      <c r="C607" s="6">
        <v>0.24354193399999999</v>
      </c>
    </row>
    <row r="608" spans="1:3" x14ac:dyDescent="0.25">
      <c r="A608" s="6" t="s">
        <v>1609</v>
      </c>
      <c r="B608" s="6">
        <v>1.7070566999999998E-2</v>
      </c>
      <c r="C608" s="6">
        <v>0.323423246</v>
      </c>
    </row>
    <row r="609" spans="1:3" x14ac:dyDescent="0.25">
      <c r="A609" s="6" t="s">
        <v>1610</v>
      </c>
      <c r="B609" s="6">
        <v>1.8069130999999999E-2</v>
      </c>
      <c r="C609" s="6">
        <v>0.26415199299999997</v>
      </c>
    </row>
    <row r="610" spans="1:3" x14ac:dyDescent="0.25">
      <c r="A610" s="6" t="s">
        <v>1611</v>
      </c>
      <c r="B610" s="6">
        <v>3.6093445000000002E-2</v>
      </c>
      <c r="C610" s="6">
        <v>0.18440872799999999</v>
      </c>
    </row>
    <row r="611" spans="1:3" x14ac:dyDescent="0.25">
      <c r="A611" s="6" t="s">
        <v>1612</v>
      </c>
      <c r="B611" s="6">
        <v>1.8487732E-2</v>
      </c>
      <c r="C611" s="6">
        <v>1.049942725</v>
      </c>
    </row>
    <row r="612" spans="1:3" x14ac:dyDescent="0.25">
      <c r="A612" s="6" t="s">
        <v>1613</v>
      </c>
      <c r="B612" s="6">
        <v>6.2804281000000003E-2</v>
      </c>
      <c r="C612" s="6">
        <v>0.18695133799999999</v>
      </c>
    </row>
    <row r="613" spans="1:3" x14ac:dyDescent="0.25">
      <c r="A613" s="6" t="s">
        <v>1614</v>
      </c>
      <c r="B613" s="6">
        <v>1.8523085000000002E-2</v>
      </c>
      <c r="C613" s="6">
        <v>1.5869550809999999</v>
      </c>
    </row>
    <row r="614" spans="1:3" x14ac:dyDescent="0.25">
      <c r="A614" s="6" t="s">
        <v>1615</v>
      </c>
      <c r="B614" s="6">
        <v>3.6509380000000001E-2</v>
      </c>
      <c r="C614" s="6">
        <v>2.2515559060000001</v>
      </c>
    </row>
    <row r="615" spans="1:3" x14ac:dyDescent="0.25">
      <c r="A615" s="6" t="s">
        <v>1616</v>
      </c>
      <c r="B615" s="6">
        <v>2.0666074999999999E-2</v>
      </c>
      <c r="C615" s="6">
        <v>0.38437744000000001</v>
      </c>
    </row>
    <row r="616" spans="1:3" x14ac:dyDescent="0.25">
      <c r="A616" s="6" t="s">
        <v>1617</v>
      </c>
      <c r="B616" s="6">
        <v>3.8843186000000002E-2</v>
      </c>
      <c r="C616" s="6">
        <v>0.95785601600000003</v>
      </c>
    </row>
    <row r="617" spans="1:3" x14ac:dyDescent="0.25">
      <c r="A617" s="6" t="s">
        <v>1618</v>
      </c>
      <c r="B617" s="6">
        <v>3.6797293000000002E-2</v>
      </c>
      <c r="C617" s="6">
        <v>0.1073593</v>
      </c>
    </row>
    <row r="618" spans="1:3" x14ac:dyDescent="0.25">
      <c r="A618" s="6" t="s">
        <v>1619</v>
      </c>
      <c r="B618" s="6">
        <v>0.119670437</v>
      </c>
      <c r="C618" s="6">
        <v>0.40465869300000001</v>
      </c>
    </row>
    <row r="619" spans="1:3" x14ac:dyDescent="0.25">
      <c r="A619" s="6" t="s">
        <v>1620</v>
      </c>
      <c r="B619" s="6">
        <v>4.0170063999999998E-2</v>
      </c>
      <c r="C619" s="6">
        <v>0.58384101899999996</v>
      </c>
    </row>
    <row r="620" spans="1:3" x14ac:dyDescent="0.25">
      <c r="A620" s="6" t="s">
        <v>1621</v>
      </c>
      <c r="B620" s="6">
        <v>1.7482988000000001E-2</v>
      </c>
      <c r="C620" s="6">
        <v>0.39627285600000001</v>
      </c>
    </row>
    <row r="621" spans="1:3" x14ac:dyDescent="0.25">
      <c r="A621" s="6" t="s">
        <v>1622</v>
      </c>
      <c r="B621" s="6">
        <v>2.9493352E-2</v>
      </c>
      <c r="C621" s="6">
        <v>0.27715493600000002</v>
      </c>
    </row>
    <row r="622" spans="1:3" x14ac:dyDescent="0.25">
      <c r="A622" s="6" t="s">
        <v>1623</v>
      </c>
      <c r="B622" s="6">
        <v>6.6506947999999996E-2</v>
      </c>
      <c r="C622" s="6">
        <v>1.0317353440000001</v>
      </c>
    </row>
    <row r="623" spans="1:3" x14ac:dyDescent="0.25">
      <c r="A623" s="6" t="s">
        <v>1624</v>
      </c>
      <c r="B623" s="6">
        <v>2.3735322999999999E-2</v>
      </c>
      <c r="C623" s="6">
        <v>0.35197487700000002</v>
      </c>
    </row>
    <row r="624" spans="1:3" x14ac:dyDescent="0.25">
      <c r="A624" s="6" t="s">
        <v>1625</v>
      </c>
      <c r="B624" s="6">
        <v>2.9645636999999999E-2</v>
      </c>
      <c r="C624" s="6">
        <v>0.53772079800000006</v>
      </c>
    </row>
    <row r="625" spans="1:3" x14ac:dyDescent="0.25">
      <c r="A625" s="6" t="s">
        <v>1626</v>
      </c>
      <c r="B625" s="6">
        <v>3.8489656999999997E-2</v>
      </c>
      <c r="C625" s="6">
        <v>0.58142140099999995</v>
      </c>
    </row>
    <row r="626" spans="1:3" x14ac:dyDescent="0.25">
      <c r="A626" s="6" t="s">
        <v>1627</v>
      </c>
      <c r="B626" s="6">
        <v>3.0408418E-2</v>
      </c>
      <c r="C626" s="6">
        <v>2.9015285789999998</v>
      </c>
    </row>
    <row r="627" spans="1:3" x14ac:dyDescent="0.25">
      <c r="A627" s="6" t="s">
        <v>1628</v>
      </c>
      <c r="B627" s="6">
        <v>2.5014992E-2</v>
      </c>
      <c r="C627" s="6">
        <v>0.57371137500000002</v>
      </c>
    </row>
    <row r="628" spans="1:3" x14ac:dyDescent="0.25">
      <c r="A628" s="6" t="s">
        <v>1629</v>
      </c>
      <c r="B628" s="6">
        <v>2.8139270000000001E-2</v>
      </c>
      <c r="C628" s="6">
        <v>0.56966466199999999</v>
      </c>
    </row>
    <row r="629" spans="1:3" x14ac:dyDescent="0.25">
      <c r="A629" s="6" t="s">
        <v>1630</v>
      </c>
      <c r="B629" s="6">
        <v>1.932971E-2</v>
      </c>
      <c r="C629" s="6">
        <v>0.58684922900000003</v>
      </c>
    </row>
    <row r="630" spans="1:3" x14ac:dyDescent="0.25">
      <c r="A630" s="6" t="s">
        <v>1631</v>
      </c>
      <c r="B630" s="6">
        <v>2.7783921999999999E-2</v>
      </c>
      <c r="C630" s="6">
        <v>0.398789108</v>
      </c>
    </row>
    <row r="631" spans="1:3" x14ac:dyDescent="0.25">
      <c r="A631" s="6" t="s">
        <v>1632</v>
      </c>
      <c r="B631" s="6">
        <v>3.1472578000000001E-2</v>
      </c>
      <c r="C631" s="6">
        <v>0.24511318100000001</v>
      </c>
    </row>
    <row r="632" spans="1:3" x14ac:dyDescent="0.25">
      <c r="A632" s="6" t="s">
        <v>1633</v>
      </c>
      <c r="B632" s="6">
        <v>3.7105566999999999E-2</v>
      </c>
      <c r="C632" s="6">
        <v>0.144261</v>
      </c>
    </row>
    <row r="633" spans="1:3" x14ac:dyDescent="0.25">
      <c r="A633" s="6" t="s">
        <v>1634</v>
      </c>
      <c r="B633" s="6">
        <v>3.309728E-2</v>
      </c>
      <c r="C633" s="6">
        <v>1.897227926</v>
      </c>
    </row>
    <row r="634" spans="1:3" x14ac:dyDescent="0.25">
      <c r="A634" s="6" t="s">
        <v>1635</v>
      </c>
      <c r="B634" s="6">
        <v>2.5317731E-2</v>
      </c>
      <c r="C634" s="6">
        <v>0.86187946900000001</v>
      </c>
    </row>
    <row r="635" spans="1:3" x14ac:dyDescent="0.25">
      <c r="A635" s="6" t="s">
        <v>1636</v>
      </c>
      <c r="B635" s="6">
        <v>2.8829003999999998E-2</v>
      </c>
      <c r="C635" s="6">
        <v>0.41825963700000002</v>
      </c>
    </row>
    <row r="636" spans="1:3" x14ac:dyDescent="0.25">
      <c r="A636" s="6" t="s">
        <v>1637</v>
      </c>
      <c r="B636" s="6">
        <v>3.0875594999999999E-2</v>
      </c>
      <c r="C636" s="6">
        <v>0.47609016300000001</v>
      </c>
    </row>
    <row r="637" spans="1:3" x14ac:dyDescent="0.25">
      <c r="A637" s="6" t="s">
        <v>1638</v>
      </c>
      <c r="B637" s="6">
        <v>2.2206621999999999E-2</v>
      </c>
      <c r="C637" s="6">
        <v>1.4416116539999999</v>
      </c>
    </row>
    <row r="638" spans="1:3" x14ac:dyDescent="0.25">
      <c r="A638" s="6" t="s">
        <v>1639</v>
      </c>
      <c r="B638" s="6">
        <v>3.1432531E-2</v>
      </c>
      <c r="C638" s="6">
        <v>0.60384554599999996</v>
      </c>
    </row>
    <row r="639" spans="1:3" x14ac:dyDescent="0.25">
      <c r="A639" s="6" t="s">
        <v>1640</v>
      </c>
      <c r="B639" s="6">
        <v>1.6033074000000001E-2</v>
      </c>
      <c r="C639" s="6">
        <v>0.74692371899999999</v>
      </c>
    </row>
    <row r="640" spans="1:3" x14ac:dyDescent="0.25">
      <c r="A640" s="6" t="s">
        <v>1641</v>
      </c>
      <c r="B640" s="6">
        <v>3.0800371999999999E-2</v>
      </c>
      <c r="C640" s="6">
        <v>0.444403571</v>
      </c>
    </row>
    <row r="641" spans="1:3" x14ac:dyDescent="0.25">
      <c r="A641" s="6" t="s">
        <v>1642</v>
      </c>
      <c r="B641" s="6">
        <v>8.9030399999999992E-3</v>
      </c>
      <c r="C641" s="6">
        <v>0.51738055999999999</v>
      </c>
    </row>
    <row r="642" spans="1:3" x14ac:dyDescent="0.25">
      <c r="A642" s="6" t="s">
        <v>1643</v>
      </c>
      <c r="B642" s="6">
        <v>3.1476806000000003E-2</v>
      </c>
      <c r="C642" s="6">
        <v>0.76277862399999996</v>
      </c>
    </row>
    <row r="643" spans="1:3" x14ac:dyDescent="0.25">
      <c r="A643" s="6" t="s">
        <v>1644</v>
      </c>
      <c r="B643" s="6">
        <v>5.2312737999999998E-2</v>
      </c>
      <c r="C643" s="6">
        <v>0.65075641200000001</v>
      </c>
    </row>
    <row r="644" spans="1:3" x14ac:dyDescent="0.25">
      <c r="A644" s="6" t="s">
        <v>1645</v>
      </c>
      <c r="B644" s="6">
        <v>2.2688090000000001E-2</v>
      </c>
      <c r="C644" s="6">
        <v>0.57173100099999996</v>
      </c>
    </row>
    <row r="645" spans="1:3" x14ac:dyDescent="0.25">
      <c r="A645" s="6" t="s">
        <v>1646</v>
      </c>
      <c r="B645" s="6">
        <v>3.3929453999999998E-2</v>
      </c>
      <c r="C645" s="6">
        <v>0.62386638800000005</v>
      </c>
    </row>
    <row r="646" spans="1:3" x14ac:dyDescent="0.25">
      <c r="A646" s="6" t="s">
        <v>1647</v>
      </c>
      <c r="B646" s="6">
        <v>0.10290484599999999</v>
      </c>
      <c r="C646" s="6">
        <v>0.48375375500000001</v>
      </c>
    </row>
    <row r="647" spans="1:3" x14ac:dyDescent="0.25">
      <c r="A647" s="6" t="s">
        <v>1648</v>
      </c>
      <c r="B647" s="6">
        <v>0.13462436699999999</v>
      </c>
      <c r="C647" s="6">
        <v>0.59767601999999997</v>
      </c>
    </row>
    <row r="648" spans="1:3" x14ac:dyDescent="0.25">
      <c r="A648" s="6" t="s">
        <v>1649</v>
      </c>
      <c r="B648" s="6">
        <v>4.4407386E-2</v>
      </c>
      <c r="C648" s="6">
        <v>0.41088092999999998</v>
      </c>
    </row>
    <row r="649" spans="1:3" x14ac:dyDescent="0.25">
      <c r="A649" s="6" t="s">
        <v>1650</v>
      </c>
      <c r="B649" s="6">
        <v>2.8289762999999999E-2</v>
      </c>
      <c r="C649" s="6">
        <v>0.46973552600000001</v>
      </c>
    </row>
    <row r="650" spans="1:3" x14ac:dyDescent="0.25">
      <c r="A650" s="6" t="s">
        <v>1651</v>
      </c>
      <c r="B650" s="6">
        <v>0.168029506</v>
      </c>
      <c r="C650" s="6">
        <v>0.28275971700000002</v>
      </c>
    </row>
    <row r="651" spans="1:3" x14ac:dyDescent="0.25">
      <c r="A651" s="6" t="s">
        <v>1652</v>
      </c>
      <c r="B651" s="6">
        <v>2.2423174000000001E-2</v>
      </c>
      <c r="C651" s="6">
        <v>1.125168028</v>
      </c>
    </row>
    <row r="652" spans="1:3" x14ac:dyDescent="0.25">
      <c r="A652" s="6" t="s">
        <v>1653</v>
      </c>
      <c r="B652" s="6">
        <v>1.4157895E-2</v>
      </c>
      <c r="C652" s="6">
        <v>0.73211296400000003</v>
      </c>
    </row>
    <row r="653" spans="1:3" x14ac:dyDescent="0.25">
      <c r="A653" s="6" t="s">
        <v>1654</v>
      </c>
      <c r="B653" s="6">
        <v>2.8281723000000002E-2</v>
      </c>
      <c r="C653" s="6">
        <v>0.15102225399999999</v>
      </c>
    </row>
    <row r="654" spans="1:3" x14ac:dyDescent="0.25">
      <c r="A654" s="6" t="s">
        <v>1655</v>
      </c>
      <c r="B654" s="6">
        <v>3.8864846000000002E-2</v>
      </c>
      <c r="C654" s="6">
        <v>0.72229079200000001</v>
      </c>
    </row>
    <row r="655" spans="1:3" x14ac:dyDescent="0.25">
      <c r="A655" s="6" t="s">
        <v>1656</v>
      </c>
      <c r="B655" s="6">
        <v>1.8522898999999999E-2</v>
      </c>
      <c r="C655" s="6">
        <v>1.1927184449999999</v>
      </c>
    </row>
    <row r="656" spans="1:3" x14ac:dyDescent="0.25">
      <c r="A656" s="6" t="s">
        <v>1657</v>
      </c>
      <c r="B656" s="6">
        <v>2.0089597000000001E-2</v>
      </c>
      <c r="C656" s="6">
        <v>0.23469928000000001</v>
      </c>
    </row>
    <row r="657" spans="1:3" x14ac:dyDescent="0.25">
      <c r="A657" s="6" t="s">
        <v>1658</v>
      </c>
      <c r="B657" s="6">
        <v>2.7747180999999999E-2</v>
      </c>
      <c r="C657" s="6">
        <v>0.12742469300000001</v>
      </c>
    </row>
    <row r="658" spans="1:3" x14ac:dyDescent="0.25">
      <c r="A658" s="6" t="s">
        <v>1659</v>
      </c>
      <c r="B658" s="6">
        <v>1.7889176999999999E-2</v>
      </c>
      <c r="C658" s="6">
        <v>0.10485245999999999</v>
      </c>
    </row>
    <row r="659" spans="1:3" x14ac:dyDescent="0.25">
      <c r="A659" s="6" t="s">
        <v>1660</v>
      </c>
      <c r="B659" s="6">
        <v>0.25154923200000001</v>
      </c>
      <c r="C659" s="6">
        <v>1.269527544</v>
      </c>
    </row>
    <row r="660" spans="1:3" x14ac:dyDescent="0.25">
      <c r="A660" s="6" t="s">
        <v>1661</v>
      </c>
      <c r="B660" s="6">
        <v>1.8177609000000001E-2</v>
      </c>
      <c r="C660" s="6">
        <v>1.947930741</v>
      </c>
    </row>
    <row r="661" spans="1:3" x14ac:dyDescent="0.25">
      <c r="A661" s="6" t="s">
        <v>1662</v>
      </c>
      <c r="B661" s="6">
        <v>2.3637216999999999E-2</v>
      </c>
      <c r="C661" s="6">
        <v>0.34466205599999999</v>
      </c>
    </row>
    <row r="662" spans="1:3" x14ac:dyDescent="0.25">
      <c r="A662" s="6" t="s">
        <v>1663</v>
      </c>
      <c r="B662" s="6">
        <v>5.8853414E-2</v>
      </c>
      <c r="C662" s="6">
        <v>0.66529608900000003</v>
      </c>
    </row>
    <row r="663" spans="1:3" x14ac:dyDescent="0.25">
      <c r="A663" s="6" t="s">
        <v>1664</v>
      </c>
      <c r="B663" s="6">
        <v>2.2061453000000002E-2</v>
      </c>
      <c r="C663" s="6">
        <v>0.39101068500000002</v>
      </c>
    </row>
    <row r="664" spans="1:3" x14ac:dyDescent="0.25">
      <c r="A664" s="6" t="s">
        <v>1665</v>
      </c>
      <c r="B664" s="6">
        <v>3.1924436E-2</v>
      </c>
      <c r="C664" s="6">
        <v>0.25136302700000002</v>
      </c>
    </row>
    <row r="665" spans="1:3" x14ac:dyDescent="0.25">
      <c r="A665" s="6" t="s">
        <v>1666</v>
      </c>
      <c r="B665" s="6">
        <v>1.1414723999999999E-2</v>
      </c>
      <c r="C665" s="6">
        <v>0.73538158300000001</v>
      </c>
    </row>
    <row r="666" spans="1:3" x14ac:dyDescent="0.25">
      <c r="A666" s="6" t="s">
        <v>1667</v>
      </c>
      <c r="B666" s="6">
        <v>4.3008356999999997E-2</v>
      </c>
      <c r="C666" s="6">
        <v>0.56781355499999997</v>
      </c>
    </row>
    <row r="667" spans="1:3" x14ac:dyDescent="0.25">
      <c r="A667" s="6" t="s">
        <v>1668</v>
      </c>
      <c r="B667" s="6">
        <v>0.36042855400000001</v>
      </c>
      <c r="C667" s="6">
        <v>0.57708227499999998</v>
      </c>
    </row>
    <row r="668" spans="1:3" x14ac:dyDescent="0.25">
      <c r="A668" s="6" t="s">
        <v>1669</v>
      </c>
      <c r="B668" s="6">
        <v>1.6842479E-2</v>
      </c>
      <c r="C668" s="6">
        <v>0.54268365200000002</v>
      </c>
    </row>
    <row r="669" spans="1:3" x14ac:dyDescent="0.25">
      <c r="A669" s="6" t="s">
        <v>1670</v>
      </c>
      <c r="B669" s="6">
        <v>3.9420783000000001E-2</v>
      </c>
      <c r="C669" s="6">
        <v>0.43306035100000001</v>
      </c>
    </row>
    <row r="670" spans="1:3" x14ac:dyDescent="0.25">
      <c r="A670" s="6" t="s">
        <v>1671</v>
      </c>
      <c r="B670" s="6">
        <v>3.8972323000000003E-2</v>
      </c>
      <c r="C670" s="6">
        <v>2.0472493260000002</v>
      </c>
    </row>
    <row r="671" spans="1:3" x14ac:dyDescent="0.25">
      <c r="A671" s="6" t="s">
        <v>1672</v>
      </c>
      <c r="B671" s="6">
        <v>7.5211338000000003E-2</v>
      </c>
      <c r="C671" s="6">
        <v>0.498215621</v>
      </c>
    </row>
    <row r="672" spans="1:3" x14ac:dyDescent="0.25">
      <c r="A672" s="6" t="s">
        <v>1673</v>
      </c>
      <c r="B672" s="6">
        <v>1.0398371999999999E-2</v>
      </c>
      <c r="C672" s="6">
        <v>0.72251418000000001</v>
      </c>
    </row>
    <row r="673" spans="1:3" x14ac:dyDescent="0.25">
      <c r="A673" s="6" t="s">
        <v>1675</v>
      </c>
      <c r="B673" s="6">
        <v>0.222935353</v>
      </c>
      <c r="C673" s="6">
        <v>0.39777633200000001</v>
      </c>
    </row>
    <row r="674" spans="1:3" x14ac:dyDescent="0.25">
      <c r="A674" s="6" t="s">
        <v>1676</v>
      </c>
      <c r="B674" s="6">
        <v>2.6458506E-2</v>
      </c>
      <c r="C674" s="6">
        <v>0.55793114300000002</v>
      </c>
    </row>
    <row r="675" spans="1:3" x14ac:dyDescent="0.25">
      <c r="A675" s="6" t="s">
        <v>1677</v>
      </c>
      <c r="B675" s="6">
        <v>2.9617823000000001E-2</v>
      </c>
      <c r="C675" s="6">
        <v>0.82916754999999998</v>
      </c>
    </row>
    <row r="676" spans="1:3" x14ac:dyDescent="0.25">
      <c r="A676" s="6" t="s">
        <v>1678</v>
      </c>
      <c r="B676" s="6">
        <v>1.7487185999999998E-2</v>
      </c>
      <c r="C676" s="6">
        <v>0.258566036</v>
      </c>
    </row>
    <row r="677" spans="1:3" x14ac:dyDescent="0.25">
      <c r="A677" s="6" t="s">
        <v>1679</v>
      </c>
      <c r="B677" s="6">
        <v>4.4964486999999997E-2</v>
      </c>
      <c r="C677" s="6">
        <v>0.37871367500000003</v>
      </c>
    </row>
    <row r="678" spans="1:3" x14ac:dyDescent="0.25">
      <c r="A678" s="6" t="s">
        <v>1680</v>
      </c>
      <c r="B678" s="6">
        <v>2.7417881000000002E-2</v>
      </c>
      <c r="C678" s="6">
        <v>7.9303391000000001E-2</v>
      </c>
    </row>
    <row r="679" spans="1:3" x14ac:dyDescent="0.25">
      <c r="A679" s="6" t="s">
        <v>1681</v>
      </c>
      <c r="B679" s="6">
        <v>1.8727937E-2</v>
      </c>
      <c r="C679" s="6">
        <v>0.81409826699999999</v>
      </c>
    </row>
    <row r="680" spans="1:3" x14ac:dyDescent="0.25">
      <c r="A680" s="6" t="s">
        <v>1682</v>
      </c>
      <c r="B680" s="6">
        <v>0.60385109999999997</v>
      </c>
      <c r="C680" s="6">
        <v>0.35995409699999997</v>
      </c>
    </row>
    <row r="681" spans="1:3" x14ac:dyDescent="0.25">
      <c r="A681" s="6" t="s">
        <v>1683</v>
      </c>
      <c r="B681" s="6">
        <v>1.6475773999999999E-2</v>
      </c>
      <c r="C681" s="6">
        <v>0.71684163000000001</v>
      </c>
    </row>
    <row r="682" spans="1:3" x14ac:dyDescent="0.25">
      <c r="A682" s="6" t="s">
        <v>1684</v>
      </c>
      <c r="B682" s="6">
        <v>2.156696E-2</v>
      </c>
      <c r="C682" s="6">
        <v>0.133227135</v>
      </c>
    </row>
    <row r="683" spans="1:3" x14ac:dyDescent="0.25">
      <c r="A683" s="6" t="s">
        <v>1685</v>
      </c>
      <c r="B683" s="6">
        <v>1.9335013000000002E-2</v>
      </c>
      <c r="C683" s="6">
        <v>0.87790944400000004</v>
      </c>
    </row>
    <row r="684" spans="1:3" x14ac:dyDescent="0.25">
      <c r="A684" s="6" t="s">
        <v>1687</v>
      </c>
      <c r="B684" s="6">
        <v>2.2883659000000001E-2</v>
      </c>
      <c r="C684" s="6">
        <v>0.110036192</v>
      </c>
    </row>
    <row r="685" spans="1:3" x14ac:dyDescent="0.25">
      <c r="A685" s="6" t="s">
        <v>1688</v>
      </c>
      <c r="B685" s="6">
        <v>0.61109261400000003</v>
      </c>
      <c r="C685" s="6">
        <v>0.75858884299999996</v>
      </c>
    </row>
    <row r="686" spans="1:3" x14ac:dyDescent="0.25">
      <c r="A686" s="6" t="s">
        <v>1689</v>
      </c>
      <c r="B686" s="6">
        <v>3.4325227999999999E-2</v>
      </c>
      <c r="C686" s="6">
        <v>0.27250708299999998</v>
      </c>
    </row>
    <row r="687" spans="1:3" x14ac:dyDescent="0.25">
      <c r="A687" s="6" t="s">
        <v>1690</v>
      </c>
      <c r="B687" s="6">
        <v>2.9312487000000002E-2</v>
      </c>
      <c r="C687" s="6">
        <v>0.12939126100000001</v>
      </c>
    </row>
    <row r="688" spans="1:3" x14ac:dyDescent="0.25">
      <c r="A688" s="6" t="s">
        <v>1691</v>
      </c>
      <c r="B688" s="6">
        <v>3.1253019999999999E-2</v>
      </c>
      <c r="C688" s="6">
        <v>0.397411132</v>
      </c>
    </row>
    <row r="689" spans="1:3" x14ac:dyDescent="0.25">
      <c r="A689" s="6" t="s">
        <v>1692</v>
      </c>
      <c r="B689" s="6">
        <v>2.1667862E-2</v>
      </c>
      <c r="C689" s="6">
        <v>0.39231085500000001</v>
      </c>
    </row>
    <row r="690" spans="1:3" x14ac:dyDescent="0.25">
      <c r="A690" s="6" t="s">
        <v>1693</v>
      </c>
      <c r="B690" s="6">
        <v>2.540601E-2</v>
      </c>
      <c r="C690" s="6">
        <v>1.0283613060000001</v>
      </c>
    </row>
    <row r="691" spans="1:3" x14ac:dyDescent="0.25">
      <c r="A691" s="6" t="s">
        <v>1694</v>
      </c>
      <c r="B691" s="6">
        <v>3.1272517999999999E-2</v>
      </c>
      <c r="C691" s="6">
        <v>0.648833769</v>
      </c>
    </row>
    <row r="692" spans="1:3" x14ac:dyDescent="0.25">
      <c r="A692" s="6" t="s">
        <v>1695</v>
      </c>
      <c r="B692" s="6">
        <v>1.4677542E-2</v>
      </c>
      <c r="C692" s="6">
        <v>1.03827823</v>
      </c>
    </row>
    <row r="693" spans="1:3" x14ac:dyDescent="0.25">
      <c r="A693" s="6" t="s">
        <v>1696</v>
      </c>
      <c r="B693" s="6">
        <v>3.8530677999999999E-2</v>
      </c>
      <c r="C693" s="6">
        <v>0.67485471399999997</v>
      </c>
    </row>
    <row r="694" spans="1:3" x14ac:dyDescent="0.25">
      <c r="A694" s="6" t="s">
        <v>1697</v>
      </c>
      <c r="B694" s="6">
        <v>2.2603426999999999E-2</v>
      </c>
      <c r="C694" s="6">
        <v>2.0072917260000001</v>
      </c>
    </row>
    <row r="695" spans="1:3" x14ac:dyDescent="0.25">
      <c r="A695" s="6" t="s">
        <v>1698</v>
      </c>
      <c r="B695" s="6">
        <v>3.6507537999999999E-2</v>
      </c>
      <c r="C695" s="6">
        <v>0.60537600599999997</v>
      </c>
    </row>
    <row r="696" spans="1:3" x14ac:dyDescent="0.25">
      <c r="A696" s="6" t="s">
        <v>1699</v>
      </c>
      <c r="B696" s="6">
        <v>1.4788348E-2</v>
      </c>
      <c r="C696" s="6">
        <v>0.26759944800000002</v>
      </c>
    </row>
    <row r="697" spans="1:3" x14ac:dyDescent="0.25">
      <c r="A697" s="6" t="s">
        <v>1700</v>
      </c>
      <c r="B697" s="6">
        <v>4.6011444999999998E-2</v>
      </c>
      <c r="C697" s="6">
        <v>0.55622749400000004</v>
      </c>
    </row>
    <row r="698" spans="1:3" x14ac:dyDescent="0.25">
      <c r="A698" s="6" t="s">
        <v>1702</v>
      </c>
      <c r="B698" s="6">
        <v>2.0292852E-2</v>
      </c>
      <c r="C698" s="6">
        <v>0.63958763600000001</v>
      </c>
    </row>
    <row r="699" spans="1:3" x14ac:dyDescent="0.25">
      <c r="A699" s="6" t="s">
        <v>1703</v>
      </c>
      <c r="B699" s="6">
        <v>3.7335246000000002E-2</v>
      </c>
      <c r="C699" s="6">
        <v>0.61637849600000005</v>
      </c>
    </row>
    <row r="700" spans="1:3" x14ac:dyDescent="0.25">
      <c r="A700" s="6" t="s">
        <v>1704</v>
      </c>
      <c r="B700" s="6">
        <v>0.420762468</v>
      </c>
      <c r="C700" s="6">
        <v>0.56041099900000002</v>
      </c>
    </row>
    <row r="701" spans="1:3" x14ac:dyDescent="0.25">
      <c r="A701" s="6" t="s">
        <v>1705</v>
      </c>
      <c r="B701" s="6">
        <v>3.273678E-2</v>
      </c>
      <c r="C701" s="6">
        <v>0.63043249199999996</v>
      </c>
    </row>
    <row r="702" spans="1:3" x14ac:dyDescent="0.25">
      <c r="A702" s="6" t="s">
        <v>1706</v>
      </c>
      <c r="B702" s="6">
        <v>1.0864245999999999E-2</v>
      </c>
      <c r="C702" s="6">
        <v>0.133485663</v>
      </c>
    </row>
    <row r="703" spans="1:3" x14ac:dyDescent="0.25">
      <c r="A703" s="6" t="s">
        <v>1707</v>
      </c>
      <c r="B703" s="6">
        <v>2.0568492000000001E-2</v>
      </c>
      <c r="C703" s="6">
        <v>0.487228192</v>
      </c>
    </row>
    <row r="704" spans="1:3" x14ac:dyDescent="0.25">
      <c r="A704" s="6" t="s">
        <v>1708</v>
      </c>
      <c r="B704" s="6">
        <v>4.4305124000000001E-2</v>
      </c>
      <c r="C704" s="6">
        <v>1.849827613</v>
      </c>
    </row>
    <row r="705" spans="1:3" x14ac:dyDescent="0.25">
      <c r="A705" s="6" t="s">
        <v>1709</v>
      </c>
      <c r="B705" s="6">
        <v>1.5367914E-2</v>
      </c>
      <c r="C705" s="6">
        <v>0.68709148499999995</v>
      </c>
    </row>
    <row r="706" spans="1:3" x14ac:dyDescent="0.25">
      <c r="A706" s="6" t="s">
        <v>1710</v>
      </c>
      <c r="B706" s="6">
        <v>2.8446472E-2</v>
      </c>
      <c r="C706" s="6">
        <v>0.52005619800000003</v>
      </c>
    </row>
    <row r="707" spans="1:3" x14ac:dyDescent="0.25">
      <c r="A707" s="6" t="s">
        <v>1711</v>
      </c>
      <c r="B707" s="6">
        <v>2.1265994E-2</v>
      </c>
      <c r="C707" s="6">
        <v>0.42274747800000001</v>
      </c>
    </row>
    <row r="708" spans="1:3" x14ac:dyDescent="0.25">
      <c r="A708" s="6" t="s">
        <v>1712</v>
      </c>
      <c r="B708" s="6">
        <v>3.4369482E-2</v>
      </c>
      <c r="C708" s="6">
        <v>0.408850357</v>
      </c>
    </row>
    <row r="709" spans="1:3" x14ac:dyDescent="0.25">
      <c r="A709" s="6" t="s">
        <v>1713</v>
      </c>
      <c r="B709" s="6">
        <v>2.9813948999999999E-2</v>
      </c>
      <c r="C709" s="6">
        <v>0.45351039900000001</v>
      </c>
    </row>
    <row r="710" spans="1:3" x14ac:dyDescent="0.25">
      <c r="A710" s="6" t="s">
        <v>1714</v>
      </c>
      <c r="B710" s="6">
        <v>2.9979954E-2</v>
      </c>
      <c r="C710" s="6">
        <v>0.213277244</v>
      </c>
    </row>
    <row r="711" spans="1:3" x14ac:dyDescent="0.25">
      <c r="A711" s="6" t="s">
        <v>1715</v>
      </c>
      <c r="B711" s="6">
        <v>1.9834013000000001E-2</v>
      </c>
      <c r="C711" s="6">
        <v>0.37143097400000002</v>
      </c>
    </row>
    <row r="712" spans="1:3" x14ac:dyDescent="0.25">
      <c r="A712" s="6" t="s">
        <v>1716</v>
      </c>
      <c r="B712" s="6">
        <v>1.8644989000000001E-2</v>
      </c>
      <c r="C712" s="6">
        <v>0.24333486200000001</v>
      </c>
    </row>
    <row r="713" spans="1:3" x14ac:dyDescent="0.25">
      <c r="A713" s="6" t="s">
        <v>1717</v>
      </c>
      <c r="B713" s="6">
        <v>2.4127493E-2</v>
      </c>
      <c r="C713" s="6">
        <v>0.442100037</v>
      </c>
    </row>
    <row r="714" spans="1:3" x14ac:dyDescent="0.25">
      <c r="A714" s="6" t="s">
        <v>1718</v>
      </c>
      <c r="B714" s="6">
        <v>1.8492208E-2</v>
      </c>
      <c r="C714" s="6">
        <v>0.31789062699999998</v>
      </c>
    </row>
    <row r="715" spans="1:3" x14ac:dyDescent="0.25">
      <c r="A715" s="6" t="s">
        <v>1719</v>
      </c>
      <c r="B715" s="6">
        <v>2.3787505E-2</v>
      </c>
      <c r="C715" s="6">
        <v>0.262931515</v>
      </c>
    </row>
    <row r="716" spans="1:3" x14ac:dyDescent="0.25">
      <c r="A716" s="6" t="s">
        <v>1720</v>
      </c>
      <c r="B716" s="6">
        <v>1.7463929E-2</v>
      </c>
      <c r="C716" s="6">
        <v>56.197583399999999</v>
      </c>
    </row>
    <row r="717" spans="1:3" x14ac:dyDescent="0.25">
      <c r="A717" s="6" t="s">
        <v>1721</v>
      </c>
      <c r="B717" s="6">
        <v>2.0275597999999999E-2</v>
      </c>
      <c r="C717" s="6">
        <v>4.1563482790000004</v>
      </c>
    </row>
    <row r="718" spans="1:3" x14ac:dyDescent="0.25">
      <c r="A718" s="6" t="s">
        <v>1722</v>
      </c>
      <c r="B718" s="6">
        <v>5.2354684999999998E-2</v>
      </c>
      <c r="C718" s="6">
        <v>0.37422520599999998</v>
      </c>
    </row>
    <row r="719" spans="1:3" x14ac:dyDescent="0.25">
      <c r="A719" s="6" t="s">
        <v>1723</v>
      </c>
      <c r="B719" s="6">
        <v>2.6794723999999999E-2</v>
      </c>
      <c r="C719" s="6">
        <v>0.43617523499999999</v>
      </c>
    </row>
    <row r="720" spans="1:3" x14ac:dyDescent="0.25">
      <c r="A720" s="6" t="s">
        <v>1724</v>
      </c>
      <c r="B720" s="6">
        <v>0.383401983</v>
      </c>
      <c r="C720" s="6">
        <v>0.75212753200000004</v>
      </c>
    </row>
    <row r="721" spans="1:3" x14ac:dyDescent="0.25">
      <c r="A721" s="6" t="s">
        <v>1725</v>
      </c>
      <c r="B721" s="6">
        <v>3.1098549999999999E-2</v>
      </c>
      <c r="C721" s="6">
        <v>8.8009745479999992</v>
      </c>
    </row>
    <row r="722" spans="1:3" x14ac:dyDescent="0.25">
      <c r="A722" s="6" t="s">
        <v>1726</v>
      </c>
      <c r="B722" s="6">
        <v>2.2262819999999999E-2</v>
      </c>
      <c r="C722" s="6">
        <v>1.425409116</v>
      </c>
    </row>
    <row r="723" spans="1:3" x14ac:dyDescent="0.25">
      <c r="A723" s="6" t="s">
        <v>1727</v>
      </c>
      <c r="B723" s="6">
        <v>4.3029946999999999E-2</v>
      </c>
      <c r="C723" s="6">
        <v>0.802110612</v>
      </c>
    </row>
    <row r="724" spans="1:3" x14ac:dyDescent="0.25">
      <c r="A724" s="6" t="s">
        <v>1728</v>
      </c>
      <c r="B724" s="6">
        <v>3.9111356999999999E-2</v>
      </c>
      <c r="C724" s="6">
        <v>0.69273077800000005</v>
      </c>
    </row>
    <row r="725" spans="1:3" x14ac:dyDescent="0.25">
      <c r="A725" s="6" t="s">
        <v>1729</v>
      </c>
      <c r="B725" s="6">
        <v>1.4631505E-2</v>
      </c>
      <c r="C725" s="6">
        <v>0.32322056700000001</v>
      </c>
    </row>
    <row r="726" spans="1:3" x14ac:dyDescent="0.25">
      <c r="A726" s="6" t="s">
        <v>1730</v>
      </c>
      <c r="B726" s="6">
        <v>3.1289176000000002E-2</v>
      </c>
      <c r="C726" s="6">
        <v>0.27904934100000001</v>
      </c>
    </row>
    <row r="727" spans="1:3" x14ac:dyDescent="0.25">
      <c r="A727" s="6" t="s">
        <v>1731</v>
      </c>
      <c r="B727" s="6">
        <v>2.7189338E-2</v>
      </c>
      <c r="C727" s="6">
        <v>0.45113031199999998</v>
      </c>
    </row>
    <row r="728" spans="1:3" x14ac:dyDescent="0.25">
      <c r="A728" s="6" t="s">
        <v>1732</v>
      </c>
      <c r="B728" s="6">
        <v>3.6019020999999998E-2</v>
      </c>
      <c r="C728" s="6">
        <v>0.50177100699999999</v>
      </c>
    </row>
    <row r="729" spans="1:3" x14ac:dyDescent="0.25">
      <c r="A729" s="6" t="s">
        <v>1733</v>
      </c>
      <c r="B729" s="6">
        <v>0.234447618</v>
      </c>
      <c r="C729" s="6">
        <v>0.28664202500000002</v>
      </c>
    </row>
    <row r="730" spans="1:3" x14ac:dyDescent="0.25">
      <c r="A730" s="6" t="s">
        <v>1734</v>
      </c>
      <c r="B730" s="6">
        <v>3.2994441999999999E-2</v>
      </c>
      <c r="C730" s="6">
        <v>0.72350060100000002</v>
      </c>
    </row>
    <row r="731" spans="1:3" x14ac:dyDescent="0.25">
      <c r="A731" s="6" t="s">
        <v>1735</v>
      </c>
      <c r="B731" s="6">
        <v>0.127148808</v>
      </c>
      <c r="C731" s="6">
        <v>0.56366644200000005</v>
      </c>
    </row>
    <row r="732" spans="1:3" x14ac:dyDescent="0.25">
      <c r="A732" s="6" t="s">
        <v>1736</v>
      </c>
      <c r="B732" s="6">
        <v>2.9985615E-2</v>
      </c>
      <c r="C732" s="6">
        <v>1.1192902870000001</v>
      </c>
    </row>
    <row r="733" spans="1:3" x14ac:dyDescent="0.25">
      <c r="A733" s="6" t="s">
        <v>1737</v>
      </c>
      <c r="B733" s="6">
        <v>1.8077969999999999E-2</v>
      </c>
      <c r="C733" s="6">
        <v>0.63155508000000005</v>
      </c>
    </row>
    <row r="734" spans="1:3" x14ac:dyDescent="0.25">
      <c r="A734" s="6" t="s">
        <v>1738</v>
      </c>
      <c r="B734" s="6">
        <v>2.1333026000000001E-2</v>
      </c>
      <c r="C734" s="6">
        <v>1.815504915</v>
      </c>
    </row>
    <row r="735" spans="1:3" x14ac:dyDescent="0.25">
      <c r="A735" s="6" t="s">
        <v>1739</v>
      </c>
      <c r="B735" s="6">
        <v>1.7727959000000001E-2</v>
      </c>
      <c r="C735" s="6">
        <v>0.84866254900000004</v>
      </c>
    </row>
    <row r="736" spans="1:3" x14ac:dyDescent="0.25">
      <c r="A736" s="6" t="s">
        <v>1740</v>
      </c>
      <c r="B736" s="6">
        <v>2.3014205999999999E-2</v>
      </c>
      <c r="C736" s="6">
        <v>0.40268459499999998</v>
      </c>
    </row>
    <row r="737" spans="1:3" x14ac:dyDescent="0.25">
      <c r="A737" s="6" t="s">
        <v>1741</v>
      </c>
      <c r="B737" s="6">
        <v>1.6739634999999999E-2</v>
      </c>
      <c r="C737" s="6">
        <v>0.19689336199999999</v>
      </c>
    </row>
    <row r="738" spans="1:3" x14ac:dyDescent="0.25">
      <c r="A738" s="6" t="s">
        <v>1742</v>
      </c>
      <c r="B738" s="6">
        <v>4.0868012000000002E-2</v>
      </c>
      <c r="C738" s="6">
        <v>0.42342517299999999</v>
      </c>
    </row>
    <row r="739" spans="1:3" x14ac:dyDescent="0.25">
      <c r="A739" s="6" t="s">
        <v>1745</v>
      </c>
      <c r="B739" s="6">
        <v>3.0653755000000001E-2</v>
      </c>
      <c r="C739" s="6">
        <v>0.35131789000000002</v>
      </c>
    </row>
    <row r="740" spans="1:3" x14ac:dyDescent="0.25">
      <c r="A740" s="6" t="s">
        <v>1746</v>
      </c>
      <c r="B740" s="6">
        <v>5.1049049999999999E-2</v>
      </c>
      <c r="C740" s="6">
        <v>0.44644669399999998</v>
      </c>
    </row>
    <row r="741" spans="1:3" x14ac:dyDescent="0.25">
      <c r="A741" s="6" t="s">
        <v>1747</v>
      </c>
      <c r="B741" s="6">
        <v>2.4204238999999999E-2</v>
      </c>
      <c r="C741" s="6">
        <v>0.141744119</v>
      </c>
    </row>
    <row r="742" spans="1:3" x14ac:dyDescent="0.25">
      <c r="A742" s="6" t="s">
        <v>1748</v>
      </c>
      <c r="B742" s="6">
        <v>3.0824838E-2</v>
      </c>
      <c r="C742" s="6">
        <v>0.79926868699999998</v>
      </c>
    </row>
    <row r="743" spans="1:3" x14ac:dyDescent="0.25">
      <c r="A743" s="6" t="s">
        <v>1750</v>
      </c>
      <c r="B743" s="6">
        <v>0.105285373</v>
      </c>
      <c r="C743" s="6">
        <v>0.430490135</v>
      </c>
    </row>
    <row r="744" spans="1:3" x14ac:dyDescent="0.25">
      <c r="A744" s="6" t="s">
        <v>1751</v>
      </c>
      <c r="B744" s="6">
        <v>0.75715001699999995</v>
      </c>
      <c r="C744" s="6">
        <v>0.76447913499999998</v>
      </c>
    </row>
    <row r="745" spans="1:3" x14ac:dyDescent="0.25">
      <c r="A745" s="6" t="s">
        <v>1752</v>
      </c>
      <c r="B745" s="6">
        <v>7.2155933000000005E-2</v>
      </c>
      <c r="C745" s="6">
        <v>0.75427481799999996</v>
      </c>
    </row>
    <row r="746" spans="1:3" x14ac:dyDescent="0.25">
      <c r="A746" s="6" t="s">
        <v>1753</v>
      </c>
      <c r="B746" s="6">
        <v>4.0518848000000003E-2</v>
      </c>
      <c r="C746" s="6">
        <v>0.49394364000000002</v>
      </c>
    </row>
    <row r="747" spans="1:3" x14ac:dyDescent="0.25">
      <c r="A747" s="6" t="s">
        <v>1754</v>
      </c>
      <c r="B747" s="6">
        <v>0.20133872799999999</v>
      </c>
      <c r="C747" s="6">
        <v>0.38629380899999999</v>
      </c>
    </row>
    <row r="748" spans="1:3" x14ac:dyDescent="0.25">
      <c r="A748" s="6" t="s">
        <v>1755</v>
      </c>
      <c r="B748" s="6">
        <v>1.8146081000000001E-2</v>
      </c>
      <c r="C748" s="6">
        <v>0.71863877399999998</v>
      </c>
    </row>
    <row r="749" spans="1:3" x14ac:dyDescent="0.25">
      <c r="A749" s="6" t="s">
        <v>1756</v>
      </c>
      <c r="B749" s="6">
        <v>3.9731724000000003E-2</v>
      </c>
      <c r="C749" s="6">
        <v>0.23309666100000001</v>
      </c>
    </row>
    <row r="750" spans="1:3" x14ac:dyDescent="0.25">
      <c r="A750" s="6" t="s">
        <v>1757</v>
      </c>
      <c r="B750" s="6">
        <v>4.6200537E-2</v>
      </c>
      <c r="C750" s="6">
        <v>0.54729761899999996</v>
      </c>
    </row>
    <row r="751" spans="1:3" x14ac:dyDescent="0.25">
      <c r="A751" s="6" t="s">
        <v>1758</v>
      </c>
      <c r="B751" s="6">
        <v>7.6989629000000004E-2</v>
      </c>
      <c r="C751" s="6">
        <v>1.2691359879999999</v>
      </c>
    </row>
    <row r="752" spans="1:3" x14ac:dyDescent="0.25">
      <c r="A752" s="6" t="s">
        <v>1759</v>
      </c>
      <c r="B752" s="6">
        <v>0.22264904399999999</v>
      </c>
      <c r="C752" s="6">
        <v>7.8720190480000003</v>
      </c>
    </row>
    <row r="753" spans="1:3" x14ac:dyDescent="0.25">
      <c r="A753" s="6" t="s">
        <v>1760</v>
      </c>
      <c r="B753" s="6">
        <v>5.0788468000000003E-2</v>
      </c>
      <c r="C753" s="6">
        <v>9.4735992000000005E-2</v>
      </c>
    </row>
    <row r="754" spans="1:3" x14ac:dyDescent="0.25">
      <c r="A754" s="6" t="s">
        <v>1762</v>
      </c>
      <c r="B754" s="6">
        <v>1.0818863999999999E-2</v>
      </c>
      <c r="C754" s="6">
        <v>0.91913018899999999</v>
      </c>
    </row>
    <row r="755" spans="1:3" x14ac:dyDescent="0.25">
      <c r="A755" s="6" t="s">
        <v>1763</v>
      </c>
      <c r="B755" s="6">
        <v>2.3781845999999999E-2</v>
      </c>
      <c r="C755" s="6">
        <v>0.63571411300000003</v>
      </c>
    </row>
    <row r="756" spans="1:3" x14ac:dyDescent="0.25">
      <c r="A756" s="6" t="s">
        <v>1764</v>
      </c>
      <c r="B756" s="6">
        <v>2.1176638000000001E-2</v>
      </c>
      <c r="C756" s="6">
        <v>1.0334107530000001</v>
      </c>
    </row>
    <row r="757" spans="1:3" x14ac:dyDescent="0.25">
      <c r="A757" s="6" t="s">
        <v>1765</v>
      </c>
      <c r="B757" s="6">
        <v>7.2845359999999998E-2</v>
      </c>
      <c r="C757" s="6">
        <v>2.8323843260000001</v>
      </c>
    </row>
    <row r="758" spans="1:3" x14ac:dyDescent="0.25">
      <c r="A758" s="6" t="s">
        <v>1767</v>
      </c>
      <c r="B758" s="6">
        <v>1.3407977999999999E-2</v>
      </c>
      <c r="C758" s="6">
        <v>0.61112887599999999</v>
      </c>
    </row>
    <row r="759" spans="1:3" x14ac:dyDescent="0.25">
      <c r="A759" s="6" t="s">
        <v>1768</v>
      </c>
      <c r="B759" s="6">
        <v>1.8998978E-2</v>
      </c>
      <c r="C759" s="6">
        <v>0.34975668399999998</v>
      </c>
    </row>
    <row r="760" spans="1:3" x14ac:dyDescent="0.25">
      <c r="A760" s="6" t="s">
        <v>1769</v>
      </c>
      <c r="B760" s="6">
        <v>2.2968714000000001E-2</v>
      </c>
      <c r="C760" s="6">
        <v>1.7554844329999999</v>
      </c>
    </row>
    <row r="761" spans="1:3" x14ac:dyDescent="0.25">
      <c r="A761" s="6" t="s">
        <v>1770</v>
      </c>
      <c r="B761" s="6">
        <v>3.6080424E-2</v>
      </c>
      <c r="C761" s="6">
        <v>0.338038222</v>
      </c>
    </row>
    <row r="762" spans="1:3" x14ac:dyDescent="0.25">
      <c r="A762" s="6" t="s">
        <v>1771</v>
      </c>
      <c r="B762" s="6">
        <v>2.8879622000000001E-2</v>
      </c>
      <c r="C762" s="6">
        <v>0.27959526299999998</v>
      </c>
    </row>
    <row r="763" spans="1:3" x14ac:dyDescent="0.25">
      <c r="A763" s="6" t="s">
        <v>1772</v>
      </c>
      <c r="B763" s="6">
        <v>3.1158644999999999E-2</v>
      </c>
      <c r="C763" s="6">
        <v>0.28231984300000001</v>
      </c>
    </row>
    <row r="764" spans="1:3" x14ac:dyDescent="0.25">
      <c r="A764" s="6" t="s">
        <v>1773</v>
      </c>
      <c r="B764" s="6">
        <v>1.7058810000000001E-2</v>
      </c>
      <c r="C764" s="6">
        <v>0.49262715600000001</v>
      </c>
    </row>
    <row r="765" spans="1:3" x14ac:dyDescent="0.25">
      <c r="A765" s="6" t="s">
        <v>1774</v>
      </c>
      <c r="B765" s="6">
        <v>3.5735602999999998E-2</v>
      </c>
      <c r="C765" s="6">
        <v>1.1916692760000001</v>
      </c>
    </row>
    <row r="766" spans="1:3" x14ac:dyDescent="0.25">
      <c r="A766" s="6" t="s">
        <v>1775</v>
      </c>
      <c r="B766" s="6">
        <v>3.4260502999999998E-2</v>
      </c>
      <c r="C766" s="6">
        <v>1.189111606</v>
      </c>
    </row>
    <row r="767" spans="1:3" x14ac:dyDescent="0.25">
      <c r="A767" s="6" t="s">
        <v>1776</v>
      </c>
      <c r="B767" s="6">
        <v>3.1125196000000001E-2</v>
      </c>
      <c r="C767" s="6">
        <v>2.2235376470000001</v>
      </c>
    </row>
    <row r="768" spans="1:3" x14ac:dyDescent="0.25">
      <c r="A768" s="6" t="s">
        <v>1777</v>
      </c>
      <c r="B768" s="6">
        <v>4.9245416E-2</v>
      </c>
      <c r="C768" s="6">
        <v>0.29252666900000002</v>
      </c>
    </row>
    <row r="769" spans="1:3" x14ac:dyDescent="0.25">
      <c r="A769" s="6" t="s">
        <v>1778</v>
      </c>
      <c r="B769" s="6">
        <v>2.4127177E-2</v>
      </c>
      <c r="C769" s="6">
        <v>0.34910722799999999</v>
      </c>
    </row>
    <row r="770" spans="1:3" x14ac:dyDescent="0.25">
      <c r="A770" s="6" t="s">
        <v>1779</v>
      </c>
      <c r="B770" s="6">
        <v>2.5319487000000002E-2</v>
      </c>
      <c r="C770" s="6">
        <v>2.2361397000000002E-2</v>
      </c>
    </row>
    <row r="771" spans="1:3" x14ac:dyDescent="0.25">
      <c r="A771" s="6" t="s">
        <v>1780</v>
      </c>
      <c r="B771" s="6">
        <v>4.4269062999999997E-2</v>
      </c>
      <c r="C771" s="6">
        <v>0.53505206199999999</v>
      </c>
    </row>
    <row r="772" spans="1:3" x14ac:dyDescent="0.25">
      <c r="A772" s="6" t="s">
        <v>1781</v>
      </c>
      <c r="B772" s="6">
        <v>3.2221949999999999E-2</v>
      </c>
      <c r="C772" s="6">
        <v>0.273987971</v>
      </c>
    </row>
    <row r="773" spans="1:3" x14ac:dyDescent="0.25">
      <c r="A773" s="6" t="s">
        <v>1782</v>
      </c>
      <c r="B773" s="6">
        <v>0.38863963800000001</v>
      </c>
      <c r="C773" s="6">
        <v>0.31000490400000003</v>
      </c>
    </row>
    <row r="774" spans="1:3" x14ac:dyDescent="0.25">
      <c r="A774" s="6" t="s">
        <v>1783</v>
      </c>
      <c r="B774" s="6">
        <v>2.2349412999999999E-2</v>
      </c>
      <c r="C774" s="6">
        <v>2.2879549830000001</v>
      </c>
    </row>
    <row r="775" spans="1:3" x14ac:dyDescent="0.25">
      <c r="A775" s="6" t="s">
        <v>1784</v>
      </c>
      <c r="B775" s="6">
        <v>0.10454108099999999</v>
      </c>
      <c r="C775" s="6">
        <v>0.60082855300000004</v>
      </c>
    </row>
    <row r="776" spans="1:3" x14ac:dyDescent="0.25">
      <c r="A776" s="6" t="s">
        <v>1785</v>
      </c>
      <c r="B776" s="6">
        <v>2.8998314000000001E-2</v>
      </c>
      <c r="C776" s="6">
        <v>0.19333170199999999</v>
      </c>
    </row>
    <row r="777" spans="1:3" x14ac:dyDescent="0.25">
      <c r="A777" s="6" t="s">
        <v>1786</v>
      </c>
      <c r="B777" s="6">
        <v>1.3294392E-2</v>
      </c>
      <c r="C777" s="6">
        <v>0.35993903700000002</v>
      </c>
    </row>
    <row r="778" spans="1:3" x14ac:dyDescent="0.25">
      <c r="A778" s="6" t="s">
        <v>1787</v>
      </c>
      <c r="B778" s="6">
        <v>2.3617480999999999E-2</v>
      </c>
      <c r="C778" s="6">
        <v>0.50153444199999997</v>
      </c>
    </row>
    <row r="779" spans="1:3" x14ac:dyDescent="0.25">
      <c r="A779" s="6" t="s">
        <v>1788</v>
      </c>
      <c r="B779" s="6">
        <v>2.060041E-2</v>
      </c>
      <c r="C779" s="6">
        <v>0.72692044700000003</v>
      </c>
    </row>
    <row r="780" spans="1:3" x14ac:dyDescent="0.25">
      <c r="A780" s="6" t="s">
        <v>1789</v>
      </c>
      <c r="B780" s="6">
        <v>1.4150064E-2</v>
      </c>
      <c r="C780" s="6">
        <v>0.76078381799999995</v>
      </c>
    </row>
    <row r="781" spans="1:3" x14ac:dyDescent="0.25">
      <c r="A781" s="6" t="s">
        <v>1790</v>
      </c>
      <c r="B781" s="6">
        <v>1.0801023999999999E-2</v>
      </c>
      <c r="C781" s="6">
        <v>0.38735929499999999</v>
      </c>
    </row>
    <row r="782" spans="1:3" x14ac:dyDescent="0.25">
      <c r="A782" s="6" t="s">
        <v>1791</v>
      </c>
      <c r="B782" s="6">
        <v>1.8225722999999999E-2</v>
      </c>
      <c r="C782" s="6">
        <v>0.53333335599999998</v>
      </c>
    </row>
    <row r="783" spans="1:3" x14ac:dyDescent="0.25">
      <c r="A783" s="6" t="s">
        <v>1792</v>
      </c>
      <c r="B783" s="6">
        <v>2.6956659000000001E-2</v>
      </c>
      <c r="C783" s="6">
        <v>1.025014877</v>
      </c>
    </row>
    <row r="784" spans="1:3" x14ac:dyDescent="0.25">
      <c r="A784" s="6" t="s">
        <v>1794</v>
      </c>
      <c r="B784" s="6">
        <v>3.9081255000000002E-2</v>
      </c>
      <c r="C784" s="6">
        <v>0.60321867900000004</v>
      </c>
    </row>
    <row r="785" spans="1:3" x14ac:dyDescent="0.25">
      <c r="A785" s="6" t="s">
        <v>1795</v>
      </c>
      <c r="B785" s="6">
        <v>3.0538358000000002E-2</v>
      </c>
      <c r="C785" s="6">
        <v>0.46459509199999999</v>
      </c>
    </row>
    <row r="786" spans="1:3" x14ac:dyDescent="0.25">
      <c r="A786" s="6" t="s">
        <v>1796</v>
      </c>
      <c r="B786" s="6">
        <v>4.3754579000000002E-2</v>
      </c>
      <c r="C786" s="6">
        <v>0.56776837400000002</v>
      </c>
    </row>
    <row r="787" spans="1:3" x14ac:dyDescent="0.25">
      <c r="A787" s="6" t="s">
        <v>1797</v>
      </c>
      <c r="B787" s="6">
        <v>4.0335535999999998E-2</v>
      </c>
      <c r="C787" s="6">
        <v>1.139668801</v>
      </c>
    </row>
    <row r="788" spans="1:3" x14ac:dyDescent="0.25">
      <c r="A788" s="6" t="s">
        <v>1798</v>
      </c>
      <c r="B788" s="6">
        <v>3.5720979999999999E-2</v>
      </c>
      <c r="C788" s="6">
        <v>0.63271907999999999</v>
      </c>
    </row>
    <row r="789" spans="1:3" x14ac:dyDescent="0.25">
      <c r="A789" s="6" t="s">
        <v>1799</v>
      </c>
      <c r="B789" s="6">
        <v>2.5832039000000001E-2</v>
      </c>
      <c r="C789" s="6">
        <v>0.50276370199999998</v>
      </c>
    </row>
    <row r="790" spans="1:3" x14ac:dyDescent="0.25">
      <c r="A790" s="6" t="s">
        <v>1800</v>
      </c>
      <c r="B790" s="6">
        <v>6.9030640000000004E-2</v>
      </c>
      <c r="C790" s="6">
        <v>0.49586000699999999</v>
      </c>
    </row>
    <row r="791" spans="1:3" x14ac:dyDescent="0.25">
      <c r="A791" s="6" t="s">
        <v>1801</v>
      </c>
      <c r="B791" s="6">
        <v>0.39007606</v>
      </c>
      <c r="C791" s="6">
        <v>0.72595849800000001</v>
      </c>
    </row>
    <row r="792" spans="1:3" x14ac:dyDescent="0.25">
      <c r="A792" s="6" t="s">
        <v>1802</v>
      </c>
      <c r="B792" s="6">
        <v>7.9641713000000003E-2</v>
      </c>
      <c r="C792" s="6">
        <v>1.3809247710000001</v>
      </c>
    </row>
    <row r="793" spans="1:3" x14ac:dyDescent="0.25">
      <c r="A793" s="6" t="s">
        <v>1803</v>
      </c>
      <c r="B793" s="6">
        <v>7.4088761000000003E-2</v>
      </c>
      <c r="C793" s="6">
        <v>0.57394668599999998</v>
      </c>
    </row>
    <row r="794" spans="1:3" x14ac:dyDescent="0.25">
      <c r="A794" s="6" t="s">
        <v>1804</v>
      </c>
      <c r="B794" s="6">
        <v>4.1995333000000003E-2</v>
      </c>
      <c r="C794" s="6">
        <v>0.14303864099999999</v>
      </c>
    </row>
    <row r="795" spans="1:3" x14ac:dyDescent="0.25">
      <c r="A795" s="6" t="s">
        <v>1805</v>
      </c>
      <c r="B795" s="6">
        <v>1.0578229999999999E-2</v>
      </c>
      <c r="C795" s="6">
        <v>0.153021452</v>
      </c>
    </row>
    <row r="796" spans="1:3" x14ac:dyDescent="0.25">
      <c r="A796" s="6" t="s">
        <v>1806</v>
      </c>
      <c r="B796" s="6">
        <v>9.4935906E-2</v>
      </c>
      <c r="C796" s="6">
        <v>0.27204901199999998</v>
      </c>
    </row>
    <row r="797" spans="1:3" x14ac:dyDescent="0.25">
      <c r="A797" s="6" t="s">
        <v>1807</v>
      </c>
      <c r="B797" s="6">
        <v>2.2536094E-2</v>
      </c>
      <c r="C797" s="6">
        <v>0.16016798800000001</v>
      </c>
    </row>
    <row r="798" spans="1:3" x14ac:dyDescent="0.25">
      <c r="A798" s="6" t="s">
        <v>1808</v>
      </c>
      <c r="B798" s="6">
        <v>3.0796649999999998E-2</v>
      </c>
      <c r="C798" s="6">
        <v>0.444372824</v>
      </c>
    </row>
    <row r="799" spans="1:3" x14ac:dyDescent="0.25">
      <c r="A799" s="6" t="s">
        <v>1809</v>
      </c>
      <c r="B799" s="6">
        <v>3.3448523000000001E-2</v>
      </c>
      <c r="C799" s="6">
        <v>0.468931078</v>
      </c>
    </row>
    <row r="800" spans="1:3" x14ac:dyDescent="0.25">
      <c r="A800" s="6" t="s">
        <v>1810</v>
      </c>
      <c r="B800" s="6">
        <v>1.7855392000000001E-2</v>
      </c>
      <c r="C800" s="6">
        <v>0.69287384799999996</v>
      </c>
    </row>
    <row r="801" spans="1:3" x14ac:dyDescent="0.25">
      <c r="A801" s="6" t="s">
        <v>1811</v>
      </c>
      <c r="B801" s="6">
        <v>4.0027011000000001E-2</v>
      </c>
      <c r="C801" s="6">
        <v>0.125614371</v>
      </c>
    </row>
    <row r="802" spans="1:3" x14ac:dyDescent="0.25">
      <c r="A802" s="6" t="s">
        <v>1812</v>
      </c>
      <c r="B802" s="6">
        <v>3.8482445999999997E-2</v>
      </c>
      <c r="C802" s="6">
        <v>0.147422317</v>
      </c>
    </row>
    <row r="803" spans="1:3" x14ac:dyDescent="0.25">
      <c r="A803" s="6" t="s">
        <v>1813</v>
      </c>
      <c r="B803" s="6">
        <v>1.2442893999999999E-2</v>
      </c>
      <c r="C803" s="6">
        <v>0.57620441099999997</v>
      </c>
    </row>
    <row r="804" spans="1:3" x14ac:dyDescent="0.25">
      <c r="A804" s="6" t="s">
        <v>1814</v>
      </c>
      <c r="B804" s="6">
        <v>0.38241434699999999</v>
      </c>
      <c r="C804" s="6">
        <v>25.772055040000001</v>
      </c>
    </row>
    <row r="805" spans="1:3" x14ac:dyDescent="0.25">
      <c r="A805" s="6" t="s">
        <v>1815</v>
      </c>
      <c r="B805" s="6">
        <v>4.3315643000000001E-2</v>
      </c>
      <c r="C805" s="6">
        <v>0.52065984799999998</v>
      </c>
    </row>
    <row r="806" spans="1:3" x14ac:dyDescent="0.25">
      <c r="A806" s="6" t="s">
        <v>1816</v>
      </c>
      <c r="B806" s="6">
        <v>9.4658275E-2</v>
      </c>
      <c r="C806" s="6">
        <v>0.259705566</v>
      </c>
    </row>
    <row r="807" spans="1:3" x14ac:dyDescent="0.25">
      <c r="A807" s="6" t="s">
        <v>1817</v>
      </c>
      <c r="B807" s="6">
        <v>4.8400928000000003E-2</v>
      </c>
      <c r="C807" s="6">
        <v>0.753890791</v>
      </c>
    </row>
    <row r="808" spans="1:3" x14ac:dyDescent="0.25">
      <c r="A808" s="6" t="s">
        <v>1818</v>
      </c>
      <c r="B808" s="6">
        <v>2.1026988999999999E-2</v>
      </c>
      <c r="C808" s="6">
        <v>0.186707241</v>
      </c>
    </row>
    <row r="809" spans="1:3" x14ac:dyDescent="0.25">
      <c r="A809" s="6" t="s">
        <v>1819</v>
      </c>
      <c r="B809" s="6">
        <v>0.53418361199999997</v>
      </c>
      <c r="C809" s="6">
        <v>1.85416862</v>
      </c>
    </row>
    <row r="810" spans="1:3" x14ac:dyDescent="0.25">
      <c r="A810" s="6" t="s">
        <v>1820</v>
      </c>
      <c r="B810" s="6">
        <v>3.9195138999999997E-2</v>
      </c>
      <c r="C810" s="6">
        <v>0.58788020299999999</v>
      </c>
    </row>
    <row r="811" spans="1:3" x14ac:dyDescent="0.25">
      <c r="A811" s="6" t="s">
        <v>1821</v>
      </c>
      <c r="B811" s="6">
        <v>1.5777917999999998E-2</v>
      </c>
      <c r="C811" s="6">
        <v>0.70718762599999996</v>
      </c>
    </row>
    <row r="812" spans="1:3" x14ac:dyDescent="0.25">
      <c r="A812" s="6" t="s">
        <v>1822</v>
      </c>
      <c r="B812" s="6">
        <v>3.0727091000000002E-2</v>
      </c>
      <c r="C812" s="6">
        <v>0.41372787300000002</v>
      </c>
    </row>
    <row r="813" spans="1:3" x14ac:dyDescent="0.25">
      <c r="A813" s="6" t="s">
        <v>1823</v>
      </c>
      <c r="B813" s="6">
        <v>3.0082212000000001E-2</v>
      </c>
      <c r="C813" s="6">
        <v>0.81903915999999999</v>
      </c>
    </row>
    <row r="814" spans="1:3" x14ac:dyDescent="0.25">
      <c r="A814" s="6" t="s">
        <v>1824</v>
      </c>
      <c r="B814" s="6">
        <v>1.1510868E-2</v>
      </c>
      <c r="C814" s="6">
        <v>0.46080188599999999</v>
      </c>
    </row>
    <row r="815" spans="1:3" x14ac:dyDescent="0.25">
      <c r="A815" s="6" t="s">
        <v>1825</v>
      </c>
      <c r="B815" s="6">
        <v>2.9865822E-2</v>
      </c>
      <c r="C815" s="6">
        <v>27.52196168</v>
      </c>
    </row>
    <row r="816" spans="1:3" x14ac:dyDescent="0.25">
      <c r="A816" s="6" t="s">
        <v>1826</v>
      </c>
      <c r="B816" s="6">
        <v>4.1115344999999998E-2</v>
      </c>
      <c r="C816" s="6">
        <v>0.80997186300000001</v>
      </c>
    </row>
    <row r="817" spans="1:3" x14ac:dyDescent="0.25">
      <c r="A817" s="6" t="s">
        <v>1827</v>
      </c>
      <c r="B817" s="6">
        <v>2.2486751999999999E-2</v>
      </c>
      <c r="C817" s="6">
        <v>0.55581836900000003</v>
      </c>
    </row>
    <row r="818" spans="1:3" x14ac:dyDescent="0.25">
      <c r="A818" s="6" t="s">
        <v>1828</v>
      </c>
      <c r="B818" s="6">
        <v>3.3621402000000002E-2</v>
      </c>
      <c r="C818" s="6">
        <v>1.2239595169999999</v>
      </c>
    </row>
    <row r="819" spans="1:3" x14ac:dyDescent="0.25">
      <c r="A819" s="6" t="s">
        <v>1830</v>
      </c>
      <c r="B819" s="6">
        <v>2.2546114999999999E-2</v>
      </c>
      <c r="C819" s="6">
        <v>5.6958309999999998E-2</v>
      </c>
    </row>
    <row r="820" spans="1:3" x14ac:dyDescent="0.25">
      <c r="A820" s="6" t="s">
        <v>1831</v>
      </c>
      <c r="B820" s="6">
        <v>3.6652509E-2</v>
      </c>
      <c r="C820" s="6">
        <v>0.29524497599999999</v>
      </c>
    </row>
    <row r="821" spans="1:3" x14ac:dyDescent="0.25">
      <c r="A821" s="6" t="s">
        <v>1832</v>
      </c>
      <c r="B821" s="6">
        <v>3.7067281000000001E-2</v>
      </c>
      <c r="C821" s="6">
        <v>0.36459065499999999</v>
      </c>
    </row>
    <row r="822" spans="1:3" x14ac:dyDescent="0.25">
      <c r="A822" s="6" t="s">
        <v>1833</v>
      </c>
      <c r="B822" s="6">
        <v>2.7803576E-2</v>
      </c>
      <c r="C822" s="6">
        <v>3.3100520100000002</v>
      </c>
    </row>
    <row r="823" spans="1:3" x14ac:dyDescent="0.25">
      <c r="A823" s="6" t="s">
        <v>1834</v>
      </c>
      <c r="B823" s="6">
        <v>2.8083837E-2</v>
      </c>
      <c r="C823" s="6">
        <v>0.81861810999999995</v>
      </c>
    </row>
    <row r="824" spans="1:3" x14ac:dyDescent="0.25">
      <c r="A824" s="6" t="s">
        <v>1835</v>
      </c>
      <c r="B824" s="6">
        <v>2.6838121999999999E-2</v>
      </c>
      <c r="C824" s="6">
        <v>0.75074139600000001</v>
      </c>
    </row>
    <row r="825" spans="1:3" x14ac:dyDescent="0.25">
      <c r="A825" s="6" t="s">
        <v>1836</v>
      </c>
      <c r="B825" s="6">
        <v>1.5330827999999999E-2</v>
      </c>
      <c r="C825" s="6">
        <v>0.89605344899999995</v>
      </c>
    </row>
    <row r="826" spans="1:3" x14ac:dyDescent="0.25">
      <c r="A826" s="6" t="s">
        <v>1837</v>
      </c>
      <c r="B826" s="6">
        <v>8.5911554000000001E-2</v>
      </c>
      <c r="C826" s="6">
        <v>0.39587314200000001</v>
      </c>
    </row>
    <row r="827" spans="1:3" x14ac:dyDescent="0.25">
      <c r="A827" s="6" t="s">
        <v>1838</v>
      </c>
      <c r="B827" s="6">
        <v>1.7761916999999999E-2</v>
      </c>
      <c r="C827" s="6">
        <v>0.26317247500000002</v>
      </c>
    </row>
    <row r="828" spans="1:3" x14ac:dyDescent="0.25">
      <c r="A828" s="6" t="s">
        <v>1839</v>
      </c>
      <c r="B828" s="6">
        <v>2.7708678E-2</v>
      </c>
      <c r="C828" s="6">
        <v>0.42069055100000002</v>
      </c>
    </row>
    <row r="829" spans="1:3" x14ac:dyDescent="0.25">
      <c r="A829" s="6" t="s">
        <v>1840</v>
      </c>
      <c r="B829" s="6">
        <v>0.84149825499999997</v>
      </c>
      <c r="C829" s="6">
        <v>0.18503496899999999</v>
      </c>
    </row>
    <row r="830" spans="1:3" x14ac:dyDescent="0.25">
      <c r="A830" s="6" t="s">
        <v>1841</v>
      </c>
      <c r="B830" s="6">
        <v>4.1150688999999997E-2</v>
      </c>
      <c r="C830" s="6">
        <v>0.80061466400000003</v>
      </c>
    </row>
    <row r="831" spans="1:3" x14ac:dyDescent="0.25">
      <c r="A831" s="6" t="s">
        <v>1842</v>
      </c>
      <c r="B831" s="6">
        <v>9.1264708999999999E-2</v>
      </c>
      <c r="C831" s="6">
        <v>0.49971345099999998</v>
      </c>
    </row>
    <row r="832" spans="1:3" x14ac:dyDescent="0.25">
      <c r="A832" s="6" t="s">
        <v>1843</v>
      </c>
      <c r="B832" s="6">
        <v>1.9240058000000001E-2</v>
      </c>
      <c r="C832" s="6">
        <v>0.71259474700000003</v>
      </c>
    </row>
    <row r="833" spans="1:3" x14ac:dyDescent="0.25">
      <c r="A833" s="6" t="s">
        <v>1844</v>
      </c>
      <c r="B833" s="6">
        <v>2.0436630000000001E-2</v>
      </c>
      <c r="C833" s="6">
        <v>0.79348758100000005</v>
      </c>
    </row>
    <row r="834" spans="1:3" x14ac:dyDescent="0.25">
      <c r="A834" s="6" t="s">
        <v>1845</v>
      </c>
      <c r="B834" s="6">
        <v>2.9194715E-2</v>
      </c>
      <c r="C834" s="6">
        <v>0.53087294900000004</v>
      </c>
    </row>
    <row r="835" spans="1:3" x14ac:dyDescent="0.25">
      <c r="A835" s="6" t="s">
        <v>1846</v>
      </c>
      <c r="B835" s="6">
        <v>8.4384794999999999E-2</v>
      </c>
      <c r="C835" s="6">
        <v>12.654791380000001</v>
      </c>
    </row>
    <row r="836" spans="1:3" x14ac:dyDescent="0.25">
      <c r="A836" s="6" t="s">
        <v>1847</v>
      </c>
      <c r="B836" s="6">
        <v>3.8501317E-2</v>
      </c>
      <c r="C836" s="6">
        <v>1.157600712</v>
      </c>
    </row>
    <row r="837" spans="1:3" x14ac:dyDescent="0.25">
      <c r="A837" s="6" t="s">
        <v>1848</v>
      </c>
      <c r="B837" s="6">
        <v>1.8159104999999998E-2</v>
      </c>
      <c r="C837" s="6">
        <v>1.040985241</v>
      </c>
    </row>
    <row r="838" spans="1:3" x14ac:dyDescent="0.25">
      <c r="A838" s="6" t="s">
        <v>1849</v>
      </c>
      <c r="B838" s="6">
        <v>5.1615842000000002E-2</v>
      </c>
      <c r="C838" s="6">
        <v>6.2945529389999999</v>
      </c>
    </row>
    <row r="839" spans="1:3" x14ac:dyDescent="0.25">
      <c r="A839" s="6" t="s">
        <v>1850</v>
      </c>
      <c r="B839" s="6">
        <v>1.5448939E-2</v>
      </c>
      <c r="C839" s="6">
        <v>0.55935869100000002</v>
      </c>
    </row>
    <row r="840" spans="1:3" x14ac:dyDescent="0.25">
      <c r="A840" s="6" t="s">
        <v>1851</v>
      </c>
      <c r="B840" s="6">
        <v>2.1227856E-2</v>
      </c>
      <c r="C840" s="6">
        <v>0.27649481199999998</v>
      </c>
    </row>
    <row r="841" spans="1:3" x14ac:dyDescent="0.25">
      <c r="A841" s="6" t="s">
        <v>1852</v>
      </c>
      <c r="B841" s="6">
        <v>0.18484118099999999</v>
      </c>
      <c r="C841" s="6">
        <v>0.57660977199999996</v>
      </c>
    </row>
    <row r="842" spans="1:3" x14ac:dyDescent="0.25">
      <c r="A842" s="6" t="s">
        <v>1853</v>
      </c>
      <c r="B842" s="6">
        <v>1.6816889000000002E-2</v>
      </c>
      <c r="C842" s="6">
        <v>0.41844914</v>
      </c>
    </row>
    <row r="843" spans="1:3" x14ac:dyDescent="0.25">
      <c r="A843" s="6" t="s">
        <v>1854</v>
      </c>
      <c r="B843" s="6">
        <v>0.13842409999999999</v>
      </c>
      <c r="C843" s="6">
        <v>1.8433236319999999</v>
      </c>
    </row>
    <row r="844" spans="1:3" x14ac:dyDescent="0.25">
      <c r="A844" s="6" t="s">
        <v>1855</v>
      </c>
      <c r="B844" s="6">
        <v>4.4766167000000003E-2</v>
      </c>
      <c r="C844" s="6">
        <v>0.14886053399999999</v>
      </c>
    </row>
    <row r="845" spans="1:3" x14ac:dyDescent="0.25">
      <c r="A845" s="6" t="s">
        <v>1856</v>
      </c>
      <c r="B845" s="6">
        <v>2.5338059E-2</v>
      </c>
      <c r="C845" s="6">
        <v>0.327380228</v>
      </c>
    </row>
    <row r="846" spans="1:3" x14ac:dyDescent="0.25">
      <c r="A846" s="6" t="s">
        <v>1857</v>
      </c>
      <c r="B846" s="6">
        <v>2.1598651999999999E-2</v>
      </c>
      <c r="C846" s="6">
        <v>0.233256044</v>
      </c>
    </row>
    <row r="847" spans="1:3" x14ac:dyDescent="0.25">
      <c r="A847" s="6" t="s">
        <v>1858</v>
      </c>
      <c r="B847" s="6">
        <v>5.0822322000000003E-2</v>
      </c>
      <c r="C847" s="6">
        <v>0.55442595699999997</v>
      </c>
    </row>
    <row r="848" spans="1:3" x14ac:dyDescent="0.25">
      <c r="A848" s="6" t="s">
        <v>1859</v>
      </c>
      <c r="B848" s="6">
        <v>3.7290215000000002E-2</v>
      </c>
      <c r="C848" s="6">
        <v>0.304074452</v>
      </c>
    </row>
    <row r="849" spans="1:3" x14ac:dyDescent="0.25">
      <c r="A849" s="6" t="s">
        <v>1860</v>
      </c>
      <c r="B849" s="6">
        <v>4.8108471E-2</v>
      </c>
      <c r="C849" s="6">
        <v>0.13064624999999999</v>
      </c>
    </row>
    <row r="850" spans="1:3" x14ac:dyDescent="0.25">
      <c r="A850" s="6" t="s">
        <v>1861</v>
      </c>
      <c r="B850" s="6">
        <v>0.32296064899999999</v>
      </c>
      <c r="C850" s="6">
        <v>0.289693531</v>
      </c>
    </row>
    <row r="851" spans="1:3" x14ac:dyDescent="0.25">
      <c r="A851" s="6" t="s">
        <v>1862</v>
      </c>
      <c r="B851" s="6">
        <v>2.6558809999999999E-2</v>
      </c>
      <c r="C851" s="6">
        <v>0.31529342700000001</v>
      </c>
    </row>
    <row r="852" spans="1:3" x14ac:dyDescent="0.25">
      <c r="A852" s="6" t="s">
        <v>1863</v>
      </c>
      <c r="B852" s="6">
        <v>3.5213908000000002E-2</v>
      </c>
      <c r="C852" s="6">
        <v>0.67528392000000004</v>
      </c>
    </row>
    <row r="853" spans="1:3" x14ac:dyDescent="0.25">
      <c r="A853" s="6" t="s">
        <v>1864</v>
      </c>
      <c r="B853" s="6">
        <v>1.8955534E-2</v>
      </c>
      <c r="C853" s="6">
        <v>0.51963326700000001</v>
      </c>
    </row>
    <row r="854" spans="1:3" x14ac:dyDescent="0.25">
      <c r="A854" s="6" t="s">
        <v>1865</v>
      </c>
      <c r="B854" s="6">
        <v>2.1578619E-2</v>
      </c>
      <c r="C854" s="6">
        <v>1.169243247</v>
      </c>
    </row>
    <row r="855" spans="1:3" x14ac:dyDescent="0.25">
      <c r="A855" s="6" t="s">
        <v>1866</v>
      </c>
      <c r="B855" s="6">
        <v>2.8932585E-2</v>
      </c>
      <c r="C855" s="6">
        <v>29.90346104</v>
      </c>
    </row>
    <row r="856" spans="1:3" x14ac:dyDescent="0.25">
      <c r="A856" s="6" t="s">
        <v>1867</v>
      </c>
      <c r="B856" s="6">
        <v>2.1527441000000001E-2</v>
      </c>
      <c r="C856" s="6">
        <v>0.19915422499999999</v>
      </c>
    </row>
    <row r="857" spans="1:3" x14ac:dyDescent="0.25">
      <c r="A857" s="6" t="s">
        <v>1868</v>
      </c>
      <c r="B857" s="6">
        <v>2.7409073999999999E-2</v>
      </c>
      <c r="C857" s="6">
        <v>0.45532573999999998</v>
      </c>
    </row>
    <row r="858" spans="1:3" x14ac:dyDescent="0.25">
      <c r="A858" s="6" t="s">
        <v>1869</v>
      </c>
      <c r="B858" s="6">
        <v>5.4477496E-2</v>
      </c>
      <c r="C858" s="6">
        <v>0.48163972599999999</v>
      </c>
    </row>
    <row r="859" spans="1:3" x14ac:dyDescent="0.25">
      <c r="A859" s="6" t="s">
        <v>1870</v>
      </c>
      <c r="B859" s="6">
        <v>4.0656713999999997E-2</v>
      </c>
      <c r="C859" s="6">
        <v>0.83729674099999996</v>
      </c>
    </row>
    <row r="860" spans="1:3" x14ac:dyDescent="0.25">
      <c r="A860" s="6" t="s">
        <v>1871</v>
      </c>
      <c r="B860" s="6">
        <v>2.5199701000000001E-2</v>
      </c>
      <c r="C860" s="6">
        <v>0.61039910100000005</v>
      </c>
    </row>
    <row r="861" spans="1:3" x14ac:dyDescent="0.25">
      <c r="A861" s="6" t="s">
        <v>1872</v>
      </c>
      <c r="B861" s="6">
        <v>2.0613684E-2</v>
      </c>
      <c r="C861" s="6">
        <v>2.0393554439999999</v>
      </c>
    </row>
    <row r="862" spans="1:3" x14ac:dyDescent="0.25">
      <c r="A862" s="6" t="s">
        <v>1873</v>
      </c>
      <c r="B862" s="6">
        <v>8.9785988999999997E-2</v>
      </c>
      <c r="C862" s="6">
        <v>0.287656684</v>
      </c>
    </row>
    <row r="863" spans="1:3" x14ac:dyDescent="0.25">
      <c r="A863" s="6" t="s">
        <v>1874</v>
      </c>
      <c r="B863" s="6">
        <v>3.0604777E-2</v>
      </c>
      <c r="C863" s="6">
        <v>0.99628127300000002</v>
      </c>
    </row>
    <row r="864" spans="1:3" x14ac:dyDescent="0.25">
      <c r="A864" s="6" t="s">
        <v>1875</v>
      </c>
      <c r="B864" s="6">
        <v>2.6745802999999999E-2</v>
      </c>
      <c r="C864" s="6">
        <v>0.16738291999999999</v>
      </c>
    </row>
    <row r="865" spans="1:3" x14ac:dyDescent="0.25">
      <c r="A865" s="6" t="s">
        <v>1876</v>
      </c>
      <c r="B865" s="6">
        <v>8.1791216999999999E-2</v>
      </c>
      <c r="C865" s="6">
        <v>0.51728518199999995</v>
      </c>
    </row>
    <row r="866" spans="1:3" x14ac:dyDescent="0.25">
      <c r="A866" s="6" t="s">
        <v>1877</v>
      </c>
      <c r="B866" s="6">
        <v>1.8110501000000001E-2</v>
      </c>
      <c r="C866" s="6">
        <v>0.79761084699999996</v>
      </c>
    </row>
    <row r="867" spans="1:3" x14ac:dyDescent="0.25">
      <c r="A867" s="6" t="s">
        <v>1878</v>
      </c>
      <c r="B867" s="6">
        <v>1.1605747E-2</v>
      </c>
      <c r="C867" s="6">
        <v>0.22672194200000001</v>
      </c>
    </row>
    <row r="868" spans="1:3" x14ac:dyDescent="0.25">
      <c r="A868" s="6" t="s">
        <v>1879</v>
      </c>
      <c r="B868" s="6">
        <v>1.7448192000000001E-2</v>
      </c>
      <c r="C868" s="6">
        <v>1.8962899999999999E-3</v>
      </c>
    </row>
    <row r="869" spans="1:3" x14ac:dyDescent="0.25">
      <c r="A869" s="6" t="s">
        <v>1880</v>
      </c>
      <c r="B869" s="6">
        <v>3.4287587000000001E-2</v>
      </c>
      <c r="C869" s="6">
        <v>0.12814129299999999</v>
      </c>
    </row>
    <row r="870" spans="1:3" x14ac:dyDescent="0.25">
      <c r="A870" s="6" t="s">
        <v>1881</v>
      </c>
      <c r="B870" s="6">
        <v>5.4234246999999999E-2</v>
      </c>
      <c r="C870" s="6">
        <v>1.417464407</v>
      </c>
    </row>
    <row r="871" spans="1:3" x14ac:dyDescent="0.25">
      <c r="A871" s="6" t="s">
        <v>1882</v>
      </c>
      <c r="B871" s="6">
        <v>1.8871341E-2</v>
      </c>
      <c r="C871" s="6">
        <v>0.59449211300000004</v>
      </c>
    </row>
    <row r="872" spans="1:3" x14ac:dyDescent="0.25">
      <c r="A872" s="6" t="s">
        <v>1883</v>
      </c>
      <c r="B872" s="6">
        <v>3.0536939999999999E-2</v>
      </c>
      <c r="C872" s="6">
        <v>0.356002137</v>
      </c>
    </row>
    <row r="873" spans="1:3" x14ac:dyDescent="0.25">
      <c r="A873" s="6" t="s">
        <v>1884</v>
      </c>
      <c r="B873" s="6">
        <v>2.0447198999999999E-2</v>
      </c>
      <c r="C873" s="6">
        <v>0.69776893399999995</v>
      </c>
    </row>
    <row r="874" spans="1:3" x14ac:dyDescent="0.25">
      <c r="A874" s="6" t="s">
        <v>1885</v>
      </c>
      <c r="B874" s="6">
        <v>1.8129513E-2</v>
      </c>
      <c r="C874" s="6">
        <v>0.97422860300000003</v>
      </c>
    </row>
    <row r="875" spans="1:3" x14ac:dyDescent="0.25">
      <c r="A875" s="6" t="s">
        <v>1886</v>
      </c>
      <c r="B875" s="6">
        <v>3.9489587999999999E-2</v>
      </c>
      <c r="C875" s="6">
        <v>0.79927747299999996</v>
      </c>
    </row>
    <row r="876" spans="1:3" x14ac:dyDescent="0.25">
      <c r="A876" s="6" t="s">
        <v>1887</v>
      </c>
      <c r="B876" s="6">
        <v>0.17919190400000001</v>
      </c>
      <c r="C876" s="6">
        <v>0.40546565099999998</v>
      </c>
    </row>
    <row r="877" spans="1:3" x14ac:dyDescent="0.25">
      <c r="A877" s="6" t="s">
        <v>1888</v>
      </c>
      <c r="B877" s="6">
        <v>1.7120671000000001E-2</v>
      </c>
      <c r="C877" s="6">
        <v>0.69254692299999998</v>
      </c>
    </row>
    <row r="878" spans="1:3" x14ac:dyDescent="0.25">
      <c r="A878" s="6" t="s">
        <v>1889</v>
      </c>
      <c r="B878" s="6">
        <v>6.0847099000000002E-2</v>
      </c>
      <c r="C878" s="6">
        <v>0.59110552400000005</v>
      </c>
    </row>
    <row r="879" spans="1:3" x14ac:dyDescent="0.25">
      <c r="A879" s="6" t="s">
        <v>1890</v>
      </c>
      <c r="B879" s="6">
        <v>2.6626499000000001E-2</v>
      </c>
      <c r="C879" s="6">
        <v>0.37279200899999998</v>
      </c>
    </row>
    <row r="880" spans="1:3" x14ac:dyDescent="0.25">
      <c r="A880" s="6" t="s">
        <v>1891</v>
      </c>
      <c r="B880" s="6">
        <v>5.2977605999999997E-2</v>
      </c>
      <c r="C880" s="6">
        <v>1.3755458890000001</v>
      </c>
    </row>
    <row r="881" spans="1:3" x14ac:dyDescent="0.25">
      <c r="A881" s="6" t="s">
        <v>1892</v>
      </c>
      <c r="B881" s="6">
        <v>3.2556928999999998E-2</v>
      </c>
      <c r="C881" s="6">
        <v>0.31918828599999999</v>
      </c>
    </row>
    <row r="882" spans="1:3" x14ac:dyDescent="0.25">
      <c r="A882" s="6" t="s">
        <v>1893</v>
      </c>
      <c r="B882" s="6">
        <v>3.3499869000000002E-2</v>
      </c>
      <c r="C882" s="6">
        <v>0.49970655000000003</v>
      </c>
    </row>
    <row r="883" spans="1:3" x14ac:dyDescent="0.25">
      <c r="A883" s="6" t="s">
        <v>1894</v>
      </c>
      <c r="B883" s="6">
        <v>3.4083660000000002E-2</v>
      </c>
      <c r="C883" s="6">
        <v>0.13436478199999999</v>
      </c>
    </row>
    <row r="884" spans="1:3" x14ac:dyDescent="0.25">
      <c r="A884" s="6" t="s">
        <v>1895</v>
      </c>
      <c r="B884" s="6">
        <v>3.2936521000000003E-2</v>
      </c>
      <c r="C884" s="6">
        <v>0.79435289499999995</v>
      </c>
    </row>
    <row r="885" spans="1:3" x14ac:dyDescent="0.25">
      <c r="A885" s="6" t="s">
        <v>1896</v>
      </c>
      <c r="B885" s="6">
        <v>6.6074544999999998E-2</v>
      </c>
      <c r="C885" s="6">
        <v>0.90412177299999996</v>
      </c>
    </row>
    <row r="886" spans="1:3" x14ac:dyDescent="0.25">
      <c r="A886" s="6" t="s">
        <v>1897</v>
      </c>
      <c r="B886" s="6">
        <v>1.8510184999999998E-2</v>
      </c>
      <c r="C886" s="6">
        <v>1.806573158</v>
      </c>
    </row>
    <row r="887" spans="1:3" x14ac:dyDescent="0.25">
      <c r="A887" s="6" t="s">
        <v>1898</v>
      </c>
      <c r="B887" s="6">
        <v>2.0231585E-2</v>
      </c>
      <c r="C887" s="6">
        <v>0.83935115800000004</v>
      </c>
    </row>
    <row r="888" spans="1:3" x14ac:dyDescent="0.25">
      <c r="A888" s="6" t="s">
        <v>1899</v>
      </c>
      <c r="B888" s="6">
        <v>2.3761526000000002E-2</v>
      </c>
      <c r="C888" s="6">
        <v>0.540506873</v>
      </c>
    </row>
    <row r="889" spans="1:3" x14ac:dyDescent="0.25">
      <c r="A889" s="6" t="s">
        <v>1900</v>
      </c>
      <c r="B889" s="6">
        <v>2.0719509000000001E-2</v>
      </c>
      <c r="C889" s="6">
        <v>0.175155067</v>
      </c>
    </row>
    <row r="890" spans="1:3" x14ac:dyDescent="0.25">
      <c r="A890" s="6" t="s">
        <v>1901</v>
      </c>
      <c r="B890" s="6">
        <v>3.1285674999999999E-2</v>
      </c>
      <c r="C890" s="6">
        <v>0.69008400599999997</v>
      </c>
    </row>
    <row r="891" spans="1:3" x14ac:dyDescent="0.25">
      <c r="A891" s="6" t="s">
        <v>1902</v>
      </c>
      <c r="B891" s="6">
        <v>4.6748993000000003E-2</v>
      </c>
      <c r="C891" s="6">
        <v>0.70410913799999997</v>
      </c>
    </row>
    <row r="892" spans="1:3" x14ac:dyDescent="0.25">
      <c r="A892" s="6" t="s">
        <v>1903</v>
      </c>
      <c r="B892" s="6">
        <v>3.1470022E-2</v>
      </c>
      <c r="C892" s="6">
        <v>0.90069439799999995</v>
      </c>
    </row>
    <row r="893" spans="1:3" x14ac:dyDescent="0.25">
      <c r="A893" s="6" t="s">
        <v>1904</v>
      </c>
      <c r="B893" s="6">
        <v>1.6119818000000001E-2</v>
      </c>
      <c r="C893" s="6">
        <v>0.92142556399999997</v>
      </c>
    </row>
    <row r="894" spans="1:3" x14ac:dyDescent="0.25">
      <c r="A894" s="6" t="s">
        <v>1905</v>
      </c>
      <c r="B894" s="6">
        <v>1.5358827E-2</v>
      </c>
      <c r="C894" s="6">
        <v>0.87179074400000001</v>
      </c>
    </row>
    <row r="895" spans="1:3" x14ac:dyDescent="0.25">
      <c r="A895" s="6" t="s">
        <v>1906</v>
      </c>
      <c r="B895" s="6">
        <v>1.9222663000000001E-2</v>
      </c>
      <c r="C895" s="6">
        <v>0.46070085900000002</v>
      </c>
    </row>
    <row r="896" spans="1:3" x14ac:dyDescent="0.25">
      <c r="A896" s="6" t="s">
        <v>1907</v>
      </c>
      <c r="B896" s="6">
        <v>0.28659374999999998</v>
      </c>
      <c r="C896" s="6">
        <v>0.68551772899999996</v>
      </c>
    </row>
    <row r="897" spans="1:3" x14ac:dyDescent="0.25">
      <c r="A897" s="6" t="s">
        <v>1908</v>
      </c>
      <c r="B897" s="6">
        <v>4.4250058000000002E-2</v>
      </c>
      <c r="C897" s="6">
        <v>3.4352905119999999</v>
      </c>
    </row>
    <row r="898" spans="1:3" x14ac:dyDescent="0.25">
      <c r="A898" s="6" t="s">
        <v>1909</v>
      </c>
      <c r="B898" s="6">
        <v>2.6454574000000002E-2</v>
      </c>
      <c r="C898" s="6">
        <v>0.85162244099999995</v>
      </c>
    </row>
    <row r="899" spans="1:3" x14ac:dyDescent="0.25">
      <c r="A899" s="6" t="s">
        <v>1910</v>
      </c>
      <c r="B899" s="6">
        <v>2.5932996E-2</v>
      </c>
      <c r="C899" s="6">
        <v>0.61831557100000001</v>
      </c>
    </row>
    <row r="900" spans="1:3" x14ac:dyDescent="0.25">
      <c r="A900" s="6" t="s">
        <v>1911</v>
      </c>
      <c r="B900" s="6">
        <v>2.4894986000000001E-2</v>
      </c>
      <c r="C900" s="6">
        <v>0.21231968800000001</v>
      </c>
    </row>
    <row r="901" spans="1:3" x14ac:dyDescent="0.25">
      <c r="A901" s="6" t="s">
        <v>1913</v>
      </c>
      <c r="B901" s="6">
        <v>5.9574340000000003E-2</v>
      </c>
      <c r="C901" s="6">
        <v>0.42558061699999999</v>
      </c>
    </row>
    <row r="902" spans="1:3" x14ac:dyDescent="0.25">
      <c r="A902" s="6" t="s">
        <v>1914</v>
      </c>
      <c r="B902" s="6">
        <v>0.30892868000000001</v>
      </c>
      <c r="C902" s="6">
        <v>1.070577884</v>
      </c>
    </row>
    <row r="903" spans="1:3" x14ac:dyDescent="0.25">
      <c r="A903" s="6" t="s">
        <v>1915</v>
      </c>
      <c r="B903" s="6">
        <v>1.6813824000000002E-2</v>
      </c>
      <c r="C903" s="6">
        <v>0.787301111</v>
      </c>
    </row>
    <row r="904" spans="1:3" x14ac:dyDescent="0.25">
      <c r="A904" s="6" t="s">
        <v>1916</v>
      </c>
      <c r="B904" s="6">
        <v>3.7105192000000002E-2</v>
      </c>
      <c r="C904" s="6">
        <v>0.135182409</v>
      </c>
    </row>
    <row r="905" spans="1:3" x14ac:dyDescent="0.25">
      <c r="A905" s="6" t="s">
        <v>1917</v>
      </c>
      <c r="B905" s="6">
        <v>3.5439854E-2</v>
      </c>
      <c r="C905" s="6">
        <v>0.76300514900000005</v>
      </c>
    </row>
    <row r="906" spans="1:3" x14ac:dyDescent="0.25">
      <c r="A906" s="6" t="s">
        <v>1918</v>
      </c>
      <c r="B906" s="6">
        <v>2.8310836999999998E-2</v>
      </c>
      <c r="C906" s="6">
        <v>0.50166182100000001</v>
      </c>
    </row>
    <row r="907" spans="1:3" x14ac:dyDescent="0.25">
      <c r="A907" s="6" t="s">
        <v>1919</v>
      </c>
      <c r="B907" s="6">
        <v>0.282725579</v>
      </c>
      <c r="C907" s="6">
        <v>0.283801358</v>
      </c>
    </row>
    <row r="908" spans="1:3" x14ac:dyDescent="0.25">
      <c r="A908" s="6" t="s">
        <v>1920</v>
      </c>
      <c r="B908" s="6">
        <v>5.5223797999999998E-2</v>
      </c>
      <c r="C908" s="6">
        <v>1.046763211</v>
      </c>
    </row>
    <row r="909" spans="1:3" x14ac:dyDescent="0.25">
      <c r="A909" s="6" t="s">
        <v>1921</v>
      </c>
      <c r="B909" s="6">
        <v>3.5371519999999997E-2</v>
      </c>
      <c r="C909" s="6">
        <v>0.553049236</v>
      </c>
    </row>
    <row r="910" spans="1:3" x14ac:dyDescent="0.25">
      <c r="A910" s="6" t="s">
        <v>1922</v>
      </c>
      <c r="B910" s="6">
        <v>2.1391706999999999E-2</v>
      </c>
      <c r="C910" s="6">
        <v>0.64426121599999997</v>
      </c>
    </row>
    <row r="911" spans="1:3" x14ac:dyDescent="0.25">
      <c r="A911" s="6" t="s">
        <v>1923</v>
      </c>
      <c r="B911" s="6">
        <v>1.8035794000000001E-2</v>
      </c>
      <c r="C911" s="6">
        <v>0.65167757500000001</v>
      </c>
    </row>
    <row r="912" spans="1:3" x14ac:dyDescent="0.25">
      <c r="A912" s="6" t="s">
        <v>1924</v>
      </c>
      <c r="B912" s="6">
        <v>5.6542092000000002E-2</v>
      </c>
      <c r="C912" s="6">
        <v>0.49100696500000002</v>
      </c>
    </row>
    <row r="913" spans="1:3" x14ac:dyDescent="0.25">
      <c r="A913" s="6" t="s">
        <v>1925</v>
      </c>
      <c r="B913" s="6">
        <v>3.1863565000000003E-2</v>
      </c>
      <c r="C913" s="6">
        <v>0.58032014899999995</v>
      </c>
    </row>
    <row r="914" spans="1:3" x14ac:dyDescent="0.25">
      <c r="A914" s="6" t="s">
        <v>1926</v>
      </c>
      <c r="B914" s="6">
        <v>0.41795978299999997</v>
      </c>
      <c r="C914" s="6">
        <v>1.426937694</v>
      </c>
    </row>
    <row r="915" spans="1:3" x14ac:dyDescent="0.25">
      <c r="A915" s="6" t="s">
        <v>1927</v>
      </c>
      <c r="B915" s="6">
        <v>3.9136321000000002E-2</v>
      </c>
      <c r="C915" s="6">
        <v>0.19686951699999999</v>
      </c>
    </row>
    <row r="916" spans="1:3" x14ac:dyDescent="0.25">
      <c r="A916" s="6" t="s">
        <v>1928</v>
      </c>
      <c r="B916" s="6">
        <v>0.21944008600000001</v>
      </c>
      <c r="C916" s="6">
        <v>9.0694300000000005E-2</v>
      </c>
    </row>
    <row r="917" spans="1:3" x14ac:dyDescent="0.25">
      <c r="A917" s="6" t="s">
        <v>1929</v>
      </c>
      <c r="B917" s="6">
        <v>5.2369870999999998E-2</v>
      </c>
      <c r="C917" s="6">
        <v>0.58405625000000005</v>
      </c>
    </row>
    <row r="918" spans="1:3" x14ac:dyDescent="0.25">
      <c r="A918" s="6" t="s">
        <v>1930</v>
      </c>
      <c r="B918" s="6">
        <v>0.26382616599999997</v>
      </c>
      <c r="C918" s="6">
        <v>0.331594481</v>
      </c>
    </row>
    <row r="919" spans="1:3" x14ac:dyDescent="0.25">
      <c r="A919" s="6" t="s">
        <v>1931</v>
      </c>
      <c r="B919" s="6">
        <v>0.31354807400000001</v>
      </c>
      <c r="C919" s="6">
        <v>0.83945720599999996</v>
      </c>
    </row>
    <row r="920" spans="1:3" x14ac:dyDescent="0.25">
      <c r="A920" s="6" t="s">
        <v>1932</v>
      </c>
      <c r="B920" s="6">
        <v>0.33353757699999997</v>
      </c>
      <c r="C920" s="6">
        <v>0.29733014000000002</v>
      </c>
    </row>
    <row r="921" spans="1:3" x14ac:dyDescent="0.25">
      <c r="A921" s="6" t="s">
        <v>1933</v>
      </c>
      <c r="B921" s="6">
        <v>0.33539786500000002</v>
      </c>
      <c r="C921" s="6">
        <v>0.336084832</v>
      </c>
    </row>
    <row r="922" spans="1:3" x14ac:dyDescent="0.25">
      <c r="A922" s="6" t="s">
        <v>1934</v>
      </c>
      <c r="B922" s="6">
        <v>2.1579168999999999E-2</v>
      </c>
      <c r="C922" s="6">
        <v>0.20056169400000001</v>
      </c>
    </row>
    <row r="923" spans="1:3" x14ac:dyDescent="0.25">
      <c r="A923" s="6" t="s">
        <v>1935</v>
      </c>
      <c r="B923" s="6">
        <v>3.5087684000000001E-2</v>
      </c>
      <c r="C923" s="6">
        <v>0.858132071</v>
      </c>
    </row>
    <row r="924" spans="1:3" x14ac:dyDescent="0.25">
      <c r="A924" s="6" t="s">
        <v>1936</v>
      </c>
      <c r="B924" s="6">
        <v>0.16600764800000001</v>
      </c>
      <c r="C924" s="6">
        <v>0.26406037799999998</v>
      </c>
    </row>
    <row r="925" spans="1:3" x14ac:dyDescent="0.25">
      <c r="A925" s="6" t="s">
        <v>1937</v>
      </c>
      <c r="B925" s="6">
        <v>0.26194683200000002</v>
      </c>
      <c r="C925" s="6">
        <v>0.49458368400000002</v>
      </c>
    </row>
    <row r="926" spans="1:3" x14ac:dyDescent="0.25">
      <c r="A926" s="6" t="s">
        <v>1938</v>
      </c>
      <c r="B926" s="6">
        <v>0.286857211</v>
      </c>
      <c r="C926" s="6">
        <v>0.40340245000000002</v>
      </c>
    </row>
    <row r="927" spans="1:3" x14ac:dyDescent="0.25">
      <c r="A927" s="6" t="s">
        <v>1939</v>
      </c>
      <c r="B927" s="6">
        <v>5.9886527000000002E-2</v>
      </c>
      <c r="C927" s="6">
        <v>0.80507740500000002</v>
      </c>
    </row>
    <row r="928" spans="1:3" x14ac:dyDescent="0.25">
      <c r="A928" s="6" t="s">
        <v>1940</v>
      </c>
      <c r="B928" s="6">
        <v>9.6619411000000002E-2</v>
      </c>
      <c r="C928" s="6">
        <v>0.25891931600000001</v>
      </c>
    </row>
    <row r="929" spans="1:3" x14ac:dyDescent="0.25">
      <c r="A929" s="6" t="s">
        <v>1941</v>
      </c>
      <c r="B929" s="6">
        <v>0.17194858800000001</v>
      </c>
      <c r="C929" s="6">
        <v>0.72279843700000002</v>
      </c>
    </row>
    <row r="930" spans="1:3" x14ac:dyDescent="0.25">
      <c r="A930" s="6" t="s">
        <v>1942</v>
      </c>
      <c r="B930" s="6">
        <v>0.56052795600000005</v>
      </c>
      <c r="C930" s="6">
        <v>1.9873995200000001</v>
      </c>
    </row>
    <row r="931" spans="1:3" x14ac:dyDescent="0.25">
      <c r="A931" s="6" t="s">
        <v>1944</v>
      </c>
      <c r="B931" s="6">
        <v>0.56809111599999995</v>
      </c>
      <c r="C931" s="6">
        <v>0.30884466599999999</v>
      </c>
    </row>
    <row r="932" spans="1:3" x14ac:dyDescent="0.25">
      <c r="A932" s="6" t="s">
        <v>1945</v>
      </c>
      <c r="B932" s="6">
        <v>3.9777798000000003E-2</v>
      </c>
      <c r="C932" s="6">
        <v>1.4127167839999999</v>
      </c>
    </row>
    <row r="933" spans="1:3" x14ac:dyDescent="0.25">
      <c r="A933" s="6" t="s">
        <v>1946</v>
      </c>
      <c r="B933" s="6">
        <v>5.7684642000000001E-2</v>
      </c>
      <c r="C933" s="6">
        <v>0.19800716400000001</v>
      </c>
    </row>
    <row r="934" spans="1:3" x14ac:dyDescent="0.25">
      <c r="A934" s="6" t="s">
        <v>1947</v>
      </c>
      <c r="B934" s="6">
        <v>0.50316790700000003</v>
      </c>
      <c r="C934" s="6">
        <v>1.0908346630000001</v>
      </c>
    </row>
    <row r="935" spans="1:3" x14ac:dyDescent="0.25">
      <c r="A935" s="6" t="s">
        <v>1948</v>
      </c>
      <c r="B935" s="6">
        <v>0.200994903</v>
      </c>
      <c r="C935" s="6">
        <v>0.43386166300000001</v>
      </c>
    </row>
    <row r="936" spans="1:3" x14ac:dyDescent="0.25">
      <c r="A936" s="6" t="s">
        <v>1949</v>
      </c>
      <c r="B936" s="6">
        <v>0.221806</v>
      </c>
      <c r="C936" s="6">
        <v>0.47922010700000001</v>
      </c>
    </row>
    <row r="937" spans="1:3" x14ac:dyDescent="0.25">
      <c r="A937" s="6" t="s">
        <v>1950</v>
      </c>
      <c r="B937" s="6">
        <v>2.8156527000000001E-2</v>
      </c>
      <c r="C937" s="6">
        <v>0.332228252</v>
      </c>
    </row>
    <row r="938" spans="1:3" x14ac:dyDescent="0.25">
      <c r="A938" s="6" t="s">
        <v>1951</v>
      </c>
      <c r="B938" s="6">
        <v>2.2416915999999999E-2</v>
      </c>
      <c r="C938" s="6">
        <v>0.64541329700000005</v>
      </c>
    </row>
    <row r="939" spans="1:3" x14ac:dyDescent="0.25">
      <c r="A939" s="6" t="s">
        <v>1952</v>
      </c>
      <c r="B939" s="6">
        <v>5.5073341999999997E-2</v>
      </c>
      <c r="C939" s="6">
        <v>0.89768054200000003</v>
      </c>
    </row>
    <row r="940" spans="1:3" x14ac:dyDescent="0.25">
      <c r="A940" s="6" t="s">
        <v>1954</v>
      </c>
      <c r="B940" s="6">
        <v>0.499826414</v>
      </c>
      <c r="C940" s="6">
        <v>0.33378506499999999</v>
      </c>
    </row>
    <row r="941" spans="1:3" x14ac:dyDescent="0.25">
      <c r="A941" s="6" t="s">
        <v>1955</v>
      </c>
      <c r="B941" s="6">
        <v>5.4333803999999999E-2</v>
      </c>
      <c r="C941" s="6">
        <v>0.68980539900000004</v>
      </c>
    </row>
    <row r="942" spans="1:3" x14ac:dyDescent="0.25">
      <c r="A942" s="6" t="s">
        <v>1957</v>
      </c>
      <c r="B942" s="6">
        <v>0.114468108</v>
      </c>
      <c r="C942" s="6">
        <v>0.20951792499999999</v>
      </c>
    </row>
    <row r="943" spans="1:3" x14ac:dyDescent="0.25">
      <c r="A943" s="6" t="s">
        <v>1958</v>
      </c>
      <c r="B943" s="6">
        <v>0.221664109</v>
      </c>
      <c r="C943" s="6">
        <v>1.303328794</v>
      </c>
    </row>
    <row r="944" spans="1:3" x14ac:dyDescent="0.25">
      <c r="A944" s="6" t="s">
        <v>1959</v>
      </c>
      <c r="B944" s="6">
        <v>0.62759864799999998</v>
      </c>
      <c r="C944" s="6">
        <v>1.317348277</v>
      </c>
    </row>
    <row r="945" spans="1:3" x14ac:dyDescent="0.25">
      <c r="A945" s="6" t="s">
        <v>1960</v>
      </c>
      <c r="B945" s="6">
        <v>7.2440906999999999E-2</v>
      </c>
      <c r="C945" s="6">
        <v>1.1239776720000001</v>
      </c>
    </row>
    <row r="946" spans="1:3" x14ac:dyDescent="0.25">
      <c r="A946" s="6" t="s">
        <v>1961</v>
      </c>
      <c r="B946" s="6">
        <v>2.3152822999999999E-2</v>
      </c>
      <c r="C946" s="6">
        <v>0.65162423700000005</v>
      </c>
    </row>
    <row r="947" spans="1:3" x14ac:dyDescent="0.25">
      <c r="A947" s="6" t="s">
        <v>1962</v>
      </c>
      <c r="B947" s="6">
        <v>0.48448629500000001</v>
      </c>
      <c r="C947" s="6">
        <v>0.89117279699999996</v>
      </c>
    </row>
    <row r="948" spans="1:3" x14ac:dyDescent="0.25">
      <c r="A948" s="6" t="s">
        <v>1963</v>
      </c>
      <c r="B948" s="6">
        <v>0.65221743399999998</v>
      </c>
      <c r="C948" s="6">
        <v>0.380297471</v>
      </c>
    </row>
    <row r="949" spans="1:3" x14ac:dyDescent="0.25">
      <c r="A949" s="6" t="s">
        <v>1964</v>
      </c>
      <c r="B949" s="6">
        <v>0.66771480400000005</v>
      </c>
      <c r="C949" s="6">
        <v>0.59952210800000005</v>
      </c>
    </row>
    <row r="950" spans="1:3" x14ac:dyDescent="0.25">
      <c r="A950" s="6" t="s">
        <v>1965</v>
      </c>
      <c r="B950" s="6">
        <v>0.52021633099999998</v>
      </c>
      <c r="C950" s="6">
        <v>1.584711161</v>
      </c>
    </row>
    <row r="951" spans="1:3" x14ac:dyDescent="0.25">
      <c r="A951" s="6" t="s">
        <v>1966</v>
      </c>
      <c r="B951" s="6">
        <v>0.82656007200000003</v>
      </c>
      <c r="C951" s="6">
        <v>0.17105752599999999</v>
      </c>
    </row>
    <row r="952" spans="1:3" x14ac:dyDescent="0.25">
      <c r="A952" s="6" t="s">
        <v>1967</v>
      </c>
      <c r="B952" s="6">
        <v>0.16911706000000001</v>
      </c>
      <c r="C952" s="6">
        <v>0.43113519900000002</v>
      </c>
    </row>
    <row r="953" spans="1:3" x14ac:dyDescent="0.25">
      <c r="A953" s="6" t="s">
        <v>1968</v>
      </c>
      <c r="B953" s="6">
        <v>4.7350763999999997E-2</v>
      </c>
      <c r="C953" s="6">
        <v>0.74891664300000005</v>
      </c>
    </row>
    <row r="954" spans="1:3" x14ac:dyDescent="0.25">
      <c r="A954" s="6" t="s">
        <v>1969</v>
      </c>
      <c r="B954" s="6">
        <v>3.4614023000000001E-2</v>
      </c>
      <c r="C954" s="6">
        <v>0.78995792499999995</v>
      </c>
    </row>
    <row r="955" spans="1:3" x14ac:dyDescent="0.25">
      <c r="A955" s="6" t="s">
        <v>1970</v>
      </c>
      <c r="B955" s="6">
        <v>0.72883910799999996</v>
      </c>
      <c r="C955" s="6">
        <v>1.4518962900000001</v>
      </c>
    </row>
    <row r="956" spans="1:3" x14ac:dyDescent="0.25">
      <c r="A956" s="6" t="s">
        <v>1971</v>
      </c>
      <c r="B956" s="6">
        <v>0.46608386699999999</v>
      </c>
      <c r="C956" s="6">
        <v>1.83375183</v>
      </c>
    </row>
    <row r="957" spans="1:3" x14ac:dyDescent="0.25">
      <c r="A957" s="6" t="s">
        <v>1972</v>
      </c>
      <c r="B957" s="6">
        <v>3.5607486000000001E-2</v>
      </c>
      <c r="C957" s="6">
        <v>0.87450152000000003</v>
      </c>
    </row>
    <row r="958" spans="1:3" x14ac:dyDescent="0.25">
      <c r="A958" s="6" t="s">
        <v>1973</v>
      </c>
      <c r="B958" s="6">
        <v>3.7016303E-2</v>
      </c>
      <c r="C958" s="6">
        <v>0.57075964099999998</v>
      </c>
    </row>
    <row r="959" spans="1:3" x14ac:dyDescent="0.25">
      <c r="A959" s="6" t="s">
        <v>1974</v>
      </c>
      <c r="B959" s="6">
        <v>0.28923944800000001</v>
      </c>
      <c r="C959" s="6">
        <v>0.99659188200000004</v>
      </c>
    </row>
    <row r="960" spans="1:3" x14ac:dyDescent="0.25">
      <c r="A960" s="6" t="s">
        <v>1975</v>
      </c>
      <c r="B960" s="6">
        <v>4.8753491000000003E-2</v>
      </c>
      <c r="C960" s="6">
        <v>0.40322863199999998</v>
      </c>
    </row>
    <row r="961" spans="1:3" x14ac:dyDescent="0.25">
      <c r="A961" s="6" t="s">
        <v>1976</v>
      </c>
      <c r="B961" s="6">
        <v>8.7895266E-2</v>
      </c>
      <c r="C961" s="6">
        <v>9.1672563999999998E-2</v>
      </c>
    </row>
    <row r="962" spans="1:3" x14ac:dyDescent="0.25">
      <c r="A962" s="6" t="s">
        <v>1977</v>
      </c>
      <c r="B962" s="6">
        <v>2.5912767999999999E-2</v>
      </c>
      <c r="C962" s="6">
        <v>0.549498869</v>
      </c>
    </row>
    <row r="963" spans="1:3" x14ac:dyDescent="0.25">
      <c r="A963" s="6" t="s">
        <v>1978</v>
      </c>
      <c r="B963" s="6">
        <v>0.100404442</v>
      </c>
      <c r="C963" s="6">
        <v>0.468986925</v>
      </c>
    </row>
    <row r="964" spans="1:3" x14ac:dyDescent="0.25">
      <c r="A964" s="6" t="s">
        <v>1979</v>
      </c>
      <c r="B964" s="6">
        <v>4.0767994000000002E-2</v>
      </c>
      <c r="C964" s="6">
        <v>0.34585429499999998</v>
      </c>
    </row>
    <row r="965" spans="1:3" x14ac:dyDescent="0.25">
      <c r="A965" s="6" t="s">
        <v>1980</v>
      </c>
      <c r="B965" s="6">
        <v>9.5906376000000002E-2</v>
      </c>
      <c r="C965" s="6">
        <v>1.723333494</v>
      </c>
    </row>
    <row r="966" spans="1:3" x14ac:dyDescent="0.25">
      <c r="A966" s="6" t="s">
        <v>1981</v>
      </c>
      <c r="B966" s="6">
        <v>5.9080565000000002E-2</v>
      </c>
      <c r="C966" s="6">
        <v>0.81749112899999998</v>
      </c>
    </row>
    <row r="967" spans="1:3" x14ac:dyDescent="0.25">
      <c r="A967" s="6" t="s">
        <v>1982</v>
      </c>
      <c r="B967" s="6">
        <v>0.55895267299999996</v>
      </c>
      <c r="C967" s="6">
        <v>0.44255434500000002</v>
      </c>
    </row>
    <row r="968" spans="1:3" x14ac:dyDescent="0.25">
      <c r="A968" s="6" t="s">
        <v>1983</v>
      </c>
      <c r="B968" s="6">
        <v>0.121329961</v>
      </c>
      <c r="C968" s="6">
        <v>1.055851214</v>
      </c>
    </row>
    <row r="969" spans="1:3" x14ac:dyDescent="0.25">
      <c r="A969" s="6" t="s">
        <v>1984</v>
      </c>
      <c r="B969" s="6">
        <v>3.0101288E-2</v>
      </c>
      <c r="C969" s="6">
        <v>3.4368893690000002</v>
      </c>
    </row>
    <row r="970" spans="1:3" x14ac:dyDescent="0.25">
      <c r="A970" s="6" t="s">
        <v>1985</v>
      </c>
      <c r="B970" s="6">
        <v>0.36552352700000001</v>
      </c>
      <c r="C970" s="6">
        <v>0.26384577599999998</v>
      </c>
    </row>
    <row r="971" spans="1:3" x14ac:dyDescent="0.25">
      <c r="A971" s="6" t="s">
        <v>1987</v>
      </c>
      <c r="B971" s="6">
        <v>0.45186024699999999</v>
      </c>
      <c r="C971" s="6">
        <v>0.67248403899999998</v>
      </c>
    </row>
    <row r="972" spans="1:3" x14ac:dyDescent="0.25">
      <c r="A972" s="6" t="s">
        <v>1988</v>
      </c>
      <c r="B972" s="6">
        <v>0.13459728500000001</v>
      </c>
      <c r="C972" s="6">
        <v>0.264589984</v>
      </c>
    </row>
    <row r="973" spans="1:3" x14ac:dyDescent="0.25">
      <c r="A973" s="6" t="s">
        <v>1989</v>
      </c>
      <c r="B973" s="6">
        <v>0.44044628899999999</v>
      </c>
      <c r="C973" s="6">
        <v>0.29918877900000002</v>
      </c>
    </row>
    <row r="974" spans="1:3" x14ac:dyDescent="0.25">
      <c r="A974" s="6" t="s">
        <v>1990</v>
      </c>
      <c r="B974" s="6">
        <v>9.7077449999999996E-2</v>
      </c>
      <c r="C974" s="6">
        <v>0.255492569</v>
      </c>
    </row>
    <row r="975" spans="1:3" x14ac:dyDescent="0.25">
      <c r="A975" s="6" t="s">
        <v>1991</v>
      </c>
      <c r="B975" s="6">
        <v>0.41959765700000001</v>
      </c>
      <c r="C975" s="6">
        <v>1.9969004159999999</v>
      </c>
    </row>
    <row r="976" spans="1:3" x14ac:dyDescent="0.25">
      <c r="A976" s="6" t="s">
        <v>1992</v>
      </c>
      <c r="B976" s="6">
        <v>1.0277337550000001</v>
      </c>
      <c r="C976" s="6">
        <v>1.9108646359999999</v>
      </c>
    </row>
    <row r="977" spans="1:3" x14ac:dyDescent="0.25">
      <c r="A977" s="6" t="s">
        <v>1993</v>
      </c>
      <c r="B977" s="6">
        <v>6.9666051000000007E-2</v>
      </c>
      <c r="C977" s="6">
        <v>2.058571836</v>
      </c>
    </row>
    <row r="978" spans="1:3" x14ac:dyDescent="0.25">
      <c r="A978" s="6" t="s">
        <v>1994</v>
      </c>
      <c r="B978" s="6">
        <v>9.5934973000000007E-2</v>
      </c>
      <c r="C978" s="6">
        <v>0.54058656500000002</v>
      </c>
    </row>
    <row r="979" spans="1:3" x14ac:dyDescent="0.25">
      <c r="A979" s="6" t="s">
        <v>1995</v>
      </c>
      <c r="B979" s="6">
        <v>0.31740067999999999</v>
      </c>
      <c r="C979" s="6">
        <v>0.31903266800000002</v>
      </c>
    </row>
    <row r="980" spans="1:3" x14ac:dyDescent="0.25">
      <c r="A980" s="6" t="s">
        <v>1996</v>
      </c>
      <c r="B980" s="6">
        <v>3.3343926000000003E-2</v>
      </c>
      <c r="C980" s="6">
        <v>0.54739300000000002</v>
      </c>
    </row>
    <row r="981" spans="1:3" x14ac:dyDescent="0.25">
      <c r="A981" s="6" t="s">
        <v>1997</v>
      </c>
      <c r="B981" s="6">
        <v>0.17586364400000001</v>
      </c>
      <c r="C981" s="6">
        <v>0.54592905400000002</v>
      </c>
    </row>
    <row r="982" spans="1:3" x14ac:dyDescent="0.25">
      <c r="A982" s="6" t="s">
        <v>1998</v>
      </c>
      <c r="B982" s="6">
        <v>8.5455259000000006E-2</v>
      </c>
      <c r="C982" s="6">
        <v>0.32941331099999999</v>
      </c>
    </row>
    <row r="983" spans="1:3" x14ac:dyDescent="0.25">
      <c r="A983" s="6" t="s">
        <v>1999</v>
      </c>
      <c r="B983" s="6">
        <v>0.17151799700000001</v>
      </c>
      <c r="C983" s="6">
        <v>0.55846388599999996</v>
      </c>
    </row>
    <row r="984" spans="1:3" x14ac:dyDescent="0.25">
      <c r="A984" s="6" t="s">
        <v>2000</v>
      </c>
      <c r="B984" s="6">
        <v>4.9163328999999999E-2</v>
      </c>
      <c r="C984" s="6">
        <v>0.56308663699999995</v>
      </c>
    </row>
    <row r="985" spans="1:3" x14ac:dyDescent="0.25">
      <c r="A985" s="6" t="s">
        <v>2001</v>
      </c>
      <c r="B985" s="6">
        <v>0.29029105900000002</v>
      </c>
      <c r="C985" s="6">
        <v>1.1087188859999999</v>
      </c>
    </row>
    <row r="986" spans="1:3" x14ac:dyDescent="0.25">
      <c r="A986" s="6" t="s">
        <v>2002</v>
      </c>
      <c r="B986" s="6">
        <v>0.54267048500000004</v>
      </c>
      <c r="C986" s="6">
        <v>0.36493452300000001</v>
      </c>
    </row>
    <row r="987" spans="1:3" x14ac:dyDescent="0.25">
      <c r="A987" s="6" t="s">
        <v>2003</v>
      </c>
      <c r="B987" s="6">
        <v>0.22406553600000001</v>
      </c>
      <c r="C987" s="6">
        <v>0.455588035</v>
      </c>
    </row>
    <row r="988" spans="1:3" x14ac:dyDescent="0.25">
      <c r="A988" s="6" t="s">
        <v>2004</v>
      </c>
      <c r="B988" s="6">
        <v>4.0064839999999997E-2</v>
      </c>
      <c r="C988" s="6">
        <v>0.765937431</v>
      </c>
    </row>
    <row r="989" spans="1:3" x14ac:dyDescent="0.25">
      <c r="A989" s="6" t="s">
        <v>2005</v>
      </c>
      <c r="B989" s="6">
        <v>0.44338593399999998</v>
      </c>
      <c r="C989" s="6">
        <v>1.0429260810000001</v>
      </c>
    </row>
    <row r="990" spans="1:3" x14ac:dyDescent="0.25">
      <c r="A990" s="6" t="s">
        <v>2006</v>
      </c>
      <c r="B990" s="6">
        <v>0.113823244</v>
      </c>
      <c r="C990" s="6">
        <v>0.328232992</v>
      </c>
    </row>
    <row r="991" spans="1:3" x14ac:dyDescent="0.25">
      <c r="A991" s="6" t="s">
        <v>2007</v>
      </c>
      <c r="B991" s="6">
        <v>0.11816441499999999</v>
      </c>
      <c r="C991" s="6">
        <v>0.30391820600000002</v>
      </c>
    </row>
    <row r="992" spans="1:3" x14ac:dyDescent="0.25">
      <c r="A992" s="6" t="s">
        <v>2008</v>
      </c>
      <c r="B992" s="6">
        <v>0.17201133699999999</v>
      </c>
      <c r="C992" s="6">
        <v>0.54067065000000003</v>
      </c>
    </row>
    <row r="993" spans="1:3" x14ac:dyDescent="0.25">
      <c r="A993" s="6" t="s">
        <v>2009</v>
      </c>
      <c r="B993" s="6">
        <v>6.5389324999999998E-2</v>
      </c>
      <c r="C993" s="6">
        <v>0.81443146700000002</v>
      </c>
    </row>
    <row r="994" spans="1:3" x14ac:dyDescent="0.25">
      <c r="A994" s="6" t="s">
        <v>2010</v>
      </c>
      <c r="B994" s="6">
        <v>0.62105351099999995</v>
      </c>
      <c r="C994" s="6">
        <v>0.87476193199999996</v>
      </c>
    </row>
    <row r="995" spans="1:3" x14ac:dyDescent="0.25">
      <c r="A995" s="6" t="s">
        <v>2011</v>
      </c>
      <c r="B995" s="6">
        <v>4.7940841999999997E-2</v>
      </c>
      <c r="C995" s="6">
        <v>0.41757190399999999</v>
      </c>
    </row>
    <row r="996" spans="1:3" x14ac:dyDescent="0.25">
      <c r="A996" s="6" t="s">
        <v>2012</v>
      </c>
      <c r="B996" s="6">
        <v>7.9421427000000003E-2</v>
      </c>
      <c r="C996" s="6">
        <v>0.37157090500000001</v>
      </c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98A7-A21E-409A-B792-EFFECC644D16}">
  <dimension ref="A1:S21"/>
  <sheetViews>
    <sheetView workbookViewId="0">
      <selection sqref="A1:F1048576"/>
    </sheetView>
  </sheetViews>
  <sheetFormatPr defaultRowHeight="14.4" x14ac:dyDescent="0.25"/>
  <cols>
    <col min="1" max="2" width="8.88671875" style="6"/>
    <col min="3" max="3" width="19.77734375" style="6" customWidth="1"/>
    <col min="4" max="4" width="16.88671875" style="6" customWidth="1"/>
    <col min="5" max="5" width="8.88671875" style="6"/>
    <col min="6" max="6" width="19.6640625" style="6" customWidth="1"/>
  </cols>
  <sheetData>
    <row r="1" spans="1:19" x14ac:dyDescent="0.25">
      <c r="A1" s="8" t="s">
        <v>2025</v>
      </c>
      <c r="C1" s="8" t="s">
        <v>2023</v>
      </c>
      <c r="D1" s="8"/>
      <c r="E1" s="8" t="s">
        <v>2022</v>
      </c>
      <c r="F1" s="8"/>
    </row>
    <row r="2" spans="1:19" ht="16.2" x14ac:dyDescent="0.25">
      <c r="A2" s="8"/>
      <c r="C2" s="6" t="s">
        <v>2024</v>
      </c>
      <c r="D2" s="6" t="s">
        <v>2089</v>
      </c>
      <c r="E2" s="6" t="s">
        <v>2024</v>
      </c>
      <c r="F2" s="6" t="s">
        <v>2089</v>
      </c>
    </row>
    <row r="3" spans="1:19" x14ac:dyDescent="0.25">
      <c r="A3" s="8"/>
      <c r="B3" s="9">
        <v>1</v>
      </c>
      <c r="C3" s="9">
        <v>-18427.56061884213</v>
      </c>
      <c r="D3" s="9">
        <v>0</v>
      </c>
      <c r="E3" s="9">
        <v>-18427.5631770043</v>
      </c>
      <c r="F3" s="9">
        <v>-5.8965638025802035E-2</v>
      </c>
    </row>
    <row r="4" spans="1:19" x14ac:dyDescent="0.25">
      <c r="A4" s="8"/>
      <c r="B4" s="9">
        <v>2</v>
      </c>
      <c r="C4" s="9">
        <v>-18427.560155270945</v>
      </c>
      <c r="D4" s="9">
        <v>1.0685315809860185E-2</v>
      </c>
      <c r="E4" s="9">
        <v>-18427.562503998</v>
      </c>
      <c r="F4" s="9">
        <v>-4.3452842819533544E-2</v>
      </c>
    </row>
    <row r="5" spans="1:19" x14ac:dyDescent="0.25">
      <c r="A5" s="8"/>
      <c r="B5" s="9">
        <v>3</v>
      </c>
      <c r="C5" s="9">
        <v>-18427.470810431209</v>
      </c>
      <c r="D5" s="9">
        <v>2.0700838717348233</v>
      </c>
      <c r="E5" s="9">
        <v>-18427.463674084898</v>
      </c>
      <c r="F5" s="9">
        <v>2.2345766541870034</v>
      </c>
    </row>
    <row r="6" spans="1:19" x14ac:dyDescent="0.25">
      <c r="A6" s="8"/>
      <c r="B6" s="9">
        <v>4</v>
      </c>
      <c r="C6" s="9">
        <v>-18427.454225606103</v>
      </c>
      <c r="D6" s="9">
        <v>2.4523640904139028</v>
      </c>
      <c r="E6" s="9">
        <v>-18427.446991330002</v>
      </c>
      <c r="F6" s="9">
        <v>2.6191141545505161</v>
      </c>
    </row>
    <row r="7" spans="1:19" x14ac:dyDescent="0.25">
      <c r="A7" s="8"/>
      <c r="B7" s="9">
        <v>5</v>
      </c>
      <c r="C7" s="9">
        <v>-18427.392897964222</v>
      </c>
      <c r="D7" s="9">
        <v>3.8659662357658817</v>
      </c>
      <c r="E7" s="9">
        <v>-18427.385955139802</v>
      </c>
      <c r="F7" s="9">
        <v>4.0259983386595195</v>
      </c>
    </row>
    <row r="10" spans="1:19" ht="16.2" x14ac:dyDescent="0.25">
      <c r="A10" s="6" t="s">
        <v>2026</v>
      </c>
      <c r="C10" s="6" t="s">
        <v>2024</v>
      </c>
      <c r="D10" s="6" t="s">
        <v>2089</v>
      </c>
      <c r="E10" s="6" t="s">
        <v>2024</v>
      </c>
      <c r="F10" s="6" t="s">
        <v>2089</v>
      </c>
    </row>
    <row r="11" spans="1:19" x14ac:dyDescent="0.25">
      <c r="B11" s="6">
        <v>1</v>
      </c>
      <c r="C11" s="6">
        <v>-15185.211764274456</v>
      </c>
      <c r="D11" s="9">
        <v>0</v>
      </c>
      <c r="E11" s="9">
        <v>-15185.216338693301</v>
      </c>
      <c r="F11" s="9">
        <v>-0.10544035436896593</v>
      </c>
    </row>
    <row r="12" spans="1:19" x14ac:dyDescent="0.25">
      <c r="B12" s="6">
        <v>2</v>
      </c>
      <c r="C12" s="6">
        <v>-20856.226680304648</v>
      </c>
      <c r="D12" s="9">
        <v>0</v>
      </c>
      <c r="E12" s="9">
        <v>-20856.218299272001</v>
      </c>
      <c r="F12" s="9">
        <v>0.19318280251027317</v>
      </c>
      <c r="Q12" s="2"/>
      <c r="S12" s="2"/>
    </row>
    <row r="13" spans="1:19" x14ac:dyDescent="0.25">
      <c r="B13" s="6">
        <v>3</v>
      </c>
      <c r="C13" s="6">
        <v>-21941.019593692858</v>
      </c>
      <c r="D13" s="9">
        <v>0</v>
      </c>
      <c r="E13" s="9">
        <v>-21941.0339641235</v>
      </c>
      <c r="F13" s="9">
        <v>-0.33123842631848677</v>
      </c>
    </row>
    <row r="14" spans="1:19" x14ac:dyDescent="0.25">
      <c r="B14" s="6">
        <v>4</v>
      </c>
      <c r="C14" s="6">
        <v>-13592.036704504459</v>
      </c>
      <c r="D14" s="9">
        <v>0</v>
      </c>
      <c r="E14" s="6">
        <v>-13592.0470429946</v>
      </c>
      <c r="F14" s="9">
        <v>-0.23830219775682054</v>
      </c>
      <c r="G14" s="2"/>
    </row>
    <row r="15" spans="1:19" x14ac:dyDescent="0.25">
      <c r="B15" s="6">
        <v>5</v>
      </c>
      <c r="C15" s="6">
        <v>-21232.001139763041</v>
      </c>
      <c r="D15" s="9">
        <v>0</v>
      </c>
      <c r="E15" s="9">
        <v>-21231.992611262402</v>
      </c>
      <c r="F15" s="9">
        <v>0.19658193972736626</v>
      </c>
      <c r="G15" s="2"/>
    </row>
    <row r="16" spans="1:19" x14ac:dyDescent="0.25">
      <c r="B16" s="6">
        <v>6</v>
      </c>
      <c r="C16" s="9">
        <v>-18427.560155270945</v>
      </c>
      <c r="D16" s="9">
        <v>0</v>
      </c>
      <c r="E16" s="9">
        <v>-18427.562503998</v>
      </c>
      <c r="F16" s="9">
        <v>-4.3452842819533544E-2</v>
      </c>
      <c r="G16" s="2"/>
    </row>
    <row r="17" spans="1:7" x14ac:dyDescent="0.25">
      <c r="B17" s="6">
        <v>7</v>
      </c>
      <c r="C17" s="6">
        <v>-20289.72054743109</v>
      </c>
      <c r="D17" s="9">
        <v>0</v>
      </c>
      <c r="E17" s="9">
        <v>-20289.7440719314</v>
      </c>
      <c r="F17" s="9">
        <v>-0.54223973213574939</v>
      </c>
      <c r="G17" s="2"/>
    </row>
    <row r="18" spans="1:7" x14ac:dyDescent="0.25">
      <c r="B18" s="6">
        <v>8</v>
      </c>
      <c r="C18" s="6">
        <v>-29988.30780557455</v>
      </c>
      <c r="D18" s="9">
        <v>0</v>
      </c>
      <c r="E18" s="6">
        <v>-29988.3285994957</v>
      </c>
      <c r="F18" s="9">
        <v>-0.47929988251835315</v>
      </c>
      <c r="G18" s="2"/>
    </row>
    <row r="19" spans="1:7" x14ac:dyDescent="0.25">
      <c r="B19" s="6">
        <v>9</v>
      </c>
      <c r="C19" s="9">
        <v>-31488.998365570649</v>
      </c>
      <c r="D19" s="9">
        <v>0</v>
      </c>
      <c r="E19" s="9">
        <v>-31488.987519445502</v>
      </c>
      <c r="F19" s="9">
        <v>0.25000318465008603</v>
      </c>
    </row>
    <row r="20" spans="1:7" x14ac:dyDescent="0.25">
      <c r="B20" s="6">
        <v>10</v>
      </c>
      <c r="C20" s="6">
        <v>-17084.98196780889</v>
      </c>
      <c r="D20" s="9">
        <v>0</v>
      </c>
      <c r="E20" s="9">
        <v>-17084.983270929901</v>
      </c>
      <c r="F20" s="9">
        <v>-3.0036939303681721E-2</v>
      </c>
    </row>
    <row r="21" spans="1:7" x14ac:dyDescent="0.25">
      <c r="A21" s="10"/>
      <c r="B21" s="10"/>
      <c r="C21" s="10"/>
      <c r="D21" s="10"/>
      <c r="E21" s="10"/>
      <c r="F21" s="10"/>
    </row>
  </sheetData>
  <mergeCells count="4">
    <mergeCell ref="C1:D1"/>
    <mergeCell ref="E1:F1"/>
    <mergeCell ref="A1:A7"/>
    <mergeCell ref="A21:F21"/>
  </mergeCells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997AE-A2F1-4738-9A49-E8D50407DED1}">
  <dimension ref="A1:M81"/>
  <sheetViews>
    <sheetView workbookViewId="0">
      <selection activeCell="J23" sqref="J23"/>
    </sheetView>
  </sheetViews>
  <sheetFormatPr defaultRowHeight="14.4" x14ac:dyDescent="0.25"/>
  <cols>
    <col min="1" max="2" width="13.33203125" style="6" customWidth="1"/>
    <col min="3" max="3" width="19" style="6" customWidth="1"/>
    <col min="4" max="4" width="10.5546875" style="6" bestFit="1" customWidth="1"/>
    <col min="5" max="5" width="14.5546875" style="6" customWidth="1"/>
    <col min="6" max="6" width="13.77734375" style="6" customWidth="1"/>
    <col min="7" max="7" width="10.5546875" style="6" customWidth="1"/>
    <col min="8" max="9" width="8.88671875" style="6"/>
  </cols>
  <sheetData>
    <row r="1" spans="1:13" x14ac:dyDescent="0.25">
      <c r="C1" s="11" t="s">
        <v>2023</v>
      </c>
      <c r="D1" s="11"/>
      <c r="E1" s="11"/>
      <c r="F1" s="11"/>
      <c r="G1" s="11"/>
      <c r="L1" s="5"/>
      <c r="M1" s="5"/>
    </row>
    <row r="2" spans="1:13" x14ac:dyDescent="0.25">
      <c r="B2" s="11" t="s">
        <v>2081</v>
      </c>
      <c r="C2" s="11"/>
      <c r="D2" s="11"/>
      <c r="E2" s="11" t="s">
        <v>2082</v>
      </c>
      <c r="F2" s="11"/>
      <c r="G2" s="11"/>
      <c r="L2" s="4"/>
      <c r="M2" s="4"/>
    </row>
    <row r="3" spans="1:13" x14ac:dyDescent="0.25">
      <c r="B3" s="8" t="s">
        <v>2040</v>
      </c>
      <c r="C3" s="8"/>
      <c r="D3" s="9" t="s">
        <v>2041</v>
      </c>
      <c r="E3" s="8" t="s">
        <v>2040</v>
      </c>
      <c r="F3" s="8"/>
      <c r="G3" s="9" t="s">
        <v>2041</v>
      </c>
      <c r="H3" s="9"/>
      <c r="L3" s="1"/>
      <c r="M3" s="3"/>
    </row>
    <row r="4" spans="1:13" x14ac:dyDescent="0.25">
      <c r="A4" s="6" t="s">
        <v>2028</v>
      </c>
      <c r="B4" s="9">
        <v>-1956.8073340000001</v>
      </c>
      <c r="C4" s="9">
        <v>-1956.8073340000001</v>
      </c>
      <c r="D4" s="9">
        <f>627.509473889877*(C4-$C$4)</f>
        <v>0</v>
      </c>
      <c r="E4" s="9">
        <v>-1956.659185</v>
      </c>
      <c r="F4" s="9">
        <v>-1956.659185</v>
      </c>
      <c r="G4" s="9">
        <f>627.509473889877*(F4-$F$4)</f>
        <v>0</v>
      </c>
      <c r="K4" s="2"/>
      <c r="L4" s="2"/>
      <c r="M4" s="2"/>
    </row>
    <row r="5" spans="1:13" x14ac:dyDescent="0.25">
      <c r="A5" s="6" t="s">
        <v>2027</v>
      </c>
      <c r="B5" s="9">
        <v>-1956.739018</v>
      </c>
      <c r="C5" s="9">
        <v>-1956.739018</v>
      </c>
      <c r="D5" s="9">
        <f t="shared" ref="D5:D16" si="0">627.509473889877*(C5-$C$4)</f>
        <v>42.868937218320639</v>
      </c>
      <c r="E5" s="9">
        <v>-1956.587759</v>
      </c>
      <c r="F5" s="9">
        <v>-1956.587759</v>
      </c>
      <c r="G5" s="9">
        <f t="shared" ref="G5:G16" si="1">627.509473889877*(F5-$F$4)</f>
        <v>44.820491682042046</v>
      </c>
      <c r="H5" s="6">
        <f>G5-G4</f>
        <v>44.820491682042046</v>
      </c>
      <c r="K5" s="2"/>
      <c r="L5" s="2"/>
      <c r="M5" s="3"/>
    </row>
    <row r="6" spans="1:13" x14ac:dyDescent="0.25">
      <c r="A6" s="6" t="s">
        <v>2029</v>
      </c>
      <c r="B6" s="9">
        <v>-1956.8162540000001</v>
      </c>
      <c r="C6" s="9">
        <v>-1956.8162540000001</v>
      </c>
      <c r="D6" s="9">
        <f t="shared" si="0"/>
        <v>-5.5973845070908999</v>
      </c>
      <c r="E6" s="9">
        <v>-1956.663503</v>
      </c>
      <c r="F6" s="9">
        <v>-1956.663503</v>
      </c>
      <c r="G6" s="9">
        <f t="shared" si="1"/>
        <v>-2.7095859082640406</v>
      </c>
      <c r="K6" s="2"/>
      <c r="L6" s="2"/>
      <c r="M6" s="2"/>
    </row>
    <row r="7" spans="1:13" x14ac:dyDescent="0.25">
      <c r="A7" s="6" t="s">
        <v>2030</v>
      </c>
      <c r="B7" s="9">
        <v>-1495.948582</v>
      </c>
      <c r="C7" s="9">
        <f t="shared" ref="C7:C12" si="2">B7+$B$17</f>
        <v>-1956.7375849999999</v>
      </c>
      <c r="D7" s="9">
        <f t="shared" si="0"/>
        <v>43.768158294488721</v>
      </c>
      <c r="E7" s="9">
        <v>-1495.806501</v>
      </c>
      <c r="F7" s="9">
        <f>E7+$E$17</f>
        <v>-1956.6066129999999</v>
      </c>
      <c r="G7" s="9">
        <f>627.509473889877*(F7-$F$4)</f>
        <v>32.989428061372926</v>
      </c>
      <c r="H7" s="6">
        <f>G7-G6</f>
        <v>35.699013969636965</v>
      </c>
      <c r="K7" s="2"/>
      <c r="L7" s="2"/>
      <c r="M7" s="2"/>
    </row>
    <row r="8" spans="1:13" x14ac:dyDescent="0.25">
      <c r="A8" s="6" t="s">
        <v>2031</v>
      </c>
      <c r="B8" s="9">
        <v>-1495.992491</v>
      </c>
      <c r="C8" s="9">
        <f t="shared" si="2"/>
        <v>-1956.7814939999998</v>
      </c>
      <c r="D8" s="9">
        <f t="shared" si="0"/>
        <v>16.214844805467465</v>
      </c>
      <c r="E8" s="9">
        <v>-1495.8498810000001</v>
      </c>
      <c r="F8" s="9">
        <f>E8+$E$17</f>
        <v>-1956.649993</v>
      </c>
      <c r="G8" s="9">
        <f t="shared" si="1"/>
        <v>5.7680670839860513</v>
      </c>
      <c r="K8" s="2"/>
      <c r="L8" s="2"/>
      <c r="M8" s="2"/>
    </row>
    <row r="9" spans="1:13" x14ac:dyDescent="0.25">
      <c r="A9" s="6" t="s">
        <v>2032</v>
      </c>
      <c r="B9" s="9">
        <v>-1495.9043839999999</v>
      </c>
      <c r="C9" s="9">
        <f t="shared" si="2"/>
        <v>-1956.6933869999998</v>
      </c>
      <c r="D9" s="9">
        <f t="shared" si="0"/>
        <v>71.502822021505665</v>
      </c>
      <c r="E9" s="9">
        <v>-1495.7669840000001</v>
      </c>
      <c r="F9" s="9">
        <f t="shared" ref="F9:F12" si="3">E9+$E$17</f>
        <v>-1956.5670960000002</v>
      </c>
      <c r="G9" s="9">
        <f t="shared" si="1"/>
        <v>57.786719940894173</v>
      </c>
      <c r="H9" s="6">
        <f>G9-G8</f>
        <v>52.018652856908119</v>
      </c>
      <c r="K9" s="2"/>
      <c r="L9" s="2"/>
      <c r="M9" s="2"/>
    </row>
    <row r="10" spans="1:13" x14ac:dyDescent="0.25">
      <c r="A10" s="6" t="s">
        <v>2033</v>
      </c>
      <c r="B10" s="9">
        <v>-1496.0301119999999</v>
      </c>
      <c r="C10" s="9">
        <f t="shared" si="2"/>
        <v>-1956.8191149999998</v>
      </c>
      <c r="D10" s="9">
        <f t="shared" si="0"/>
        <v>-7.3926891117088429</v>
      </c>
      <c r="E10" s="9">
        <v>-1495.885047</v>
      </c>
      <c r="F10" s="9">
        <f t="shared" si="3"/>
        <v>-1956.6851590000001</v>
      </c>
      <c r="G10" s="9">
        <f t="shared" si="1"/>
        <v>-16.298931074899091</v>
      </c>
      <c r="K10" s="2"/>
      <c r="L10" s="2"/>
      <c r="M10" s="2"/>
    </row>
    <row r="11" spans="1:13" x14ac:dyDescent="0.25">
      <c r="A11" s="6" t="s">
        <v>2034</v>
      </c>
      <c r="B11" s="9">
        <v>-1495.96236</v>
      </c>
      <c r="C11" s="9">
        <f t="shared" si="2"/>
        <v>-1956.7513629999999</v>
      </c>
      <c r="D11" s="9">
        <f t="shared" si="0"/>
        <v>35.122332763232698</v>
      </c>
      <c r="E11" s="9">
        <v>-1495.823674</v>
      </c>
      <c r="F11" s="9">
        <f t="shared" si="3"/>
        <v>-1956.6237860000001</v>
      </c>
      <c r="G11" s="9">
        <f t="shared" si="1"/>
        <v>22.213207866146359</v>
      </c>
      <c r="H11" s="6">
        <f>G11-G10</f>
        <v>38.51213894104545</v>
      </c>
      <c r="K11" s="2"/>
      <c r="L11" s="2"/>
      <c r="M11" s="2"/>
    </row>
    <row r="12" spans="1:13" x14ac:dyDescent="0.25">
      <c r="A12" s="6" t="s">
        <v>2035</v>
      </c>
      <c r="B12" s="9">
        <v>-1496.0563999999999</v>
      </c>
      <c r="C12" s="9">
        <f t="shared" si="2"/>
        <v>-1956.8454029999998</v>
      </c>
      <c r="D12" s="9">
        <f t="shared" si="0"/>
        <v>-23.888658161339919</v>
      </c>
      <c r="E12" s="9">
        <v>-1495.9102700000001</v>
      </c>
      <c r="F12" s="9">
        <f t="shared" si="3"/>
        <v>-1956.7103820000002</v>
      </c>
      <c r="G12" s="9">
        <f t="shared" si="1"/>
        <v>-32.126602534883922</v>
      </c>
      <c r="K12" s="2"/>
      <c r="L12" s="2"/>
      <c r="M12" s="2"/>
    </row>
    <row r="13" spans="1:13" x14ac:dyDescent="0.25">
      <c r="A13" s="6" t="s">
        <v>2036</v>
      </c>
      <c r="B13" s="9">
        <v>-1919.9480579999999</v>
      </c>
      <c r="C13" s="9">
        <f>B13+$B$17-$B$18</f>
        <v>-1956.8020149999998</v>
      </c>
      <c r="D13" s="9">
        <f t="shared" si="0"/>
        <v>3.3377228918254032</v>
      </c>
      <c r="E13" s="9">
        <v>-1919.5729389999999</v>
      </c>
      <c r="F13" s="9">
        <f>E13+$E$17-$E$18</f>
        <v>-1956.643366</v>
      </c>
      <c r="G13" s="9">
        <f t="shared" si="1"/>
        <v>9.9265723674419668</v>
      </c>
      <c r="H13" s="6">
        <f>G13-G12</f>
        <v>42.053174902325893</v>
      </c>
      <c r="K13" s="2"/>
      <c r="L13" s="2"/>
      <c r="M13" s="2"/>
    </row>
    <row r="14" spans="1:13" x14ac:dyDescent="0.25">
      <c r="A14" s="6" t="s">
        <v>2037</v>
      </c>
      <c r="B14" s="9">
        <v>-1919.9981889999999</v>
      </c>
      <c r="C14" s="9">
        <f t="shared" ref="C14:C16" si="4">B14+$B$17-$B$18</f>
        <v>-1956.8521459999997</v>
      </c>
      <c r="D14" s="9">
        <f t="shared" si="0"/>
        <v>-28.119954543725957</v>
      </c>
      <c r="E14" s="9">
        <v>-1919.6182220000001</v>
      </c>
      <c r="F14" s="9">
        <f t="shared" ref="F14:F16" si="5">E14+$E$17-$E$18</f>
        <v>-1956.6886489999999</v>
      </c>
      <c r="G14" s="9">
        <f t="shared" si="1"/>
        <v>-18.488939138667327</v>
      </c>
      <c r="K14" s="2"/>
      <c r="L14" s="2"/>
      <c r="M14" s="2"/>
    </row>
    <row r="15" spans="1:13" x14ac:dyDescent="0.25">
      <c r="A15" s="6" t="s">
        <v>2038</v>
      </c>
      <c r="B15" s="9">
        <v>-1919.996388</v>
      </c>
      <c r="C15" s="9">
        <f t="shared" si="4"/>
        <v>-1956.8503449999998</v>
      </c>
      <c r="D15" s="9">
        <f t="shared" si="0"/>
        <v>-26.989809981321386</v>
      </c>
      <c r="E15" s="9">
        <v>-1919.617389</v>
      </c>
      <c r="F15" s="9">
        <f t="shared" si="5"/>
        <v>-1956.6878159999999</v>
      </c>
      <c r="G15" s="9">
        <f t="shared" si="1"/>
        <v>-17.96622374688134</v>
      </c>
      <c r="H15" s="6">
        <f>G15-G14</f>
        <v>0.52271539178598658</v>
      </c>
      <c r="K15" s="2"/>
      <c r="L15" s="2"/>
      <c r="M15" s="2"/>
    </row>
    <row r="16" spans="1:13" x14ac:dyDescent="0.25">
      <c r="A16" s="6" t="s">
        <v>2039</v>
      </c>
      <c r="B16" s="9">
        <v>-1920.0274360000001</v>
      </c>
      <c r="C16" s="9">
        <f t="shared" si="4"/>
        <v>-1956.8813930000001</v>
      </c>
      <c r="D16" s="9">
        <f t="shared" si="0"/>
        <v>-46.472724126831636</v>
      </c>
      <c r="E16" s="9">
        <v>-1919.653288</v>
      </c>
      <c r="F16" s="9">
        <f t="shared" si="5"/>
        <v>-1956.7237149999999</v>
      </c>
      <c r="G16" s="9">
        <f t="shared" si="1"/>
        <v>-40.493186350036552</v>
      </c>
      <c r="K16" s="2"/>
      <c r="L16" s="2"/>
      <c r="M16" s="2"/>
    </row>
    <row r="17" spans="1:9" x14ac:dyDescent="0.25">
      <c r="A17" s="9" t="s">
        <v>2084</v>
      </c>
      <c r="B17" s="9">
        <v>-460.78900299999998</v>
      </c>
      <c r="E17" s="6">
        <v>-460.80011200000001</v>
      </c>
    </row>
    <row r="18" spans="1:9" x14ac:dyDescent="0.25">
      <c r="A18" s="9" t="s">
        <v>2083</v>
      </c>
      <c r="B18" s="9">
        <v>-423.935046</v>
      </c>
      <c r="E18" s="6">
        <v>-423.72968500000002</v>
      </c>
    </row>
    <row r="25" spans="1:9" x14ac:dyDescent="0.25">
      <c r="B25" s="8" t="s">
        <v>2042</v>
      </c>
      <c r="C25" s="8"/>
      <c r="D25" s="8"/>
      <c r="E25" s="8"/>
      <c r="F25" s="8"/>
      <c r="G25" s="8"/>
    </row>
    <row r="26" spans="1:9" x14ac:dyDescent="0.25">
      <c r="B26" s="11" t="s">
        <v>2081</v>
      </c>
      <c r="C26" s="11"/>
      <c r="D26" s="11"/>
      <c r="E26" s="11" t="s">
        <v>2082</v>
      </c>
      <c r="F26" s="11"/>
      <c r="G26" s="11"/>
    </row>
    <row r="27" spans="1:9" x14ac:dyDescent="0.25">
      <c r="B27" s="8" t="s">
        <v>2040</v>
      </c>
      <c r="C27" s="8"/>
      <c r="D27" s="9" t="s">
        <v>2041</v>
      </c>
      <c r="E27" s="8" t="s">
        <v>2040</v>
      </c>
      <c r="F27" s="8"/>
      <c r="G27" s="9" t="s">
        <v>2041</v>
      </c>
    </row>
    <row r="28" spans="1:9" x14ac:dyDescent="0.25">
      <c r="A28" s="6" t="s">
        <v>2028</v>
      </c>
      <c r="B28" s="9">
        <v>-50.919839000000003</v>
      </c>
      <c r="C28" s="9">
        <v>-50.919839000000003</v>
      </c>
      <c r="D28" s="9">
        <f>627.509473889877*(C28-$C$28)</f>
        <v>0</v>
      </c>
      <c r="E28" s="6">
        <v>-50.783946</v>
      </c>
      <c r="F28" s="6">
        <v>-50.783946</v>
      </c>
      <c r="G28" s="9">
        <f>627.509473889877*(F28-$F$28)</f>
        <v>0</v>
      </c>
    </row>
    <row r="29" spans="1:9" x14ac:dyDescent="0.25">
      <c r="A29" s="6" t="s">
        <v>2027</v>
      </c>
      <c r="B29" s="9">
        <v>-50.840420999999999</v>
      </c>
      <c r="C29" s="9">
        <v>-50.840420999999999</v>
      </c>
      <c r="D29" s="9">
        <f t="shared" ref="D29:D39" si="6">627.509473889877*(C29-$C$28)</f>
        <v>49.835547397388751</v>
      </c>
      <c r="E29" s="6">
        <v>-50.704985999999998</v>
      </c>
      <c r="F29" s="6">
        <v>-50.704985999999998</v>
      </c>
      <c r="G29" s="9">
        <f t="shared" ref="G29:G40" si="7">627.509473889877*(F29-$F$28)</f>
        <v>49.54814805834603</v>
      </c>
      <c r="H29" s="6">
        <f>G29-G28</f>
        <v>49.54814805834603</v>
      </c>
      <c r="I29" s="6">
        <f>ABS(H29-H5)</f>
        <v>4.7276563763039832</v>
      </c>
    </row>
    <row r="30" spans="1:9" x14ac:dyDescent="0.25">
      <c r="A30" s="6" t="s">
        <v>2029</v>
      </c>
      <c r="B30" s="9">
        <v>-50.922502000000001</v>
      </c>
      <c r="C30" s="9">
        <v>-50.922502000000001</v>
      </c>
      <c r="D30" s="9">
        <f t="shared" si="6"/>
        <v>-1.6710577289676791</v>
      </c>
      <c r="E30" s="6">
        <v>-50.785972999999998</v>
      </c>
      <c r="F30" s="6">
        <v>-50.785972999999998</v>
      </c>
      <c r="G30" s="9">
        <f t="shared" si="7"/>
        <v>-1.2719617035736666</v>
      </c>
    </row>
    <row r="31" spans="1:9" x14ac:dyDescent="0.25">
      <c r="A31" s="6" t="s">
        <v>2030</v>
      </c>
      <c r="B31" s="9">
        <v>-45.815733000000002</v>
      </c>
      <c r="C31" s="9">
        <f>B31+$B$41</f>
        <v>-50.868546000000002</v>
      </c>
      <c r="D31" s="9">
        <f t="shared" si="6"/>
        <v>32.186843444234178</v>
      </c>
      <c r="E31" s="6">
        <v>-45.680813999999998</v>
      </c>
      <c r="F31" s="9">
        <f>E31+$E$41</f>
        <v>-50.745770999999998</v>
      </c>
      <c r="G31" s="9">
        <f t="shared" si="7"/>
        <v>23.955174165747628</v>
      </c>
      <c r="H31" s="6">
        <f>G31-G30</f>
        <v>25.227135869321295</v>
      </c>
      <c r="I31" s="6">
        <f>ABS(H31-H7)</f>
        <v>10.471878100315671</v>
      </c>
    </row>
    <row r="32" spans="1:9" x14ac:dyDescent="0.25">
      <c r="A32" s="6" t="s">
        <v>2031</v>
      </c>
      <c r="B32" s="9">
        <v>-45.829597</v>
      </c>
      <c r="C32" s="9">
        <f t="shared" ref="C32:C36" si="8">B32+$B$41</f>
        <v>-50.88241</v>
      </c>
      <c r="D32" s="9">
        <f t="shared" si="6"/>
        <v>23.487052098226116</v>
      </c>
      <c r="E32" s="6">
        <v>-45.697519999999997</v>
      </c>
      <c r="F32" s="9">
        <f t="shared" ref="F32:F36" si="9">E32+$E$41</f>
        <v>-50.762476999999997</v>
      </c>
      <c r="G32" s="9">
        <f t="shared" si="7"/>
        <v>13.472000894943834</v>
      </c>
    </row>
    <row r="33" spans="1:9" x14ac:dyDescent="0.25">
      <c r="A33" s="6" t="s">
        <v>2032</v>
      </c>
      <c r="B33" s="9">
        <v>-45.755260999999997</v>
      </c>
      <c r="C33" s="9">
        <f t="shared" si="8"/>
        <v>-50.808073999999998</v>
      </c>
      <c r="D33" s="9">
        <f t="shared" si="6"/>
        <v>70.13359634930552</v>
      </c>
      <c r="E33" s="6">
        <v>-45.629244999999997</v>
      </c>
      <c r="F33" s="9">
        <f t="shared" si="9"/>
        <v>-50.694201999999997</v>
      </c>
      <c r="G33" s="9">
        <f>627.509473889877*(F33-$F$28)</f>
        <v>56.3152102247751</v>
      </c>
      <c r="H33" s="6">
        <f>G33-G32</f>
        <v>42.843209329831268</v>
      </c>
      <c r="I33" s="6">
        <f>ABS(H33-H9)</f>
        <v>9.1754435270768511</v>
      </c>
    </row>
    <row r="34" spans="1:9" x14ac:dyDescent="0.25">
      <c r="A34" s="6" t="s">
        <v>2033</v>
      </c>
      <c r="B34" s="9">
        <v>-45.871932000000001</v>
      </c>
      <c r="C34" s="9">
        <f t="shared" si="8"/>
        <v>-50.924745000000001</v>
      </c>
      <c r="D34" s="9">
        <f t="shared" si="6"/>
        <v>-3.0785614789026701</v>
      </c>
      <c r="E34" s="6">
        <v>-45.737380999999999</v>
      </c>
      <c r="F34" s="9">
        <f t="shared" si="9"/>
        <v>-50.802337999999999</v>
      </c>
      <c r="G34" s="9">
        <f t="shared" si="7"/>
        <v>-11.541154243781758</v>
      </c>
    </row>
    <row r="35" spans="1:9" x14ac:dyDescent="0.25">
      <c r="A35" s="6" t="s">
        <v>2034</v>
      </c>
      <c r="B35" s="9">
        <v>-45.822532000000002</v>
      </c>
      <c r="C35" s="9">
        <f t="shared" si="8"/>
        <v>-50.875345000000003</v>
      </c>
      <c r="D35" s="9">
        <f t="shared" si="6"/>
        <v>27.920406531256347</v>
      </c>
      <c r="E35" s="6">
        <v>-45.690863999999998</v>
      </c>
      <c r="F35" s="9">
        <f t="shared" si="9"/>
        <v>-50.755820999999997</v>
      </c>
      <c r="G35" s="9">
        <f t="shared" si="7"/>
        <v>17.648703953154573</v>
      </c>
      <c r="H35" s="6">
        <f>G35-G34</f>
        <v>29.189858196936331</v>
      </c>
      <c r="I35" s="6">
        <f>ABS(H35-H11)</f>
        <v>9.3222807441091184</v>
      </c>
    </row>
    <row r="36" spans="1:9" x14ac:dyDescent="0.25">
      <c r="A36" s="6" t="s">
        <v>2035</v>
      </c>
      <c r="B36" s="9">
        <v>-45.921191999999998</v>
      </c>
      <c r="C36" s="9">
        <f t="shared" si="8"/>
        <v>-50.974004999999998</v>
      </c>
      <c r="D36" s="9">
        <f t="shared" si="6"/>
        <v>-33.989678162715968</v>
      </c>
      <c r="E36" s="6">
        <v>-45.782502000000001</v>
      </c>
      <c r="F36" s="9">
        <f t="shared" si="9"/>
        <v>-50.847459000000001</v>
      </c>
      <c r="G36" s="9">
        <f t="shared" si="7"/>
        <v>-39.855009215167989</v>
      </c>
    </row>
    <row r="37" spans="1:9" x14ac:dyDescent="0.25">
      <c r="A37" s="6" t="s">
        <v>2036</v>
      </c>
      <c r="B37" s="9">
        <v>-77.049665000000005</v>
      </c>
      <c r="C37" s="9">
        <f>B37+$B$41-$B$42</f>
        <v>-50.951933000000004</v>
      </c>
      <c r="D37" s="9">
        <f t="shared" si="6"/>
        <v>-20.139289055022171</v>
      </c>
      <c r="E37" s="6">
        <v>-76.688691000000006</v>
      </c>
      <c r="F37" s="9">
        <f>E37+$E$41-$E$42</f>
        <v>-50.804644999999994</v>
      </c>
      <c r="G37" s="9">
        <f t="shared" si="7"/>
        <v>-12.988818600042398</v>
      </c>
      <c r="H37" s="6">
        <f>G37-G36</f>
        <v>26.866190615125589</v>
      </c>
      <c r="I37" s="6">
        <f>ABS(H37-H13)</f>
        <v>15.186984287200303</v>
      </c>
    </row>
    <row r="38" spans="1:9" x14ac:dyDescent="0.25">
      <c r="A38" s="6" t="s">
        <v>2037</v>
      </c>
      <c r="B38" s="9">
        <v>-77.105231000000003</v>
      </c>
      <c r="C38" s="9">
        <f t="shared" ref="C38:C40" si="10">B38+$B$41-$B$42</f>
        <v>-51.007499000000003</v>
      </c>
      <c r="D38" s="9">
        <f t="shared" si="6"/>
        <v>-55.007480481186384</v>
      </c>
      <c r="E38" s="6">
        <v>-76.739090000000004</v>
      </c>
      <c r="F38" s="9">
        <f t="shared" ref="F38:F40" si="11">E38+$E$41-$E$42</f>
        <v>-50.855043999999992</v>
      </c>
      <c r="G38" s="9">
        <f t="shared" si="7"/>
        <v>-44.614668574617525</v>
      </c>
    </row>
    <row r="39" spans="1:9" x14ac:dyDescent="0.25">
      <c r="A39" s="6" t="s">
        <v>2038</v>
      </c>
      <c r="B39" s="9">
        <v>-77.083819000000005</v>
      </c>
      <c r="C39" s="9">
        <f t="shared" si="10"/>
        <v>-50.986087000000005</v>
      </c>
      <c r="D39" s="9">
        <f t="shared" si="6"/>
        <v>-41.571247626257595</v>
      </c>
      <c r="E39" s="6">
        <v>-76.720584000000002</v>
      </c>
      <c r="F39" s="9">
        <f t="shared" si="11"/>
        <v>-50.83653799999999</v>
      </c>
      <c r="G39" s="9">
        <f t="shared" si="7"/>
        <v>-33.001978250810119</v>
      </c>
      <c r="H39" s="6">
        <f>G39-G38</f>
        <v>11.612690323807406</v>
      </c>
      <c r="I39" s="6">
        <f>ABS(H39-H15)</f>
        <v>11.08997493202142</v>
      </c>
    </row>
    <row r="40" spans="1:9" x14ac:dyDescent="0.25">
      <c r="A40" s="6" t="s">
        <v>2039</v>
      </c>
      <c r="B40" s="9">
        <v>-77.118112999999994</v>
      </c>
      <c r="C40" s="9">
        <f t="shared" si="10"/>
        <v>-51.020380999999993</v>
      </c>
      <c r="D40" s="9">
        <f>627.509473889877*(C40-$C$28)</f>
        <v>-63.091057523829825</v>
      </c>
      <c r="E40" s="6">
        <v>-76.758778000000007</v>
      </c>
      <c r="F40" s="9">
        <f t="shared" si="11"/>
        <v>-50.874731999999995</v>
      </c>
      <c r="G40" s="9">
        <f t="shared" si="7"/>
        <v>-56.969075096562769</v>
      </c>
      <c r="I40" s="6">
        <f>AVERAGE(I29:I39)</f>
        <v>9.9957029945045566</v>
      </c>
    </row>
    <row r="41" spans="1:9" x14ac:dyDescent="0.25">
      <c r="A41" s="9" t="s">
        <v>2084</v>
      </c>
      <c r="B41" s="9">
        <v>-5.0528130000000004</v>
      </c>
      <c r="E41" s="6">
        <v>-5.0649569999999997</v>
      </c>
    </row>
    <row r="42" spans="1:9" x14ac:dyDescent="0.25">
      <c r="A42" s="9" t="s">
        <v>2083</v>
      </c>
      <c r="B42" s="9">
        <v>-31.150545000000001</v>
      </c>
      <c r="E42" s="6">
        <v>-30.949003000000001</v>
      </c>
    </row>
    <row r="48" spans="1:9" x14ac:dyDescent="0.25">
      <c r="D48" s="9"/>
    </row>
    <row r="49" spans="1:8" x14ac:dyDescent="0.25">
      <c r="B49" s="11" t="s">
        <v>2081</v>
      </c>
      <c r="C49" s="11"/>
      <c r="D49" s="11" t="s">
        <v>2082</v>
      </c>
      <c r="E49" s="11"/>
      <c r="F49" s="11"/>
    </row>
    <row r="50" spans="1:8" x14ac:dyDescent="0.25">
      <c r="B50" s="9" t="s">
        <v>2086</v>
      </c>
      <c r="C50" s="9" t="s">
        <v>2041</v>
      </c>
      <c r="D50" s="6" t="s">
        <v>2085</v>
      </c>
      <c r="E50" s="9" t="s">
        <v>2086</v>
      </c>
      <c r="F50" s="9" t="s">
        <v>2041</v>
      </c>
    </row>
    <row r="51" spans="1:8" x14ac:dyDescent="0.25">
      <c r="A51" s="6" t="s">
        <v>2028</v>
      </c>
      <c r="B51" s="9">
        <v>-1956.8054015111475</v>
      </c>
      <c r="C51" s="9">
        <v>1.21265506320381</v>
      </c>
      <c r="D51" s="12">
        <v>-53243.471562708997</v>
      </c>
      <c r="E51" s="13">
        <f>D51/27.211386245988</f>
        <v>-1956.6614902083177</v>
      </c>
      <c r="F51" s="6">
        <f>(E51-$F$4)*627.509473889877</f>
        <v>-1.4465400586424424</v>
      </c>
    </row>
    <row r="52" spans="1:8" x14ac:dyDescent="0.25">
      <c r="A52" s="6" t="s">
        <v>2027</v>
      </c>
      <c r="B52" s="9">
        <v>-1956.7337804219628</v>
      </c>
      <c r="C52" s="9">
        <v>46.155567056880898</v>
      </c>
      <c r="D52" s="12">
        <v>-53241.5621026437</v>
      </c>
      <c r="E52" s="13">
        <f t="shared" ref="E52:E53" si="12">D52/27.211386245988</f>
        <v>-1956.5913188451966</v>
      </c>
      <c r="F52" s="6">
        <f t="shared" ref="F52:F63" si="13">(E52-$F$4)*627.509473889877</f>
        <v>42.586655095590885</v>
      </c>
      <c r="G52" s="6">
        <f>F52-F51</f>
        <v>44.033195154233326</v>
      </c>
      <c r="H52" s="6">
        <f>ABS(G52-H5)</f>
        <v>0.78729652780872073</v>
      </c>
    </row>
    <row r="53" spans="1:8" x14ac:dyDescent="0.25">
      <c r="A53" s="6" t="s">
        <v>2029</v>
      </c>
      <c r="B53" s="9">
        <v>-1956.8164204130801</v>
      </c>
      <c r="C53" s="9">
        <v>-5.7018102893874101</v>
      </c>
      <c r="D53" s="12">
        <v>-53243.636884877298</v>
      </c>
      <c r="E53" s="13">
        <f t="shared" si="12"/>
        <v>-1956.6675656859434</v>
      </c>
      <c r="F53" s="6">
        <f t="shared" si="13"/>
        <v>-5.2589598271751257</v>
      </c>
    </row>
    <row r="54" spans="1:8" x14ac:dyDescent="0.25">
      <c r="A54" s="6" t="s">
        <v>2030</v>
      </c>
      <c r="B54" s="9">
        <v>-1956.737647133225</v>
      </c>
      <c r="C54" s="9">
        <v>43.729169107077297</v>
      </c>
      <c r="D54" s="12">
        <v>-40702.979393985501</v>
      </c>
      <c r="E54" s="13">
        <f>D54/27.211386245988+$E$17</f>
        <v>-1956.6070152586194</v>
      </c>
      <c r="F54" s="6">
        <f t="shared" si="13"/>
        <v>32.737006966690444</v>
      </c>
      <c r="G54" s="6">
        <f>F54-F53</f>
        <v>37.99596679386557</v>
      </c>
      <c r="H54" s="6">
        <f>ABS(G54-H7)</f>
        <v>2.2969528242286046</v>
      </c>
    </row>
    <row r="55" spans="1:8" x14ac:dyDescent="0.25">
      <c r="A55" s="6" t="s">
        <v>2031</v>
      </c>
      <c r="B55" s="9">
        <v>-1956.78037627146</v>
      </c>
      <c r="C55" s="9">
        <v>16.91623005131331</v>
      </c>
      <c r="D55" s="12">
        <v>-40704.194920729002</v>
      </c>
      <c r="E55" s="13">
        <f t="shared" ref="E55:E58" si="14">D55/27.211386245988+$E$17</f>
        <v>-1956.6516850425296</v>
      </c>
      <c r="F55" s="6">
        <f t="shared" si="13"/>
        <v>4.7062943664298782</v>
      </c>
    </row>
    <row r="56" spans="1:8" x14ac:dyDescent="0.25">
      <c r="A56" s="6" t="s">
        <v>2032</v>
      </c>
      <c r="B56" s="9">
        <v>-1956.6935436262584</v>
      </c>
      <c r="C56" s="9">
        <v>71.404537560400357</v>
      </c>
      <c r="D56" s="12">
        <v>-40701.941715382301</v>
      </c>
      <c r="E56" s="13">
        <f t="shared" si="14"/>
        <v>-1956.5688812733156</v>
      </c>
      <c r="F56" s="6">
        <f t="shared" si="13"/>
        <v>56.666444022021004</v>
      </c>
      <c r="G56" s="6">
        <f>F56-F55</f>
        <v>51.960149655591124</v>
      </c>
      <c r="H56" s="6">
        <f>ABS(G56-H9)</f>
        <v>5.8503201316995046E-2</v>
      </c>
    </row>
    <row r="57" spans="1:8" x14ac:dyDescent="0.25">
      <c r="A57" s="6" t="s">
        <v>2033</v>
      </c>
      <c r="B57" s="9">
        <v>-1956.8179689653821</v>
      </c>
      <c r="C57" s="9">
        <v>-6.6735415316934601</v>
      </c>
      <c r="D57" s="12">
        <v>-40705.161170989901</v>
      </c>
      <c r="E57" s="13">
        <f t="shared" si="14"/>
        <v>-1956.6871940846695</v>
      </c>
      <c r="F57" s="6">
        <f t="shared" si="13"/>
        <v>-17.575965985107661</v>
      </c>
    </row>
    <row r="58" spans="1:8" x14ac:dyDescent="0.25">
      <c r="A58" s="6" t="s">
        <v>2034</v>
      </c>
      <c r="B58" s="9">
        <v>-1956.7542726232127</v>
      </c>
      <c r="C58" s="9">
        <v>33.296516631705465</v>
      </c>
      <c r="D58" s="12">
        <v>-40703.501249369197</v>
      </c>
      <c r="E58" s="13">
        <f t="shared" si="14"/>
        <v>-1956.6261930902442</v>
      </c>
      <c r="F58" s="6">
        <f t="shared" si="13"/>
        <v>20.702735933462353</v>
      </c>
      <c r="G58" s="6">
        <f>F58-F57</f>
        <v>38.278701918570015</v>
      </c>
      <c r="H58" s="6">
        <f>ABS(G58-H11)</f>
        <v>0.23343702247543519</v>
      </c>
    </row>
    <row r="59" spans="1:8" x14ac:dyDescent="0.25">
      <c r="A59" s="6" t="s">
        <v>2035</v>
      </c>
      <c r="B59" s="9">
        <v>-1956.8451631222538</v>
      </c>
      <c r="C59" s="9">
        <v>-23.738132603133401</v>
      </c>
      <c r="D59" s="12">
        <v>-40705.840530305701</v>
      </c>
      <c r="E59" s="13">
        <f>D59/27.211386245988+$E$17</f>
        <v>-1956.7121600790392</v>
      </c>
      <c r="F59" s="6">
        <f t="shared" si="13"/>
        <v>-33.242363977189839</v>
      </c>
    </row>
    <row r="60" spans="1:8" x14ac:dyDescent="0.25">
      <c r="A60" s="6" t="s">
        <v>2036</v>
      </c>
      <c r="B60" s="9">
        <v>-1956.8347409883104</v>
      </c>
      <c r="C60" s="9">
        <v>-17.198144815504783</v>
      </c>
      <c r="D60" s="12">
        <v>-52234.224495090901</v>
      </c>
      <c r="E60" s="13">
        <f>D60/27.211386245988+$E$17-$E$18</f>
        <v>-1956.6427715655852</v>
      </c>
      <c r="F60" s="6">
        <f t="shared" si="13"/>
        <v>10.299585594322126</v>
      </c>
      <c r="G60" s="6">
        <f>F60-F59</f>
        <v>43.541949571511964</v>
      </c>
      <c r="H60" s="6">
        <f>ABS(G60-H13)</f>
        <v>1.4887746691860713</v>
      </c>
    </row>
    <row r="61" spans="1:8" x14ac:dyDescent="0.25">
      <c r="A61" s="6" t="s">
        <v>2037</v>
      </c>
      <c r="B61" s="9">
        <v>-1956.850802242086</v>
      </c>
      <c r="C61" s="9">
        <v>-27.276733722281399</v>
      </c>
      <c r="D61" s="12">
        <v>-52235.432484185301</v>
      </c>
      <c r="E61" s="13">
        <f t="shared" ref="E61:E63" si="15">D61/27.211386245988+$E$17-$E$18</f>
        <v>-1956.6871643460001</v>
      </c>
      <c r="F61" s="6">
        <f t="shared" si="13"/>
        <v>-17.557304688346754</v>
      </c>
    </row>
    <row r="62" spans="1:8" x14ac:dyDescent="0.25">
      <c r="A62" s="6" t="s">
        <v>2038</v>
      </c>
      <c r="B62" s="9">
        <v>-1956.8454905028057</v>
      </c>
      <c r="C62" s="9">
        <v>-23.943567001005537</v>
      </c>
      <c r="D62" s="12">
        <v>-52235.507060581302</v>
      </c>
      <c r="E62" s="13">
        <f t="shared" si="15"/>
        <v>-1956.6899049780034</v>
      </c>
      <c r="F62" s="6">
        <f t="shared" si="13"/>
        <v>-19.277077234815707</v>
      </c>
      <c r="G62" s="6">
        <f>F62-F61</f>
        <v>-1.7197725464689526</v>
      </c>
      <c r="H62" s="6">
        <f>ABS(G62-H15)</f>
        <v>2.2424879382549392</v>
      </c>
    </row>
    <row r="63" spans="1:8" x14ac:dyDescent="0.25">
      <c r="A63" s="6" t="s">
        <v>2039</v>
      </c>
      <c r="B63" s="9">
        <v>-1956.8761534970304</v>
      </c>
      <c r="C63" s="9">
        <v>-43.184886374843366</v>
      </c>
      <c r="D63" s="12">
        <v>-52236.416985591</v>
      </c>
      <c r="E63" s="13">
        <f t="shared" si="15"/>
        <v>-1956.7233441053406</v>
      </c>
      <c r="F63" s="6">
        <f t="shared" si="13"/>
        <v>-40.26044643755651</v>
      </c>
      <c r="H63" s="6">
        <f>AVERAGE(H52:H62)</f>
        <v>1.1845753638784611</v>
      </c>
    </row>
    <row r="64" spans="1:8" x14ac:dyDescent="0.25">
      <c r="A64" s="9"/>
    </row>
    <row r="65" spans="1:1" x14ac:dyDescent="0.25">
      <c r="A65" s="9"/>
    </row>
    <row r="69" spans="1:1" x14ac:dyDescent="0.25">
      <c r="A69" s="12"/>
    </row>
    <row r="70" spans="1:1" x14ac:dyDescent="0.25">
      <c r="A70" s="12"/>
    </row>
    <row r="71" spans="1:1" x14ac:dyDescent="0.25">
      <c r="A71" s="12"/>
    </row>
    <row r="72" spans="1:1" x14ac:dyDescent="0.25">
      <c r="A72" s="12"/>
    </row>
    <row r="73" spans="1:1" x14ac:dyDescent="0.25">
      <c r="A73" s="12"/>
    </row>
    <row r="74" spans="1:1" x14ac:dyDescent="0.25">
      <c r="A74" s="12"/>
    </row>
    <row r="75" spans="1:1" x14ac:dyDescent="0.25">
      <c r="A75" s="12"/>
    </row>
    <row r="76" spans="1:1" x14ac:dyDescent="0.25">
      <c r="A76" s="12"/>
    </row>
    <row r="77" spans="1:1" x14ac:dyDescent="0.25">
      <c r="A77" s="12"/>
    </row>
    <row r="78" spans="1:1" x14ac:dyDescent="0.25">
      <c r="A78" s="12"/>
    </row>
    <row r="79" spans="1:1" x14ac:dyDescent="0.25">
      <c r="A79" s="12"/>
    </row>
    <row r="80" spans="1:1" x14ac:dyDescent="0.25">
      <c r="A80" s="12"/>
    </row>
    <row r="81" spans="1:1" x14ac:dyDescent="0.25">
      <c r="A81" s="12"/>
    </row>
  </sheetData>
  <mergeCells count="13">
    <mergeCell ref="C1:G1"/>
    <mergeCell ref="L1:M1"/>
    <mergeCell ref="B25:G25"/>
    <mergeCell ref="B3:C3"/>
    <mergeCell ref="E2:G2"/>
    <mergeCell ref="E3:F3"/>
    <mergeCell ref="B2:D2"/>
    <mergeCell ref="B49:C49"/>
    <mergeCell ref="D49:F49"/>
    <mergeCell ref="B26:D26"/>
    <mergeCell ref="E26:G26"/>
    <mergeCell ref="B27:C27"/>
    <mergeCell ref="E27:F27"/>
  </mergeCells>
  <phoneticPr fontId="3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C0033-6ED8-44FC-BC1E-C08345207081}">
  <dimension ref="A1:M43"/>
  <sheetViews>
    <sheetView tabSelected="1" zoomScale="85" zoomScaleNormal="85" workbookViewId="0">
      <selection activeCell="O14" sqref="O14"/>
    </sheetView>
  </sheetViews>
  <sheetFormatPr defaultRowHeight="14.4" x14ac:dyDescent="0.25"/>
  <cols>
    <col min="1" max="2" width="26.6640625" style="9" customWidth="1"/>
    <col min="3" max="3" width="20.33203125" style="6" customWidth="1"/>
    <col min="4" max="4" width="10.77734375" style="6" customWidth="1"/>
    <col min="5" max="5" width="13.33203125" style="7" customWidth="1"/>
    <col min="6" max="13" width="15.77734375" style="6" customWidth="1"/>
    <col min="14" max="14" width="21.33203125" customWidth="1"/>
  </cols>
  <sheetData>
    <row r="1" spans="1:13" x14ac:dyDescent="0.25">
      <c r="B1" s="9" t="s">
        <v>2090</v>
      </c>
      <c r="C1" s="9" t="s">
        <v>2091</v>
      </c>
      <c r="D1" s="9" t="s">
        <v>2092</v>
      </c>
      <c r="E1" s="9" t="s">
        <v>2093</v>
      </c>
      <c r="F1" s="9" t="s">
        <v>2094</v>
      </c>
      <c r="G1" s="9"/>
      <c r="H1" s="9" t="s">
        <v>2095</v>
      </c>
      <c r="I1" s="9" t="s">
        <v>2096</v>
      </c>
      <c r="J1" s="9" t="s">
        <v>2092</v>
      </c>
      <c r="K1" s="9" t="s">
        <v>2093</v>
      </c>
      <c r="L1" s="9" t="s">
        <v>2094</v>
      </c>
      <c r="M1" s="14" t="s">
        <v>2097</v>
      </c>
    </row>
    <row r="2" spans="1:13" x14ac:dyDescent="0.25">
      <c r="A2" s="9" t="s">
        <v>2043</v>
      </c>
      <c r="B2" s="9">
        <v>-9465.3242666492406</v>
      </c>
      <c r="C2" s="9">
        <v>-9462.1197119999997</v>
      </c>
      <c r="D2" s="9">
        <f>C2*23.06</f>
        <v>-218196.48055871998</v>
      </c>
      <c r="E2" s="9">
        <f>D2-$D$2</f>
        <v>0</v>
      </c>
      <c r="F2" s="9">
        <f>E3-E4</f>
        <v>-0.19042947998968884</v>
      </c>
      <c r="G2" s="14"/>
      <c r="H2" s="9">
        <v>-347.84683999999999</v>
      </c>
      <c r="I2" s="9">
        <v>-347.72980100000001</v>
      </c>
      <c r="J2" s="9">
        <f>I2*627.5095</f>
        <v>-218203.7535606095</v>
      </c>
      <c r="K2" s="9">
        <f>J2-$J$2</f>
        <v>0</v>
      </c>
      <c r="L2" s="9">
        <f>K2-K4</f>
        <v>-1.150224913522834</v>
      </c>
      <c r="M2" s="14">
        <v>28</v>
      </c>
    </row>
    <row r="3" spans="1:13" x14ac:dyDescent="0.25">
      <c r="A3" s="9" t="s">
        <v>2044</v>
      </c>
      <c r="B3" s="9">
        <v>-9465.3169849172791</v>
      </c>
      <c r="C3" s="9">
        <v>-9462.1215659999998</v>
      </c>
      <c r="D3" s="9">
        <f>C3*23.06</f>
        <v>-218196.52331195999</v>
      </c>
      <c r="E3" s="9">
        <f t="shared" ref="E3:E5" si="0">D3-$D$2</f>
        <v>-4.2753240006277338E-2</v>
      </c>
      <c r="F3" s="9"/>
      <c r="G3" s="14"/>
      <c r="H3" s="9">
        <v>-347.84384399999999</v>
      </c>
      <c r="I3" s="9">
        <v>-347.72632399999998</v>
      </c>
      <c r="J3" s="9">
        <f>I3*627.5095</f>
        <v>-218201.57171007799</v>
      </c>
      <c r="K3" s="9">
        <f t="shared" ref="K3:K5" si="1">J3-$J$2</f>
        <v>2.1818505315168295</v>
      </c>
      <c r="L3" s="9"/>
      <c r="M3" s="14"/>
    </row>
    <row r="4" spans="1:13" x14ac:dyDescent="0.25">
      <c r="A4" s="9" t="s">
        <v>2045</v>
      </c>
      <c r="B4" s="9">
        <v>-9465.3141226340595</v>
      </c>
      <c r="C4" s="9">
        <v>-9462.113308</v>
      </c>
      <c r="D4" s="9">
        <f>C4*23.06</f>
        <v>-218196.33288248</v>
      </c>
      <c r="E4" s="9">
        <f>D4-$D$2</f>
        <v>0.14767623998341151</v>
      </c>
      <c r="F4" s="9"/>
      <c r="G4" s="14"/>
      <c r="H4" s="9">
        <v>-347.84520099999997</v>
      </c>
      <c r="I4" s="9">
        <v>-347.72796799999998</v>
      </c>
      <c r="J4" s="9">
        <f>I4*627.5095</f>
        <v>-218202.60333569598</v>
      </c>
      <c r="K4" s="9">
        <f t="shared" si="1"/>
        <v>1.150224913522834</v>
      </c>
      <c r="L4" s="9"/>
      <c r="M4" s="14"/>
    </row>
    <row r="5" spans="1:13" x14ac:dyDescent="0.25">
      <c r="A5" s="9" t="s">
        <v>2046</v>
      </c>
      <c r="B5" s="9">
        <v>-9465.2767370772563</v>
      </c>
      <c r="C5" s="9">
        <v>-9462.0853139999999</v>
      </c>
      <c r="D5" s="9">
        <f t="shared" ref="D5" si="2">C5*23.06</f>
        <v>-218195.68734084</v>
      </c>
      <c r="E5" s="9">
        <f t="shared" si="0"/>
        <v>0.79321787998196669</v>
      </c>
      <c r="F5" s="9"/>
      <c r="G5" s="14"/>
      <c r="H5" s="9">
        <v>-347.84262000000001</v>
      </c>
      <c r="I5" s="9">
        <v>-347.72589099999999</v>
      </c>
      <c r="J5" s="9">
        <f t="shared" ref="J5" si="3">I5*627.5095</f>
        <v>-218201.2999984645</v>
      </c>
      <c r="K5" s="9">
        <f t="shared" si="1"/>
        <v>2.4535621450049803</v>
      </c>
      <c r="L5" s="9"/>
      <c r="M5" s="14"/>
    </row>
    <row r="6" spans="1:13" x14ac:dyDescent="0.25">
      <c r="C6" s="9"/>
      <c r="D6" s="9"/>
      <c r="E6" s="9"/>
      <c r="F6" s="9"/>
      <c r="G6" s="14"/>
      <c r="H6" s="9"/>
      <c r="I6" s="9"/>
      <c r="J6" s="9"/>
      <c r="K6" s="9"/>
      <c r="L6" s="9"/>
      <c r="M6" s="14"/>
    </row>
    <row r="7" spans="1:13" x14ac:dyDescent="0.25">
      <c r="A7" s="9" t="s">
        <v>2047</v>
      </c>
      <c r="B7" s="9">
        <v>-10535.13298435686</v>
      </c>
      <c r="C7" s="9">
        <v>-10531.228778000001</v>
      </c>
      <c r="D7" s="9">
        <f>C7*23.06</f>
        <v>-242850.13562068</v>
      </c>
      <c r="E7" s="9">
        <f>D7-$D$7</f>
        <v>0</v>
      </c>
      <c r="F7" s="9">
        <f>E7-E9</f>
        <v>0.29419947997666895</v>
      </c>
      <c r="G7" s="14"/>
      <c r="H7" s="9">
        <v>-387.16173700000002</v>
      </c>
      <c r="I7" s="9">
        <v>-387.01810799999998</v>
      </c>
      <c r="J7" s="9">
        <f>I7*627.5095</f>
        <v>-242857.539442026</v>
      </c>
      <c r="K7" s="9">
        <f>J7-$J$7</f>
        <v>0</v>
      </c>
      <c r="L7" s="9">
        <f>K7-K9</f>
        <v>-0.64005968999117613</v>
      </c>
      <c r="M7" s="14">
        <v>30</v>
      </c>
    </row>
    <row r="8" spans="1:13" x14ac:dyDescent="0.25">
      <c r="A8" s="9" t="s">
        <v>2048</v>
      </c>
      <c r="B8" s="9">
        <v>-10535.10538291756</v>
      </c>
      <c r="C8" s="9">
        <v>-10531.183703000001</v>
      </c>
      <c r="D8" s="9">
        <f t="shared" ref="D8:D10" si="4">C8*23.06</f>
        <v>-242849.09619118</v>
      </c>
      <c r="E8" s="9">
        <f t="shared" ref="E8:E10" si="5">D8-$D$7</f>
        <v>1.0394295000005513</v>
      </c>
      <c r="F8" s="9"/>
      <c r="G8" s="14"/>
      <c r="H8" s="9">
        <v>-387.158569</v>
      </c>
      <c r="I8" s="9">
        <v>-387.01545599999997</v>
      </c>
      <c r="J8" s="9">
        <f t="shared" ref="J8:J10" si="6">I8*627.5095</f>
        <v>-242855.87528683199</v>
      </c>
      <c r="K8" s="9">
        <f t="shared" ref="K8:K10" si="7">J8-$J$7</f>
        <v>1.6641551940119825</v>
      </c>
      <c r="L8" s="9"/>
      <c r="M8" s="14"/>
    </row>
    <row r="9" spans="1:13" x14ac:dyDescent="0.25">
      <c r="A9" s="9" t="s">
        <v>2049</v>
      </c>
      <c r="B9" s="9">
        <v>-10535.140336100059</v>
      </c>
      <c r="C9" s="9">
        <v>-10531.241536</v>
      </c>
      <c r="D9" s="9">
        <f t="shared" si="4"/>
        <v>-242850.42982015997</v>
      </c>
      <c r="E9" s="9">
        <f t="shared" si="5"/>
        <v>-0.29419947997666895</v>
      </c>
      <c r="F9" s="9"/>
      <c r="G9" s="14"/>
      <c r="H9" s="9">
        <v>-387.16080599999998</v>
      </c>
      <c r="I9" s="9">
        <v>-387.017088</v>
      </c>
      <c r="J9" s="9">
        <f>I9*627.5095</f>
        <v>-242856.89938233601</v>
      </c>
      <c r="K9" s="9">
        <f t="shared" si="7"/>
        <v>0.64005968999117613</v>
      </c>
      <c r="L9" s="9"/>
      <c r="M9" s="14"/>
    </row>
    <row r="10" spans="1:13" x14ac:dyDescent="0.25">
      <c r="A10" s="9" t="s">
        <v>2050</v>
      </c>
      <c r="B10" s="9">
        <v>-10535.05323367478</v>
      </c>
      <c r="C10" s="9">
        <v>-10531.144057</v>
      </c>
      <c r="D10" s="9">
        <f t="shared" si="4"/>
        <v>-242848.18195441997</v>
      </c>
      <c r="E10" s="9">
        <f t="shared" si="5"/>
        <v>1.9536662600294221</v>
      </c>
      <c r="F10" s="9"/>
      <c r="G10" s="14"/>
      <c r="H10" s="9">
        <v>-387.15651400000002</v>
      </c>
      <c r="I10" s="9">
        <v>-387.01456100000001</v>
      </c>
      <c r="J10" s="9">
        <f t="shared" si="6"/>
        <v>-242855.31366582951</v>
      </c>
      <c r="K10" s="9">
        <f t="shared" si="7"/>
        <v>2.2257761964865495</v>
      </c>
      <c r="L10" s="9"/>
      <c r="M10" s="14"/>
    </row>
    <row r="11" spans="1:13" x14ac:dyDescent="0.25">
      <c r="C11" s="9"/>
      <c r="D11" s="9"/>
      <c r="E11" s="9"/>
      <c r="F11" s="9"/>
      <c r="G11" s="14"/>
      <c r="H11" s="9"/>
      <c r="I11" s="9"/>
      <c r="J11" s="9"/>
      <c r="K11" s="9"/>
      <c r="L11" s="9"/>
      <c r="M11" s="14"/>
    </row>
    <row r="12" spans="1:13" x14ac:dyDescent="0.25">
      <c r="A12" s="9" t="s">
        <v>2051</v>
      </c>
      <c r="B12" s="9">
        <v>-11513.69440766886</v>
      </c>
      <c r="C12" s="9">
        <v>-11510.365587</v>
      </c>
      <c r="D12" s="9">
        <f>C12*23.06</f>
        <v>-265429.03043622</v>
      </c>
      <c r="E12" s="9">
        <f>D12-$D$12</f>
        <v>0</v>
      </c>
      <c r="F12" s="9">
        <f>E12-E14</f>
        <v>0.14179593994049355</v>
      </c>
      <c r="G12" s="14"/>
      <c r="H12" s="9">
        <v>-423.12243100000001</v>
      </c>
      <c r="I12" s="9">
        <v>-423.00086499999998</v>
      </c>
      <c r="J12" s="9">
        <f>I12*627.5095</f>
        <v>-265437.06129571749</v>
      </c>
      <c r="K12" s="9">
        <f>J12-$J$12</f>
        <v>0</v>
      </c>
      <c r="L12" s="9">
        <f>K12-K14</f>
        <v>-0.457454425515607</v>
      </c>
      <c r="M12" s="14">
        <v>20</v>
      </c>
    </row>
    <row r="13" spans="1:13" x14ac:dyDescent="0.25">
      <c r="A13" s="9" t="s">
        <v>2052</v>
      </c>
      <c r="B13" s="9">
        <v>-11513.643556634701</v>
      </c>
      <c r="C13" s="9">
        <v>-11510.312419</v>
      </c>
      <c r="D13" s="9">
        <f t="shared" ref="D13:D15" si="8">C13*23.06</f>
        <v>-265427.80438213999</v>
      </c>
      <c r="E13" s="9">
        <f>D13-$D$12</f>
        <v>1.2260540800052695</v>
      </c>
      <c r="F13" s="9"/>
      <c r="G13" s="14"/>
      <c r="H13" s="9">
        <v>-423.12015300000002</v>
      </c>
      <c r="I13" s="9">
        <v>-422.99880100000001</v>
      </c>
      <c r="J13" s="9">
        <f t="shared" ref="J13:J15" si="9">I13*627.5095</f>
        <v>-265435.7661161095</v>
      </c>
      <c r="K13" s="9">
        <f t="shared" ref="K13:K15" si="10">J13-$J$12</f>
        <v>1.2951796079869382</v>
      </c>
      <c r="L13" s="9"/>
      <c r="M13" s="14"/>
    </row>
    <row r="14" spans="1:13" x14ac:dyDescent="0.25">
      <c r="A14" s="9" t="s">
        <v>2053</v>
      </c>
      <c r="B14" s="9">
        <v>-11513.700714752969</v>
      </c>
      <c r="C14" s="9">
        <v>-11510.371735999999</v>
      </c>
      <c r="D14" s="9">
        <f t="shared" si="8"/>
        <v>-265429.17223215994</v>
      </c>
      <c r="E14" s="9">
        <f t="shared" ref="E14:E15" si="11">D14-$D$12</f>
        <v>-0.14179593994049355</v>
      </c>
      <c r="F14" s="9"/>
      <c r="G14" s="14"/>
      <c r="H14" s="9">
        <v>-423.12197700000002</v>
      </c>
      <c r="I14" s="9">
        <v>-423.000136</v>
      </c>
      <c r="J14" s="9">
        <f t="shared" si="9"/>
        <v>-265436.60384129197</v>
      </c>
      <c r="K14" s="9">
        <f t="shared" si="10"/>
        <v>0.457454425515607</v>
      </c>
      <c r="L14" s="9"/>
      <c r="M14" s="14"/>
    </row>
    <row r="15" spans="1:13" x14ac:dyDescent="0.25">
      <c r="A15" s="9" t="s">
        <v>2054</v>
      </c>
      <c r="B15" s="9">
        <v>-11513.6479565134</v>
      </c>
      <c r="C15" s="9">
        <v>-11510.317847</v>
      </c>
      <c r="D15" s="9">
        <f t="shared" si="8"/>
        <v>-265427.92955181998</v>
      </c>
      <c r="E15" s="9">
        <f t="shared" si="11"/>
        <v>1.1008844000170939</v>
      </c>
      <c r="F15" s="9"/>
      <c r="G15" s="14"/>
      <c r="H15" s="9">
        <v>-423.12002799999999</v>
      </c>
      <c r="I15" s="9">
        <v>-422.998265</v>
      </c>
      <c r="J15" s="9">
        <f t="shared" si="9"/>
        <v>-265435.42977101752</v>
      </c>
      <c r="K15" s="9">
        <f t="shared" si="10"/>
        <v>1.6315246999729425</v>
      </c>
      <c r="L15" s="9"/>
      <c r="M15" s="14"/>
    </row>
    <row r="16" spans="1:13" x14ac:dyDescent="0.25">
      <c r="C16" s="9"/>
      <c r="D16" s="9"/>
      <c r="E16" s="9"/>
      <c r="F16" s="9"/>
      <c r="G16" s="14"/>
      <c r="H16" s="9"/>
      <c r="I16" s="9"/>
      <c r="J16" s="9"/>
      <c r="K16" s="9"/>
      <c r="L16" s="9"/>
      <c r="M16" s="14"/>
    </row>
    <row r="17" spans="1:13" x14ac:dyDescent="0.25">
      <c r="A17" s="9" t="s">
        <v>2055</v>
      </c>
      <c r="B17" s="9">
        <v>-12582.80381126069</v>
      </c>
      <c r="C17" s="9">
        <v>-12578.767868000001</v>
      </c>
      <c r="D17" s="9">
        <f>C17*23.06</f>
        <v>-290066.38703608001</v>
      </c>
      <c r="E17" s="9">
        <f>D17-$D$17</f>
        <v>0</v>
      </c>
      <c r="F17" s="9">
        <f>E17-E19</f>
        <v>0.20237455994356424</v>
      </c>
      <c r="G17" s="14"/>
      <c r="H17" s="9">
        <v>-462.41128900000001</v>
      </c>
      <c r="I17" s="9">
        <v>-462.26412699999997</v>
      </c>
      <c r="J17" s="9">
        <f>I17*627.5095</f>
        <v>-290075.13120170648</v>
      </c>
      <c r="K17" s="9">
        <f>J17-$J$17</f>
        <v>0</v>
      </c>
      <c r="L17" s="9">
        <f>K17-K19</f>
        <v>-0.81011476449202746</v>
      </c>
      <c r="M17" s="14">
        <v>0</v>
      </c>
    </row>
    <row r="18" spans="1:13" x14ac:dyDescent="0.25">
      <c r="A18" s="9" t="s">
        <v>2056</v>
      </c>
      <c r="B18" s="9">
        <v>-12582.753618020921</v>
      </c>
      <c r="C18" s="9">
        <v>-12578.717137</v>
      </c>
      <c r="D18" s="9">
        <f t="shared" ref="D18:D20" si="12">C18*23.06</f>
        <v>-290065.21717922</v>
      </c>
      <c r="E18" s="9">
        <f t="shared" ref="E18:E20" si="13">D18-$D$17</f>
        <v>1.1698568600113504</v>
      </c>
      <c r="F18" s="9"/>
      <c r="G18" s="14"/>
      <c r="H18" s="9">
        <v>-462.40931799999998</v>
      </c>
      <c r="I18" s="9">
        <v>-462.26179400000001</v>
      </c>
      <c r="J18" s="9">
        <f t="shared" ref="J18:J20" si="14">I18*627.5095</f>
        <v>-290073.66722204303</v>
      </c>
      <c r="K18" s="9">
        <f t="shared" ref="K18:K20" si="15">J18-$J$17</f>
        <v>1.4639796634437516</v>
      </c>
      <c r="L18" s="9"/>
      <c r="M18" s="14"/>
    </row>
    <row r="19" spans="1:13" x14ac:dyDescent="0.25">
      <c r="A19" s="9" t="s">
        <v>2057</v>
      </c>
      <c r="B19" s="9">
        <v>-12582.81449805695</v>
      </c>
      <c r="C19" s="9">
        <v>-12578.776644</v>
      </c>
      <c r="D19" s="9">
        <f t="shared" si="12"/>
        <v>-290066.58941063995</v>
      </c>
      <c r="E19" s="9">
        <f t="shared" si="13"/>
        <v>-0.20237455994356424</v>
      </c>
      <c r="F19" s="9"/>
      <c r="G19" s="14"/>
      <c r="H19" s="9">
        <v>-462.41091399999999</v>
      </c>
      <c r="I19" s="9">
        <v>-462.26283599999999</v>
      </c>
      <c r="J19" s="9">
        <f t="shared" si="14"/>
        <v>-290074.32108694199</v>
      </c>
      <c r="K19" s="9">
        <f t="shared" si="15"/>
        <v>0.81011476449202746</v>
      </c>
      <c r="L19" s="9"/>
      <c r="M19" s="14"/>
    </row>
    <row r="20" spans="1:13" x14ac:dyDescent="0.25">
      <c r="A20" s="9" t="s">
        <v>2058</v>
      </c>
      <c r="B20" s="9">
        <v>-12582.76161041669</v>
      </c>
      <c r="C20" s="9">
        <v>-12578.725257</v>
      </c>
      <c r="D20" s="9">
        <f t="shared" si="12"/>
        <v>-290065.40442641999</v>
      </c>
      <c r="E20" s="9">
        <f t="shared" si="13"/>
        <v>0.98260966001544148</v>
      </c>
      <c r="F20" s="9"/>
      <c r="G20" s="14"/>
      <c r="H20" s="9">
        <v>-462.40892600000001</v>
      </c>
      <c r="I20" s="9">
        <v>-462.26142499999997</v>
      </c>
      <c r="J20" s="9">
        <f t="shared" si="14"/>
        <v>-290073.43567103747</v>
      </c>
      <c r="K20" s="9">
        <f t="shared" si="15"/>
        <v>1.6955306690069847</v>
      </c>
      <c r="L20" s="9"/>
      <c r="M20" s="14"/>
    </row>
    <row r="21" spans="1:13" x14ac:dyDescent="0.25">
      <c r="C21" s="9"/>
      <c r="D21" s="9"/>
      <c r="E21" s="9"/>
      <c r="F21" s="9"/>
      <c r="G21" s="14"/>
      <c r="H21" s="9"/>
      <c r="I21" s="9"/>
      <c r="J21" s="9"/>
      <c r="K21" s="9"/>
      <c r="L21" s="9"/>
      <c r="M21" s="14"/>
    </row>
    <row r="22" spans="1:13" x14ac:dyDescent="0.25">
      <c r="A22" s="9" t="s">
        <v>2059</v>
      </c>
      <c r="B22" s="9">
        <v>-10972.58375065029</v>
      </c>
      <c r="C22" s="9">
        <v>-10968.940666</v>
      </c>
      <c r="D22" s="9">
        <f>C22*23.06</f>
        <v>-252943.77175796</v>
      </c>
      <c r="E22" s="9">
        <f>D22-$D$22</f>
        <v>0</v>
      </c>
      <c r="F22" s="9">
        <f>E22-E24</f>
        <v>0.86873937997734174</v>
      </c>
      <c r="G22" s="14"/>
      <c r="H22" s="9">
        <v>-403.23712499999999</v>
      </c>
      <c r="I22" s="9">
        <v>-403.104355</v>
      </c>
      <c r="J22" s="9">
        <f>I22*627.5095</f>
        <v>-252951.81225387249</v>
      </c>
      <c r="K22" s="9">
        <f>J22-$J$22</f>
        <v>0</v>
      </c>
      <c r="L22" s="9">
        <f>K22-K24</f>
        <v>0.17821269802516326</v>
      </c>
      <c r="M22" s="14">
        <v>-8</v>
      </c>
    </row>
    <row r="23" spans="1:13" x14ac:dyDescent="0.25">
      <c r="A23" s="9" t="s">
        <v>2060</v>
      </c>
      <c r="B23" s="9">
        <v>-10972.547964318581</v>
      </c>
      <c r="C23" s="9">
        <v>-10968.891277000001</v>
      </c>
      <c r="D23" s="9">
        <f t="shared" ref="D23:D25" si="16">C23*23.06</f>
        <v>-252942.63284762</v>
      </c>
      <c r="E23" s="9">
        <f t="shared" ref="E23:E25" si="17">D23-$D$22</f>
        <v>1.1389103399997111</v>
      </c>
      <c r="F23" s="9"/>
      <c r="G23" s="14"/>
      <c r="H23" s="9">
        <v>-403.23496999999998</v>
      </c>
      <c r="I23" s="9">
        <v>-403.10153100000002</v>
      </c>
      <c r="J23" s="9">
        <f t="shared" ref="J23:J25" si="18">I23*627.5095</f>
        <v>-252950.04016704453</v>
      </c>
      <c r="K23" s="9">
        <f t="shared" ref="K23:K25" si="19">J23-$J$22</f>
        <v>1.772086827957537</v>
      </c>
      <c r="L23" s="9"/>
      <c r="M23" s="14"/>
    </row>
    <row r="24" spans="1:13" x14ac:dyDescent="0.25">
      <c r="A24" s="9" t="s">
        <v>2061</v>
      </c>
      <c r="B24" s="9">
        <v>-10972.620299683111</v>
      </c>
      <c r="C24" s="9">
        <v>-10968.978338999999</v>
      </c>
      <c r="D24" s="9">
        <f t="shared" si="16"/>
        <v>-252944.64049733998</v>
      </c>
      <c r="E24" s="9">
        <f t="shared" si="17"/>
        <v>-0.86873937997734174</v>
      </c>
      <c r="F24" s="9"/>
      <c r="G24" s="14"/>
      <c r="H24" s="9">
        <v>-403.23796299999998</v>
      </c>
      <c r="I24" s="9">
        <v>-403.10463900000002</v>
      </c>
      <c r="J24" s="9">
        <f t="shared" si="18"/>
        <v>-252951.99046657051</v>
      </c>
      <c r="K24" s="9">
        <f t="shared" si="19"/>
        <v>-0.17821269802516326</v>
      </c>
      <c r="L24" s="9"/>
      <c r="M24" s="14"/>
    </row>
    <row r="25" spans="1:13" x14ac:dyDescent="0.25">
      <c r="A25" s="9" t="s">
        <v>2062</v>
      </c>
      <c r="B25" s="9">
        <v>-10972.49050956274</v>
      </c>
      <c r="C25" s="9">
        <v>-10968.843484000001</v>
      </c>
      <c r="D25" s="9">
        <f t="shared" si="16"/>
        <v>-252941.53074104001</v>
      </c>
      <c r="E25" s="9">
        <f t="shared" si="17"/>
        <v>2.2410169199865777</v>
      </c>
      <c r="F25" s="9"/>
      <c r="G25" s="14"/>
      <c r="H25" s="9">
        <v>-403.23276800000002</v>
      </c>
      <c r="I25" s="9">
        <v>-403.100256</v>
      </c>
      <c r="J25" s="9">
        <f t="shared" si="18"/>
        <v>-252949.24009243201</v>
      </c>
      <c r="K25" s="9">
        <f t="shared" si="19"/>
        <v>2.572161440475611</v>
      </c>
      <c r="L25" s="9"/>
      <c r="M25" s="14"/>
    </row>
    <row r="26" spans="1:13" x14ac:dyDescent="0.25">
      <c r="C26" s="9"/>
      <c r="D26" s="9"/>
      <c r="E26" s="9"/>
      <c r="F26" s="9"/>
      <c r="G26" s="14"/>
      <c r="H26" s="9"/>
      <c r="I26" s="9"/>
      <c r="J26" s="9"/>
      <c r="K26" s="9"/>
      <c r="L26" s="9"/>
      <c r="M26" s="14"/>
    </row>
    <row r="27" spans="1:13" x14ac:dyDescent="0.25">
      <c r="A27" s="9" t="s">
        <v>2063</v>
      </c>
      <c r="B27" s="9">
        <v>-8891.6338637203207</v>
      </c>
      <c r="C27" s="9">
        <v>-8888.7163880000007</v>
      </c>
      <c r="D27" s="9">
        <f>C27*23.06</f>
        <v>-204973.79990728002</v>
      </c>
      <c r="E27" s="9">
        <f>D27-$D$27</f>
        <v>0</v>
      </c>
      <c r="F27" s="9">
        <f>E27-E28</f>
        <v>0.35980517999269068</v>
      </c>
      <c r="G27" s="14"/>
      <c r="H27" s="9">
        <v>-326.76218699999998</v>
      </c>
      <c r="I27" s="9">
        <v>-326.65573799999999</v>
      </c>
      <c r="J27" s="9">
        <f>I27*627.5095</f>
        <v>-204979.578824511</v>
      </c>
      <c r="K27" s="9">
        <f>J27-$J$27</f>
        <v>0</v>
      </c>
      <c r="L27" s="9">
        <f>K27-K28</f>
        <v>0.30057705051149242</v>
      </c>
      <c r="M27" s="14">
        <v>-26</v>
      </c>
    </row>
    <row r="28" spans="1:13" x14ac:dyDescent="0.25">
      <c r="A28" s="9" t="s">
        <v>2064</v>
      </c>
      <c r="B28" s="9">
        <v>-8891.6479932774546</v>
      </c>
      <c r="C28" s="9">
        <v>-8888.7319910000006</v>
      </c>
      <c r="D28" s="9">
        <f t="shared" ref="D28" si="20">C28*23.06</f>
        <v>-204974.15971246001</v>
      </c>
      <c r="E28" s="9">
        <f>D28-$D$27</f>
        <v>-0.35980517999269068</v>
      </c>
      <c r="F28" s="9"/>
      <c r="G28" s="14"/>
      <c r="H28" s="9">
        <v>-326.76273900000001</v>
      </c>
      <c r="I28" s="9">
        <v>-326.65621700000003</v>
      </c>
      <c r="J28" s="9">
        <f t="shared" ref="J28" si="21">I28*627.5095</f>
        <v>-204979.87940156151</v>
      </c>
      <c r="K28" s="9">
        <f>J28-$J$27</f>
        <v>-0.30057705051149242</v>
      </c>
      <c r="L28" s="9"/>
      <c r="M28" s="14"/>
    </row>
    <row r="29" spans="1:13" x14ac:dyDescent="0.25">
      <c r="C29" s="9"/>
      <c r="D29" s="9"/>
      <c r="E29" s="9"/>
      <c r="F29" s="9"/>
      <c r="G29" s="14"/>
      <c r="H29" s="9"/>
      <c r="I29" s="9"/>
      <c r="J29" s="9"/>
      <c r="K29" s="9"/>
      <c r="L29" s="9"/>
      <c r="M29" s="14"/>
    </row>
    <row r="30" spans="1:13" x14ac:dyDescent="0.25">
      <c r="A30" s="9" t="s">
        <v>2065</v>
      </c>
      <c r="B30" s="9">
        <v>-12550.421260288151</v>
      </c>
      <c r="C30" s="9">
        <v>-12546.884644</v>
      </c>
      <c r="D30" s="9">
        <f>C30*23.06</f>
        <v>-289331.15989064</v>
      </c>
      <c r="E30" s="9">
        <f>D30-$D$30</f>
        <v>0</v>
      </c>
      <c r="F30" s="9">
        <f>E30-E31</f>
        <v>-0.74297014001058415</v>
      </c>
      <c r="G30" s="14"/>
      <c r="H30" s="9">
        <v>-461.22017099999999</v>
      </c>
      <c r="I30" s="9">
        <v>-461.09125699999998</v>
      </c>
      <c r="J30" s="9">
        <f>I30*627.5095</f>
        <v>-289339.14413444151</v>
      </c>
      <c r="K30" s="9">
        <f>J30-$J$30</f>
        <v>0</v>
      </c>
      <c r="L30" s="9">
        <f>K30-K31</f>
        <v>-0.9839348960085772</v>
      </c>
      <c r="M30" s="14">
        <v>46</v>
      </c>
    </row>
    <row r="31" spans="1:13" x14ac:dyDescent="0.25">
      <c r="A31" s="9" t="s">
        <v>2066</v>
      </c>
      <c r="B31" s="9">
        <v>-12550.38400091171</v>
      </c>
      <c r="C31" s="9">
        <v>-12546.852424999999</v>
      </c>
      <c r="D31" s="9">
        <f t="shared" ref="D31" si="22">C31*23.06</f>
        <v>-289330.41692049999</v>
      </c>
      <c r="E31" s="9">
        <f>D31-$D$30</f>
        <v>0.74297014001058415</v>
      </c>
      <c r="F31" s="9"/>
      <c r="G31" s="14"/>
      <c r="H31" s="9">
        <v>-461.21883500000001</v>
      </c>
      <c r="I31" s="9">
        <v>-461.08968900000002</v>
      </c>
      <c r="J31" s="9">
        <f t="shared" ref="J31" si="23">I31*627.5095</f>
        <v>-289338.1601995455</v>
      </c>
      <c r="K31" s="9">
        <f>J31-$J$30</f>
        <v>0.9839348960085772</v>
      </c>
      <c r="L31" s="9"/>
      <c r="M31" s="14"/>
    </row>
    <row r="32" spans="1:13" x14ac:dyDescent="0.25">
      <c r="C32" s="9"/>
      <c r="D32" s="9"/>
      <c r="E32" s="9"/>
      <c r="F32" s="9"/>
      <c r="G32" s="14"/>
      <c r="H32" s="9"/>
      <c r="I32" s="9"/>
      <c r="J32" s="9"/>
      <c r="K32" s="9"/>
      <c r="L32" s="9"/>
      <c r="M32" s="14"/>
    </row>
    <row r="33" spans="1:13" x14ac:dyDescent="0.25">
      <c r="A33" s="9" t="s">
        <v>2067</v>
      </c>
      <c r="B33" s="9">
        <v>-13619.951442105859</v>
      </c>
      <c r="C33" s="9">
        <v>-13615.689987</v>
      </c>
      <c r="D33" s="9">
        <f>C33*23.06</f>
        <v>-313977.81110021996</v>
      </c>
      <c r="E33" s="9">
        <f>D33-$D$33</f>
        <v>0</v>
      </c>
      <c r="F33" s="9">
        <f>E33-E34</f>
        <v>0.58881404000567272</v>
      </c>
      <c r="G33" s="14"/>
      <c r="H33" s="9">
        <v>-500.524315</v>
      </c>
      <c r="I33" s="9">
        <v>-500.36936300000002</v>
      </c>
      <c r="J33" s="9">
        <f>I33*627.5095</f>
        <v>-313986.52879144851</v>
      </c>
      <c r="K33" s="9">
        <f>J33-$J$33</f>
        <v>0</v>
      </c>
      <c r="L33" s="9">
        <f>K33-K34</f>
        <v>0.58609387296019122</v>
      </c>
      <c r="M33" s="14">
        <v>-22</v>
      </c>
    </row>
    <row r="34" spans="1:13" x14ac:dyDescent="0.25">
      <c r="A34" s="9" t="s">
        <v>2068</v>
      </c>
      <c r="B34" s="9">
        <v>-13619.98021431796</v>
      </c>
      <c r="C34" s="9">
        <v>-13615.715521</v>
      </c>
      <c r="D34" s="9">
        <f t="shared" ref="D34" si="24">C34*23.06</f>
        <v>-313978.39991425996</v>
      </c>
      <c r="E34" s="9">
        <f>D34-$D$33</f>
        <v>-0.58881404000567272</v>
      </c>
      <c r="F34" s="9"/>
      <c r="G34" s="14"/>
      <c r="H34" s="9">
        <v>-500.52560199999999</v>
      </c>
      <c r="I34" s="9">
        <v>-500.37029699999999</v>
      </c>
      <c r="J34" s="9">
        <f t="shared" ref="J34" si="25">I34*627.5095</f>
        <v>-313987.11488532147</v>
      </c>
      <c r="K34" s="9">
        <f>J34-$J$33</f>
        <v>-0.58609387296019122</v>
      </c>
      <c r="L34" s="9"/>
      <c r="M34" s="14"/>
    </row>
    <row r="35" spans="1:13" x14ac:dyDescent="0.25">
      <c r="B35" s="6"/>
      <c r="E35" s="6"/>
    </row>
    <row r="36" spans="1:13" x14ac:dyDescent="0.25">
      <c r="A36" s="9" t="s">
        <v>2069</v>
      </c>
      <c r="B36" s="6">
        <v>-11402.130293869501</v>
      </c>
      <c r="C36" s="9">
        <v>-11399.307301000001</v>
      </c>
      <c r="D36" s="9">
        <f>C36*23.06</f>
        <v>-262868.02636105998</v>
      </c>
      <c r="E36" s="9">
        <f>D36-$D$36</f>
        <v>0</v>
      </c>
      <c r="F36" s="9">
        <f>E36-E37</f>
        <v>0.29643629997735843</v>
      </c>
      <c r="H36" s="6">
        <v>-419.02194600000001</v>
      </c>
      <c r="I36" s="6">
        <v>-418.91877399999998</v>
      </c>
      <c r="J36" s="9">
        <f>I36*627.5095</f>
        <v>-262875.51041335298</v>
      </c>
      <c r="K36" s="9">
        <f>J36-$J$36</f>
        <v>0</v>
      </c>
      <c r="L36" s="9">
        <f>K36-K37</f>
        <v>-0.1455822039861232</v>
      </c>
      <c r="M36" s="6">
        <v>40</v>
      </c>
    </row>
    <row r="37" spans="1:13" x14ac:dyDescent="0.25">
      <c r="A37" s="9" t="s">
        <v>2070</v>
      </c>
      <c r="B37" s="6">
        <v>-11402.143627738111</v>
      </c>
      <c r="C37" s="9">
        <v>-11399.320156</v>
      </c>
      <c r="D37" s="9">
        <f t="shared" ref="D37" si="26">C37*23.06</f>
        <v>-262868.32279735996</v>
      </c>
      <c r="E37" s="9">
        <f>D37-$D$36</f>
        <v>-0.29643629997735843</v>
      </c>
      <c r="H37" s="6">
        <v>-419.02167600000001</v>
      </c>
      <c r="I37" s="6">
        <v>-418.918542</v>
      </c>
      <c r="J37" s="9">
        <f t="shared" ref="J37" si="27">I37*627.5095</f>
        <v>-262875.364831149</v>
      </c>
      <c r="K37" s="9">
        <f>J37-$J$36</f>
        <v>0.1455822039861232</v>
      </c>
    </row>
    <row r="38" spans="1:13" x14ac:dyDescent="0.25">
      <c r="B38" s="6"/>
      <c r="E38" s="6"/>
    </row>
    <row r="39" spans="1:13" x14ac:dyDescent="0.25">
      <c r="A39" s="9" t="s">
        <v>2071</v>
      </c>
      <c r="B39" s="6">
        <v>-15094.538391248139</v>
      </c>
      <c r="C39" s="9">
        <v>-15090.508771999999</v>
      </c>
      <c r="D39" s="9">
        <f>C39*23.06</f>
        <v>-347987.13228231994</v>
      </c>
      <c r="E39" s="9">
        <f>D39-$D$39</f>
        <v>0</v>
      </c>
      <c r="F39" s="9">
        <f>E39-E40</f>
        <v>-1.4710204599541612</v>
      </c>
      <c r="H39" s="6">
        <v>-554.71899499999995</v>
      </c>
      <c r="I39" s="6">
        <v>-554.57093599999996</v>
      </c>
      <c r="J39" s="9">
        <f>I39*627.5095</f>
        <v>-347998.53076389199</v>
      </c>
      <c r="K39" s="9">
        <f>J39-$J$39</f>
        <v>0</v>
      </c>
      <c r="L39" s="9">
        <f>K39-K40</f>
        <v>-2.8495206394582056</v>
      </c>
      <c r="M39" s="6">
        <v>99</v>
      </c>
    </row>
    <row r="40" spans="1:13" x14ac:dyDescent="0.25">
      <c r="A40" s="9" t="s">
        <v>2072</v>
      </c>
      <c r="B40" s="6">
        <v>-15094.46516551992</v>
      </c>
      <c r="C40" s="9">
        <v>-15090.444981000001</v>
      </c>
      <c r="D40" s="9">
        <f t="shared" ref="D40" si="28">C40*23.06</f>
        <v>-347985.66126185999</v>
      </c>
      <c r="E40" s="9">
        <f>D40-$D$39</f>
        <v>1.4710204599541612</v>
      </c>
      <c r="H40" s="6">
        <v>-554.71416199999999</v>
      </c>
      <c r="I40" s="6">
        <v>-554.56639500000006</v>
      </c>
      <c r="J40" s="9">
        <f t="shared" ref="J40" si="29">I40*627.5095</f>
        <v>-347995.68124325253</v>
      </c>
      <c r="K40" s="9">
        <f>J40-$J$39</f>
        <v>2.8495206394582056</v>
      </c>
    </row>
    <row r="41" spans="1:13" x14ac:dyDescent="0.25">
      <c r="B41" s="6"/>
      <c r="E41" s="6"/>
    </row>
    <row r="42" spans="1:13" x14ac:dyDescent="0.25">
      <c r="A42" s="9" t="s">
        <v>2073</v>
      </c>
      <c r="B42" s="6">
        <v>-14565.912201715009</v>
      </c>
      <c r="C42" s="9">
        <v>-14562.919691999999</v>
      </c>
      <c r="D42" s="9">
        <f>C42*23.06</f>
        <v>-335820.92809751997</v>
      </c>
      <c r="E42" s="9">
        <f>D42-$D$42</f>
        <v>0</v>
      </c>
      <c r="F42" s="9">
        <f>E42-E43</f>
        <v>-1.5006756199873053</v>
      </c>
      <c r="H42" s="6">
        <v>-535.28956100000005</v>
      </c>
      <c r="I42" s="6">
        <v>-535.17987900000003</v>
      </c>
      <c r="J42" s="9">
        <f>I42*627.5095</f>
        <v>-335830.4582813505</v>
      </c>
      <c r="K42" s="9">
        <f>J42-$J$42</f>
        <v>0</v>
      </c>
      <c r="L42" s="9">
        <f>K42-K43</f>
        <v>-1.8994712564744987</v>
      </c>
      <c r="M42" s="6">
        <v>70</v>
      </c>
    </row>
    <row r="43" spans="1:13" x14ac:dyDescent="0.25">
      <c r="A43" s="9" t="s">
        <v>2074</v>
      </c>
      <c r="B43" s="6">
        <v>-14565.840301165081</v>
      </c>
      <c r="C43" s="9">
        <v>-14562.854615</v>
      </c>
      <c r="D43" s="9">
        <f t="shared" ref="D43" si="30">C43*23.06</f>
        <v>-335819.42742189998</v>
      </c>
      <c r="E43" s="9">
        <f>D43-$D$42</f>
        <v>1.5006756199873053</v>
      </c>
      <c r="H43" s="6">
        <v>-535.28594999999996</v>
      </c>
      <c r="I43" s="6">
        <v>-535.17685200000005</v>
      </c>
      <c r="J43" s="9">
        <f t="shared" ref="J43" si="31">I43*627.5095</f>
        <v>-335828.55881009402</v>
      </c>
      <c r="K43" s="9">
        <f>J43-$J$42</f>
        <v>1.8994712564744987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MACE_deltaL_opt</vt:lpstr>
      <vt:lpstr>MACE_deltaL RMSD and |ΔETS| </vt:lpstr>
      <vt:lpstr>MACE_opt</vt:lpstr>
      <vt:lpstr>MACE RMSD and |ΔETS| </vt:lpstr>
      <vt:lpstr>GFN2-xTB_opt</vt:lpstr>
      <vt:lpstr>GFN2-xTB RMSD</vt:lpstr>
      <vt:lpstr>MACE_deltaL_T1x_opt</vt:lpstr>
      <vt:lpstr>MACE_deltaL_T1x_error</vt:lpstr>
      <vt:lpstr>DeePEST-OS-T1x_opt</vt:lpstr>
      <vt:lpstr>DeePEST-OS-T1x RMSD and |ΔETS| </vt:lpstr>
      <vt:lpstr>React-OT RMSD and |ΔETS| </vt:lpstr>
      <vt:lpstr>conformational_isomer</vt:lpstr>
      <vt:lpstr>multi-step_organic_reactions</vt:lpstr>
      <vt:lpstr>DA_exp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Kaipai Ren</dc:creator>
  <cp:lastModifiedBy>Ren Kaipai</cp:lastModifiedBy>
  <dcterms:created xsi:type="dcterms:W3CDTF">2023-05-12T11:15:00Z</dcterms:created>
  <dcterms:modified xsi:type="dcterms:W3CDTF">2026-02-25T14:01:35Z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